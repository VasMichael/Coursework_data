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предлог_с" sheetId="1" r:id="rId5"/>
    <sheet state="visible" name="предлог_из" sheetId="2" r:id="rId6"/>
    <sheet state="visible" name="удалено_с" sheetId="3" r:id="rId7"/>
    <sheet state="visible" name="удалено_из" sheetId="4" r:id="rId8"/>
    <sheet state="visible" name="респонденты" sheetId="5" r:id="rId9"/>
    <sheet state="visible" name="статистика" sheetId="6" r:id="rId10"/>
    <sheet state="visible" name="прайминг" sheetId="7" r:id="rId11"/>
    <sheet state="visible" name="Сводные таблицы и графики" sheetId="8" r:id="rId12"/>
    <sheet state="visible" name="Пятиусово" sheetId="9" r:id="rId13"/>
    <sheet state="visible" name="Шетнево и Макеево" sheetId="10" r:id="rId14"/>
    <sheet state="visible" name="Корпус Опочецких говоров" sheetId="11" r:id="rId15"/>
  </sheets>
  <definedNames/>
  <calcPr/>
</workbook>
</file>

<file path=xl/sharedStrings.xml><?xml version="1.0" encoding="utf-8"?>
<sst xmlns="http://schemas.openxmlformats.org/spreadsheetml/2006/main" count="19625" uniqueCount="4044">
  <si>
    <t>Корпус</t>
  </si>
  <si>
    <t>utterance_id</t>
  </si>
  <si>
    <t>From</t>
  </si>
  <si>
    <t>To</t>
  </si>
  <si>
    <t>File</t>
  </si>
  <si>
    <t>Id</t>
  </si>
  <si>
    <t>String id</t>
  </si>
  <si>
    <t>Gender</t>
  </si>
  <si>
    <t>Year of birth</t>
  </si>
  <si>
    <t>Education</t>
  </si>
  <si>
    <t>Place of birth</t>
  </si>
  <si>
    <t>Place of living</t>
  </si>
  <si>
    <t>Left Context</t>
  </si>
  <si>
    <t>DMatch</t>
  </si>
  <si>
    <t>Right Context</t>
  </si>
  <si>
    <t>имя в предложной группе</t>
  </si>
  <si>
    <t>Топоним</t>
  </si>
  <si>
    <t>деревня, город, область, страна и пр.</t>
  </si>
  <si>
    <t>жилище</t>
  </si>
  <si>
    <t>природные пространственные локации</t>
  </si>
  <si>
    <t>учреждения</t>
  </si>
  <si>
    <t>пространственные локации</t>
  </si>
  <si>
    <t>остальные употребления</t>
  </si>
  <si>
    <t>выход из контейнера</t>
  </si>
  <si>
    <t>материал</t>
  </si>
  <si>
    <t>армия, тюрьма, служба, фазы жизни</t>
  </si>
  <si>
    <t>коллектив, группа</t>
  </si>
  <si>
    <t>деньги, заработок, зарплата</t>
  </si>
  <si>
    <t>Прайминг</t>
  </si>
  <si>
    <t>пространственная/объектная/определительная</t>
  </si>
  <si>
    <t>глагольная/именная</t>
  </si>
  <si>
    <t>соответствует/не соответствует литературной норме</t>
  </si>
  <si>
    <t>Корпус говора деревни Пятиусово</t>
  </si>
  <si>
    <t>20231028zes1942</t>
  </si>
  <si>
    <t>У нас э... А</t>
  </si>
  <si>
    <t>с</t>
  </si>
  <si>
    <t>другой деревни и шла старушка, ну она моложе меня (мене) было, ей побольше, семьдесят...</t>
  </si>
  <si>
    <t>деревня</t>
  </si>
  <si>
    <t>s</t>
  </si>
  <si>
    <t>v</t>
  </si>
  <si>
    <t>n</t>
  </si>
  <si>
    <t>А вы это, не</t>
  </si>
  <si>
    <t>Макеева, детка?</t>
  </si>
  <si>
    <t>Макеево</t>
  </si>
  <si>
    <t>a</t>
  </si>
  <si>
    <t>С</t>
  </si>
  <si>
    <t>Макеева похожа... Там, при этом... У нас приехадчи была семья, девять детей...</t>
  </si>
  <si>
    <t>Она таджи =</t>
  </si>
  <si>
    <t>Таджикистана... Есть такая? Государство...</t>
  </si>
  <si>
    <t>Таджикистан</t>
  </si>
  <si>
    <t>А морозы начнутся,</t>
  </si>
  <si>
    <t>дому не выходили никуда, так что вот...</t>
  </si>
  <si>
    <t>дом</t>
  </si>
  <si>
    <t>Но так как у нас</t>
  </si>
  <si>
    <t>деревни не было этих, вальщиков, то... Мы не возили... И родители тогда...</t>
  </si>
  <si>
    <t>Ездил надзиратель, который выкидывал эту картошку</t>
  </si>
  <si>
    <t>вёдер, если он… Если он захватит (захватить).</t>
  </si>
  <si>
    <t>ведра</t>
  </si>
  <si>
    <t>И мать привезла два мешка картошки</t>
  </si>
  <si>
    <t>Антонова. Там пески, а у нас, такая, суглинистая.</t>
  </si>
  <si>
    <t>Антоново</t>
  </si>
  <si>
    <t>20240729evm1937</t>
  </si>
  <si>
    <t>EVM1937</t>
  </si>
  <si>
    <t>техникум</t>
  </si>
  <si>
    <t>Коковино</t>
  </si>
  <si>
    <t>Пятиусово</t>
  </si>
  <si>
    <t>Ехали нас человек пятнадцать или семнадцать отсюда,</t>
  </si>
  <si>
    <t>Западной Двины в Тверь.</t>
  </si>
  <si>
    <t>Западная Двина</t>
  </si>
  <si>
    <t>Я спускал оттуда станцию,</t>
  </si>
  <si>
    <t>Бакуриани, с тягачом АТС, а сзади приёмо - передающая кабина, 20 тонн.</t>
  </si>
  <si>
    <t>Бакуриани</t>
  </si>
  <si>
    <t>Вот оттуда эту станцию спускал</t>
  </si>
  <si>
    <t>этой Бакуриани.</t>
  </si>
  <si>
    <t>Они не едут этим (этом) кругом, они подъехали трактор опустили, сам из (</t>
  </si>
  <si>
    <t>) трактора выскочил, и трактор туда до низу и добежал.</t>
  </si>
  <si>
    <t>трактор</t>
  </si>
  <si>
    <t>Нас там обучилось</t>
  </si>
  <si>
    <t>Западной Двины человек двенадцать.</t>
  </si>
  <si>
    <t>Из (</t>
  </si>
  <si>
    <t>)   Каськово пришли? А ну Каськово вы знаете, вы в Каськово...</t>
  </si>
  <si>
    <t>Каськово</t>
  </si>
  <si>
    <t>У меня товарищ бывало приезжал</t>
  </si>
  <si>
    <t>Треста, с Калинина в гости.</t>
  </si>
  <si>
    <t>Треста</t>
  </si>
  <si>
    <t>У меня товарищ бывало приезжал с Треста,</t>
  </si>
  <si>
    <t>Калинина в гости.</t>
  </si>
  <si>
    <t>Калинина</t>
  </si>
  <si>
    <t>И</t>
  </si>
  <si>
    <t>со</t>
  </si>
  <si>
    <t>со льна сделали с этого волокно.</t>
  </si>
  <si>
    <t>лен</t>
  </si>
  <si>
    <t>o</t>
  </si>
  <si>
    <t>этого материала шили брюки, кафтан.</t>
  </si>
  <si>
    <t>Она строилась так, чтобы со всех деревень,</t>
  </si>
  <si>
    <t>округи, был доступ одинаков.</t>
  </si>
  <si>
    <t>округи</t>
  </si>
  <si>
    <t>Мужики приходят</t>
  </si>
  <si>
    <t>деревень, которые пять - шесть киллометров.</t>
  </si>
  <si>
    <t>деревни</t>
  </si>
  <si>
    <t>) льносемени (льносемя) делали масло льняное, настоящее.</t>
  </si>
  <si>
    <t>льносемя</t>
  </si>
  <si>
    <t>Приезжает художественная самодеятельность, недавно</t>
  </si>
  <si>
    <t>района приезжала.</t>
  </si>
  <si>
    <t>район</t>
  </si>
  <si>
    <t>И своих, и вот</t>
  </si>
  <si>
    <t>района приезжали.</t>
  </si>
  <si>
    <t>Приехали &lt; нрзб &gt;, звонок</t>
  </si>
  <si>
    <t>области, это я представитель.</t>
  </si>
  <si>
    <t>область</t>
  </si>
  <si>
    <t>20231026lng1954</t>
  </si>
  <si>
    <t>LNG1954</t>
  </si>
  <si>
    <t>среднее (10 классов)</t>
  </si>
  <si>
    <t>А все же они ой, тюремник, из (</t>
  </si>
  <si>
    <t>) тюрьмы, понимаешь, вот.</t>
  </si>
  <si>
    <t>тюрьма</t>
  </si>
  <si>
    <t>А его девушка, когда я освободился, пришёл. Она было, сама она из (</t>
  </si>
  <si>
    <t>) Белорусии.</t>
  </si>
  <si>
    <t>Белорусь</t>
  </si>
  <si>
    <t>А та! Вышла замуж вот за него, за этого Сашу. Он из (</t>
  </si>
  <si>
    <t>) армии пришёл ну вот, а в форме. Он высокого роста - - метр восемьдесят два, такой... Ну, всё...</t>
  </si>
  <si>
    <t>армия</t>
  </si>
  <si>
    <t>Возит сейчас пиво где - то з = из (</t>
  </si>
  <si>
    <t>) Бронниц оттуда, ну и в Москву куда - то там.</t>
  </si>
  <si>
    <t>Бронницы</t>
  </si>
  <si>
    <t>20231023pvv1935</t>
  </si>
  <si>
    <t>PVV1935</t>
  </si>
  <si>
    <t>А я сейчас... Давай я с = с розетки выключу... Не, нет, ты не знаешь там... Я сам. А выключателем не пользуюсь, а</t>
  </si>
  <si>
    <t>розетки его...</t>
  </si>
  <si>
    <t>розетка</t>
  </si>
  <si>
    <t>И стричься, и бриться, и пуговицы чистить... А что, едем на канун Нового Года, так... Четыре солдата было</t>
  </si>
  <si>
    <t>нашей части... Вместе, и мы вдвоем, с = один с Юровских друг, призвались вместе, это нашего района.</t>
  </si>
  <si>
    <t>часть</t>
  </si>
  <si>
    <t>И стричься, и бриться, и пуговицы чистить... А что, едем на канун Нового Года, так... Четыре солдата было с нашей части... Вместе, и мы вдвоем, с = один</t>
  </si>
  <si>
    <t>Юровских друг, призвались вместе, это нашего района.</t>
  </si>
  <si>
    <t>Юровские</t>
  </si>
  <si>
    <t>И вместе мы с ним ехали, и вместе учились, он во взвод связи попал, а я в (у) роту,</t>
  </si>
  <si>
    <t>какой роты ну, поступал в эту... Школа была при части. На младших командиров.</t>
  </si>
  <si>
    <t>рота</t>
  </si>
  <si>
    <t>Пешие шли,</t>
  </si>
  <si>
    <t>Западной и то нафиг. А пеший... Двадцать пять килиметров идти (идтить). Там - то в чемоданчике ничего не было, но а...</t>
  </si>
  <si>
    <t>Западная</t>
  </si>
  <si>
    <t>А то... Не положено.</t>
  </si>
  <si>
    <t>срочной службы...</t>
  </si>
  <si>
    <t>срочная служба</t>
  </si>
  <si>
    <t>И вот у нас</t>
  </si>
  <si>
    <t>каждого (кажного) корабля было откамандирован как тридцать процентов, на увольнение можно пускать. С воинской части. Поэтому часть будет способна, или ну там...</t>
  </si>
  <si>
    <t>корабля</t>
  </si>
  <si>
    <t>И вот у нас с каждого (кажного) корабля было откамандирован как тридцать процентов, на увольнение можно пускать.</t>
  </si>
  <si>
    <t>воинской части. Поэтому часть будет способна, или ну там...</t>
  </si>
  <si>
    <t>воинской части</t>
  </si>
  <si>
    <t>Ну,</t>
  </si>
  <si>
    <t>такой жердины. Оттгивали. Так бывало где работает утром, устанешь. Слышно этот вой барабана, особенно когда снопы ржаные, бывает не = не разрезано связка...</t>
  </si>
  <si>
    <t>жердины</t>
  </si>
  <si>
    <t>Стандартку пошел... Старший брат тоже член правления был. А</t>
  </si>
  <si>
    <t>Западной председатель был. Когда уже опять раскрупнили колхозы.</t>
  </si>
  <si>
    <t>Западной</t>
  </si>
  <si>
    <t>При = приехал</t>
  </si>
  <si>
    <t>областной без этого. А второй раз опять камень обнаружили. Ну это, на узи.</t>
  </si>
  <si>
    <t>областной</t>
  </si>
  <si>
    <t>А из (</t>
  </si>
  <si>
    <t>) Бибирево потом в ночь едет – машину дома ставит, эту, молоковозную – там закачивается и во Ржев.</t>
  </si>
  <si>
    <t>Бибирево</t>
  </si>
  <si>
    <t>И это... Посадить... То есть принесла</t>
  </si>
  <si>
    <t>почты севок этом мне (мене). Ну и грядку помогла мне... Было земля под осень сделанная... Посадили, я её (ее) потихонечку пропалывал, лук поливал, чеснок не поливал.</t>
  </si>
  <si>
    <t>почта</t>
  </si>
  <si>
    <t>y</t>
  </si>
  <si>
    <t>20240728zes1942</t>
  </si>
  <si>
    <t>А сейчас вроде бы дочка приехадчи, из (</t>
  </si>
  <si>
    <t>) Ленинграда приехала.</t>
  </si>
  <si>
    <t>Ленинграда</t>
  </si>
  <si>
    <t>Она живёт в своём доме. Это как и = с = из (</t>
  </si>
  <si>
    <t>) Каськово идёте прямо, так сразу первый дом, а на правую руку голубой.</t>
  </si>
  <si>
    <t>Да, сразу как</t>
  </si>
  <si>
    <t>Каськова вышли, с Пахнова вышли, к нам идёте уже, уже Пятиусово вы пришли.</t>
  </si>
  <si>
    <t>Каськова</t>
  </si>
  <si>
    <t>Да, сразу как с Каськова вышли,</t>
  </si>
  <si>
    <t>Пахнова вышли, к нам идёте уже, уже Пятиусово вы пришли.</t>
  </si>
  <si>
    <t>Пахнова</t>
  </si>
  <si>
    <t>Сразу этот дом направо первый, если</t>
  </si>
  <si>
    <t>Каськова идти. А если... А если от нас вы пойдёте, то на левую руку последний.</t>
  </si>
  <si>
    <t>Туда делали лепёшки</t>
  </si>
  <si>
    <t>гли =. Ну, детская игра, туда ставили. Вот такая игра была. Больше ничего.</t>
  </si>
  <si>
    <t>глины</t>
  </si>
  <si>
    <t>А потом вот в Даниловское. Это надо было идти из (</t>
  </si>
  <si>
    <t>) Пятиусова два километра или три.</t>
  </si>
  <si>
    <t>Пятиусова</t>
  </si>
  <si>
    <t>А так как она ездила на лошадях, она всегда из (</t>
  </si>
  <si>
    <t>) Пятиусово что - то приве = привезёт.</t>
  </si>
  <si>
    <t>Он был, я скажу: как</t>
  </si>
  <si>
    <t>Торопы (Торопи) едите, так сразу.</t>
  </si>
  <si>
    <t>Торопы</t>
  </si>
  <si>
    <t>Тоже как выезжаешь из (</t>
  </si>
  <si>
    <t>) Торопы (Торопи) в низине (низина) дом стоит в низине (низина), красная крыша, по - моему, и там что - то ещё.</t>
  </si>
  <si>
    <t>Сейчас скажу кто учился,</t>
  </si>
  <si>
    <t>каких деревень. Так.</t>
  </si>
  <si>
    <t>деревень</t>
  </si>
  <si>
    <t>И тогда вот дочка моя уже ходила из (</t>
  </si>
  <si>
    <t>) Каськово, ходила в Пятиусововот в эту шк =.</t>
  </si>
  <si>
    <t>Это из (</t>
  </si>
  <si>
    <t>) Каськова. Жить не стала, сказала мне дома лучше. Все хотят (хочут) домой.</t>
  </si>
  <si>
    <t>А так вот (вота), а так хорошо, конечно. Было это надо принести</t>
  </si>
  <si>
    <t>ключа оттуда.</t>
  </si>
  <si>
    <t>ключа</t>
  </si>
  <si>
    <t>20240727zes1942</t>
  </si>
  <si>
    <t>Хороших два парня,</t>
  </si>
  <si>
    <t>армии пришли, оба неженатые, не пьют, не курят, но они работают в Твери.</t>
  </si>
  <si>
    <t>армии</t>
  </si>
  <si>
    <t>Больше</t>
  </si>
  <si>
    <t>деревни уже отрадилось, больше рожать не будет никто.</t>
  </si>
  <si>
    <t>Прямо</t>
  </si>
  <si>
    <t>грядки.</t>
  </si>
  <si>
    <t>грядки</t>
  </si>
  <si>
    <t>Ещё мн = вы едете из (</t>
  </si>
  <si>
    <t>) Каськово к Гусевой Тане.</t>
  </si>
  <si>
    <t>Тане, так, две. А ещё, когда едете</t>
  </si>
  <si>
    <t>Торопы, сразу на эту сторону дом.</t>
  </si>
  <si>
    <t>Это будет (будеть) на левую сторону, да. На левой стороне (стороны), как едешь из (</t>
  </si>
  <si>
    <t>) Торопы. Тоже дом, вот.</t>
  </si>
  <si>
    <t>Значит (значить) я собиралась уезжать, уже уволилась из (</t>
  </si>
  <si>
    <t>) совхоза, буду уезжать в город, надоело тут коров доить и глядеть на этих коров.</t>
  </si>
  <si>
    <t>совхоза</t>
  </si>
  <si>
    <t>То я дам денег, мне не жалко. Сказал, вот накосим там пять тонн или шесть, вот</t>
  </si>
  <si>
    <t>этих денег и возьмёшь себе на () магнитофон.</t>
  </si>
  <si>
    <t>денег</t>
  </si>
  <si>
    <t>А сразу, как едешь</t>
  </si>
  <si>
    <t>Пахново, с Пахново едешь так она...</t>
  </si>
  <si>
    <t>Пахново</t>
  </si>
  <si>
    <t>с этого, вот</t>
  </si>
  <si>
    <t>этого загона, вот где поро = вот каждая стоит (стоить), каждая свиноматка стоит (стоить) это вверх земли всё скидывали.</t>
  </si>
  <si>
    <t>этого (загона)</t>
  </si>
  <si>
    <t>Там (тама) привозили маленьких. Сначала привезли на Улине держали кур, оттуда что - то ликвидировали</t>
  </si>
  <si>
    <t>Улина, к нам привезли.</t>
  </si>
  <si>
    <t>Улин</t>
  </si>
  <si>
    <t>Сейчас не могу сказать, а ы = совхоз был, да, да. Ну сколько, какой совхоз - это Муравьёв знает (знаеть) дед вот наверху живёт на горе там он вот тот, оттуда</t>
  </si>
  <si>
    <t>той стороны, он знает всё, а я...</t>
  </si>
  <si>
    <t>стороны</t>
  </si>
  <si>
    <t>Он да, там близко. Он не</t>
  </si>
  <si>
    <t>Улина, но та = а их (ихная) деревня, по - моему он с Ореховки, и их (ихная) деревня подходила к Улину, где он, вот</t>
  </si>
  <si>
    <t>Он да, там близко. Он не с Улина, но та = а их (ихная) деревня, по - моему он</t>
  </si>
  <si>
    <t>Ореховки, и их (ихная) деревня подходила к Улину, где он, вот</t>
  </si>
  <si>
    <t>Ореховки</t>
  </si>
  <si>
    <t>Не, не, с =</t>
  </si>
  <si>
    <t>Макеева я = я = я только знаю, что вот, а = я = я = этот тогда зрение было ездила в Западную ездила, на автобусе больше часа едем. Ехала на Старую Торопу, ехала поездом, а оттуда автобусом ехали. И ехал = езжали в Макеево.</t>
  </si>
  <si>
    <t>Макеева</t>
  </si>
  <si>
    <t>Я... Да. И я  с этой женщиной (женщины). Ну раньше у них детей много было</t>
  </si>
  <si>
    <t>та = Таджикистана вы говорите, да? Ну и тогда они жили в их было, по - моему, семь детей или восемь, что - то такое.</t>
  </si>
  <si>
    <t>Таджикистана</t>
  </si>
  <si>
    <t>20240802zes1942</t>
  </si>
  <si>
    <t>Это</t>
  </si>
  <si>
    <t xml:space="preserve"> Валдая  доехать до ба = до, до базара, до =, до вокзала.</t>
  </si>
  <si>
    <t>Валдая</t>
  </si>
  <si>
    <t>Ну знаю, моя бабушка, по - моему, ж = жила, родом</t>
  </si>
  <si>
    <t>Антонова.</t>
  </si>
  <si>
    <t>Антонова</t>
  </si>
  <si>
    <t>Так - то тут</t>
  </si>
  <si>
    <t>Антоново меньше общаются, чем...</t>
  </si>
  <si>
    <t>Они сами от нас, так,</t>
  </si>
  <si>
    <t>Каськова. Они жили...</t>
  </si>
  <si>
    <t>Горькова? Ну вот где - то туда, где - то в хозяйства туда.</t>
  </si>
  <si>
    <t>Горькова</t>
  </si>
  <si>
    <t>Ты, говорю, видишь? Если сверху смотреть</t>
  </si>
  <si>
    <t>самолёта, то я живу в кругу борщевика.</t>
  </si>
  <si>
    <t>самолёта</t>
  </si>
  <si>
    <t>А в = выключите</t>
  </si>
  <si>
    <t>розетки!</t>
  </si>
  <si>
    <t>розетки</t>
  </si>
  <si>
    <t>И у нас печа была большая. Я даже не знаю из (с) чего она. Мать сказала, из (</t>
  </si>
  <si>
    <t>) камней, вроде, сделана была эта. Она сделана ещё до = до войны.</t>
  </si>
  <si>
    <t>камней</t>
  </si>
  <si>
    <t>хутора перевезена.</t>
  </si>
  <si>
    <t>хутора</t>
  </si>
  <si>
    <t>Она... С = из (</t>
  </si>
  <si>
    <t>) камней делали. Она большая была тоже.</t>
  </si>
  <si>
    <t>А у вас там это, сделана вода</t>
  </si>
  <si>
    <t>колод = колодец?</t>
  </si>
  <si>
    <t>колод</t>
  </si>
  <si>
    <t>Кручу ведь её, чтобы она не выбивалась,</t>
  </si>
  <si>
    <t>рук не в = били.</t>
  </si>
  <si>
    <t>рук</t>
  </si>
  <si>
    <t>этой горы выбивает такая как скважина.</t>
  </si>
  <si>
    <t>горы</t>
  </si>
  <si>
    <t>Он только пришёл</t>
  </si>
  <si>
    <t>армии. И он курил на = на придворке. И тут мы закричали, заохали все.</t>
  </si>
  <si>
    <t>20240804zes1942</t>
  </si>
  <si>
    <t>Да,</t>
  </si>
  <si>
    <t>Пятиусова два километра как раньше ходили напрямую, сейчас во = вокруг ходят на кладбище туда, а раньше была дорога напрямую, два километра.</t>
  </si>
  <si>
    <t>Сразу с магазина, нет, вот</t>
  </si>
  <si>
    <t>магазина по одной линии, вон мага = магазин, там тут (тута) он живёт, тут магазин, вот.</t>
  </si>
  <si>
    <t>магазина</t>
  </si>
  <si>
    <t>А кладбище, так я сейчас вам</t>
  </si>
  <si>
    <t>Торопы правильно идти, вот дорога кончается, как едете в Торопу, да, последний поворот будет на = налево, вон там там на последнем повороте живёт Елена Александровна, учительница.</t>
  </si>
  <si>
    <t>Проходите, заходите, я только</t>
  </si>
  <si>
    <t>бани.</t>
  </si>
  <si>
    <t>бани</t>
  </si>
  <si>
    <t>&lt; нрзб &gt; пятый класс был вот, да, она в пятый класс перешла, на второй год осталась, ну и она не стала, не пошла на второй год. Ну взяли как ребёнка чистить вот эти дороги, ну тогда денег не было, колхоз денег, мы жили в колхозе, в колхозе денег не давали, денег никаких не было, были одни эти, палки назывались, ну и поэтому тогда, а там какие - то деньги платили мизерные, но всё равно платили, так оно вот постепенно и потом она вот в Кунье, она потом подросла, в Кунью, бывало, в Кунье, а бывало, сезон, наверное, там что - то на стройке что - то строили в Кунье, а потом стали вербовать н = на Украину в Ро = в Ростов, не, Ростов, я забыла, на Украину куда, она называла, но я забыла, в какой совхоз, и от нас четыре девочки ездили на Украину в совхоз и там убирали брюкву, урожай, ещё что - то, она называла, я теперь не забыла, но а осенью, когда уже нас приняли в совхоз, я написала ей, сказала, не оставайся, приезжай домой н = м = нас мы теперь зде = на деньги, за деньги (деньга) день = деньги будем получать. Вот и они осенью приехали домой, четверо девочек, они привезла два мешка песка оттуда</t>
  </si>
  <si>
    <t>Украины, приезла два мешка семечек, ещё что - то, ше =, по - моему, шесть мешков, ещё, я забыла что привезла. То ли муки или что - то что - то ещё &lt; нрзб &gt; была дана, их в нашей деревне две было, одна моя сестра и ещё девочка их, вот так оттуда они приехали и денег привезли оттуда и питание это такое, какое давали.</t>
  </si>
  <si>
    <t>Украины</t>
  </si>
  <si>
    <t>А так ну мно = много помню, всё из детства, я думаю, с трёх годов, с трёх лет я чу всё на свете помню, с трёх, если не раньше. Всё ка = как раньше же не было это самое во время войны мне было в сорок пятом году три года было &lt; нрзб &gt; четвёртый шёл, и ну я думаю, это года два мои, я думаю, мне года два было, и тогда был год ну чего - то такой голодный год был совсем, и вот я не помню только сейчас, не могу ск =, лошади то ли умерли (умёрши были) и к = погибали, наверное, и знаю, что бабушка принесла или кто - то принёс ей, она варила это мясо в печке, печи были, печи, в чугунке, чугунки были, в чугунке варила мясо, это потом</t>
  </si>
  <si>
    <t>чугунка вытянула, и стол и дом тот сейчас стоит старый, поставила на стол, вытянула она такие лавки раньше были, ничего не было, одни скамейки были. Ну и она разложила меленько, она мясо такое длинное, помню это, она меленько разрезала, вот ешь потихонечку, это помню хорошо.</t>
  </si>
  <si>
    <t>чугунка</t>
  </si>
  <si>
    <t>Ну ну если у ва = если у вас курица есть, обрежете лопатки все, я как делаю, ну я одна же у вас компания большая, я не знаю, как вы, я делаю этой самой все мякоть, кости эти варю, разрублю и кидаю, а</t>
  </si>
  <si>
    <t>мякоти можете хоть котлет (котлетин) изпечь, хоть там что вы делаете, картошку в сделаете как фарш что, что захотите (захочите).</t>
  </si>
  <si>
    <t>мякоти</t>
  </si>
  <si>
    <t>20231023vpm1934_1</t>
  </si>
  <si>
    <t>VPM1934</t>
  </si>
  <si>
    <t>Ануфриево</t>
  </si>
  <si>
    <t>Ну рассказывайте, где вы были. В Каськове в своём?</t>
  </si>
  <si>
    <t>Касько =</t>
  </si>
  <si>
    <t>Семь. Раньше и было семь. Спасибо, хоть что семь по = отходила. Семь. Семь. В Фофаново училась я. Ну а с =</t>
  </si>
  <si>
    <t>Ануфриево или с = с Ануфриево Фофаново, там одинаковое там расстояние, ходила на работу. Я к восьми часам... Вот видишь, у меня было... Я сюда приехала в двадцать лет, а там было восемнадцать - девятнадцать. В таком возрасте пять - шесть километров ходила пешком на работу. Ну и с работы приходишь, а потом ходили в понедельник, среду и пятницу ходили на курсы медицинских сестёр. Учились после пяти, к семи часам. В два часа приходили домой, а к восьми опять на работу. Так что придёшь... Всякое было. Хорошего не было, ну и что? Сейчас, говорят, тяжело, ну и раньше было тоже не легко. Ну с = самое страшное, девочки милые, чтобы не было войны. Жить можно, картошину постную можно есть (есь), траву есть (есь), чтобы тихо было. Не... Чтобы не было войны. Всё. Я немцев видела, знаю.</t>
  </si>
  <si>
    <t>Нас... Нас выгнали</t>
  </si>
  <si>
    <t>деревни с этой, чтобы нем = первые это... Чтобы немцам этим жить.</t>
  </si>
  <si>
    <t>Они же в магазин - - едят свою, а я свою. Каши готовим, правда каши я беру из (</t>
  </si>
  <si>
    <t>) магазина, тоже под = по = добавляю.</t>
  </si>
  <si>
    <t>Тереп =. Питьё всё из (</t>
  </si>
  <si>
    <t>) магазина берут.</t>
  </si>
  <si>
    <t>Дочка из (</t>
  </si>
  <si>
    <t>) Москвы.</t>
  </si>
  <si>
    <t>Москвы</t>
  </si>
  <si>
    <t>И у нас печа была большая. Я даже не знаю из (с) чего она. Мать сказала,</t>
  </si>
  <si>
    <t>(с) камней, вроде, сделана была эта. Она сделана ещё до = до войны.</t>
  </si>
  <si>
    <t>В хлев?</t>
  </si>
  <si>
    <t>хлева? В поле?</t>
  </si>
  <si>
    <t>хлева</t>
  </si>
  <si>
    <t>хлева в поле в основном шестого мая, в Егорий. Старались в это день, но если сена не =, если травы нет в поле, один год не было травы в поле до, сейчас скажу, до девятнадцатого мая травы не было, был холод как - то один год, и вот Пятиусовские гоняли в Троицкое, есть такое туда. Первое июня, потому что не было травы, а личный скот пускали числа, наверное, пятнадцатого мая, это в зависимости, как есть трава, ну а сейчас его в деревне три коровы, они у всех на привязи, на цепях, там надо в поле и поесть (поись) и &lt; нрзб &gt;.</t>
  </si>
  <si>
    <t>Я = яйца, да, и яйца сдавали в совхоз, ну сами са = сами эти (эты) не, я думаю, ни разу, я не помню, чтобы мы сдавали мясо. А вот когда куры были, сдавали, кур было много, и каждый день возили в в ящиках (ящикам) больших (большим) по шестьсот штук в ящике были. Быва = бывало, это яйца, наверное, летом, летом, наверное, по шесть ящиков и даже в день были, ну много было кур и много яи = яиц было, и были большие расклёвы, а = курица курицу может расклевать, потому что не хватает, мяса давали, мяса, если какая - то, там &lt; нрзб &gt; что - то, то резали, там привозили к нам, и мы варили в котлах, в котлах вместе с картошкой с &lt; нрзб &gt; и давали, тогда вроде поменьше клю =, ну если расклёв был, то нас мы заста нас заставляли сразу её резать, ну в кипяток сажали, вычищали, и только голову себе оставляли, ноги потро = потроха, это себе оставляли, а если, а это сдавали. Вот это самое &lt; нрзб &gt; каждый день суп готовили</t>
  </si>
  <si>
    <t>потрохов, вкусно были, боже мой, хорошо, сейчас в магазине возьму курицу, я даже есть её не могу, она чем - то пахнет, не понимаю я, обвариваю, обвариваю кипятком, и как - то не з = не понимаю, что такое раньше, то ли корм может (може) не такой, что, не знаю.</t>
  </si>
  <si>
    <t>потрохов</t>
  </si>
  <si>
    <t>курицы? Когда, сейчас?</t>
  </si>
  <si>
    <t>курицы</t>
  </si>
  <si>
    <t>Подготовили, конечно, меня туда привез начальник медицинской службы капитан, снизу,</t>
  </si>
  <si>
    <t>Сталиниси.</t>
  </si>
  <si>
    <t>Со</t>
  </si>
  <si>
    <t>льна, такую культуру лён сеяли.</t>
  </si>
  <si>
    <t>льна сделали с этого волокно.</t>
  </si>
  <si>
    <t>Она строилась так, чтобы</t>
  </si>
  <si>
    <t>всех деревень, с округи, был доступ одинаков.</t>
  </si>
  <si>
    <t>Ну</t>
  </si>
  <si>
    <t>всех деревни, ну и у = вот учительница научит там и всё у неё (ней) спросите.</t>
  </si>
  <si>
    <t>А сам дед Петь =, Васька его звали,</t>
  </si>
  <si>
    <t>Спиридова.</t>
  </si>
  <si>
    <t>Корпус говора деревень Шетнево и Макеево</t>
  </si>
  <si>
    <t>20230427apb1940_A</t>
  </si>
  <si>
    <t>apb1940</t>
  </si>
  <si>
    <t>f</t>
  </si>
  <si>
    <t>среднее</t>
  </si>
  <si>
    <t>Паново</t>
  </si>
  <si>
    <t>... Соседка или кто, говорит: " У меня (мине), - говорит, - так было ". И принесла вот такой</t>
  </si>
  <si>
    <t>холста сшитый мешок и ножки все так были враскорячку.</t>
  </si>
  <si>
    <t>холст</t>
  </si>
  <si>
    <t>Бывает закоптишь - Господи! Слигом вот таким всё как навешивают много</t>
  </si>
  <si>
    <t>деревни, вот тогда разбирают, кто где вешал в этой бане (бани).</t>
  </si>
  <si>
    <t>А потом вот</t>
  </si>
  <si>
    <t>Панова с этой деревни, где я родилась, перевезла мамку свою.</t>
  </si>
  <si>
    <t>А потом вот с Панова</t>
  </si>
  <si>
    <t>этой деревни, где я родилась, перевезла мамку свою.</t>
  </si>
  <si>
    <t>Есть этого</t>
  </si>
  <si>
    <t>Москвы, где из Подмосковья приеходчи вот туда у нас и держит.</t>
  </si>
  <si>
    <t>Москва</t>
  </si>
  <si>
    <t>Мы ж ездили втроем в Москву с рюкзаками (рюкзакам). Набираем фрукты, колбасы - всё. Колбасы возили</t>
  </si>
  <si>
    <t>Москвы. Вот. Раньше ж не было этого.</t>
  </si>
  <si>
    <t>Это вот годов пять не стало. А так... А то бывало из Бенец,</t>
  </si>
  <si>
    <t>Торопы даже приезжали сюда в клуб.</t>
  </si>
  <si>
    <t>Торопа</t>
  </si>
  <si>
    <t>И с творогом делали, и с изюмом, и с этой...</t>
  </si>
  <si>
    <t>муки (муке) делали. Бывало такое... на сковороды (сковороде) большую разрисуешь, сверху яичком сладким с песком расколотишь, с.. об... ам.. смажешь. И всё.</t>
  </si>
  <si>
    <t>мука</t>
  </si>
  <si>
    <t>Мне даже ведра не доставалось, даже</t>
  </si>
  <si>
    <t>деревни эти ведра (ведры) тащут.</t>
  </si>
  <si>
    <t>Да, да, да. Он уже</t>
  </si>
  <si>
    <t>армии пришел. Встречались. В пятьдесят девятом году свадьба была, первого февраля.</t>
  </si>
  <si>
    <t>Я варенья</t>
  </si>
  <si>
    <t>клюквы не варила. Мы варили, у нас черники (черниц) полно было. И малины, всяких, всяких было.</t>
  </si>
  <si>
    <t>клюква</t>
  </si>
  <si>
    <t>20210708lxl1941</t>
  </si>
  <si>
    <t>lxl1941</t>
  </si>
  <si>
    <t>m</t>
  </si>
  <si>
    <t>неоконченное среднее</t>
  </si>
  <si>
    <t>Степаньково</t>
  </si>
  <si>
    <t>А вы сами</t>
  </si>
  <si>
    <t>Москвы?</t>
  </si>
  <si>
    <t>Бляха, как мне сейчас не запомнить сейчас, с этого,</t>
  </si>
  <si>
    <t>Волоколамска мы ездили срубы ставить, ещё, бляха, сейчас, на языке вертится...</t>
  </si>
  <si>
    <t>Волоколамск</t>
  </si>
  <si>
    <t>Ну мы доехали... женщина, такая молодая женщина сидела, так говорю... ту, блять, это,</t>
  </si>
  <si>
    <t>Москвы до Ужура. Ужур.</t>
  </si>
  <si>
    <t>20210716mga1932</t>
  </si>
  <si>
    <t>mga1932</t>
  </si>
  <si>
    <t>начальное</t>
  </si>
  <si>
    <t>Пожоги</t>
  </si>
  <si>
    <t>Шетнево</t>
  </si>
  <si>
    <t>Ходили и зерно носили</t>
  </si>
  <si>
    <t>Торопца сеять.</t>
  </si>
  <si>
    <t>Торопец</t>
  </si>
  <si>
    <t>Он в Торопе (Торопы),</t>
  </si>
  <si>
    <t>Торопы приезжают.</t>
  </si>
  <si>
    <t>А им сказали немцы, что надо вот столько - то людей, чтоб на конях отвозить немцев в Торопу, вот папку отправили</t>
  </si>
  <si>
    <t>Торопы, куда их, возили до девяти месяцев, возил зато, было их там, тогда тоже были начальники.</t>
  </si>
  <si>
    <t>Он у нас был =</t>
  </si>
  <si>
    <t>нашей деревни, оттуда.</t>
  </si>
  <si>
    <t>Папка говорит, стали уходить, все согласились, один</t>
  </si>
  <si>
    <t>Орловской области, а другой забыла, откуда, папка говорит, втроем, хлеба говорит...</t>
  </si>
  <si>
    <t>Орловская область</t>
  </si>
  <si>
    <t>Приносил</t>
  </si>
  <si>
    <t>Торопы и сказал, что кончилась война.</t>
  </si>
  <si>
    <t>Это годы уже, я... какой, девяностые, наверно, годы, у меня были, эти, внуки, Любины,</t>
  </si>
  <si>
    <t>Ленинграда, пошла в Торопу.</t>
  </si>
  <si>
    <t>Ленинград</t>
  </si>
  <si>
    <t>Торопы ходит разве? ходит?</t>
  </si>
  <si>
    <t>А</t>
  </si>
  <si>
    <t>Торопы по сколько, три дня?</t>
  </si>
  <si>
    <t>Раньше в Ленинград ходил сквозной</t>
  </si>
  <si>
    <t>Торопы и до Ленинграда ездила, прицепной вагон было, сядешь спокойно, приедешь, и я ездила оттуда к дочке, в Торопе сяду, едешь и домой, и они потом они стали так ходить.</t>
  </si>
  <si>
    <t>Деревню не видать, бывало</t>
  </si>
  <si>
    <t>Макеево вся видать деревня, а сейчас пока к Сомову придёшь, всё заросло.</t>
  </si>
  <si>
    <t>Колхоз, тогда</t>
  </si>
  <si>
    <t>колхоза не давали паспорт, стандартную справку не давали, паспорт, а без паспорта не брали ж.</t>
  </si>
  <si>
    <t>колхоз</t>
  </si>
  <si>
    <t>Раньше присылали вот на тракториста, в колхозы разных, учились где - то на трактор, и присылали - вот сестра моя (у сестры моей) тоже был приехадчи с этой, с этой,</t>
  </si>
  <si>
    <t>Осетии.</t>
  </si>
  <si>
    <t>Осетия</t>
  </si>
  <si>
    <t>Соби = собираем мы это в мешки, в эти пакеты</t>
  </si>
  <si>
    <t>целлофана у нас, и брат отвозит, сын отвозит, в Макеево там свалка.</t>
  </si>
  <si>
    <t>целлофан</t>
  </si>
  <si>
    <t>20220715gip1953</t>
  </si>
  <si>
    <t>gip1953</t>
  </si>
  <si>
    <t>Техничка топила печку, как она топила.. Наверно... Может обронила уголь какой</t>
  </si>
  <si>
    <t>печки. Ну и...</t>
  </si>
  <si>
    <t>печка</t>
  </si>
  <si>
    <t>дому санки брали. И такая была там гора большая, крутая, трамплины такие... Высокая.</t>
  </si>
  <si>
    <t>И... В семь уже и шли</t>
  </si>
  <si>
    <t>дому. А то = зима была тёмная. Снег большой. И вот ходили в Степаньково.</t>
  </si>
  <si>
    <t>Вот то магазин мы и ходили. и</t>
  </si>
  <si>
    <t>Панова люди шли, с Осташково, вот со Щелкиной... И со Степаньково шли в это один магазин. Вот. Это потом построили вот этот кирпичный... Вот.</t>
  </si>
  <si>
    <t>Вот то магазин мы и ходили. и с Панова люди шли,</t>
  </si>
  <si>
    <t>Осташково, вот со Щелкиной... И со Степаньково шли в это один магазин. Вот. Это потом построили вот этот кирпичный... Вот.</t>
  </si>
  <si>
    <t>Осташково</t>
  </si>
  <si>
    <t>Ну а вот сестра моя</t>
  </si>
  <si>
    <t>Ленинграда, а её (еёный) муж - то военный, он прапорщик. И он ему посоветовал поваром.</t>
  </si>
  <si>
    <t>Ты</t>
  </si>
  <si>
    <t>Москвы сама - то? А ты, доча, откуда?</t>
  </si>
  <si>
    <t>А, ты</t>
  </si>
  <si>
    <t>Калужской области...</t>
  </si>
  <si>
    <t>Калужская область</t>
  </si>
  <si>
    <t>А сейчас мать моя умерла, сестра живёт в том доме... там такая большая икона. Такая большая икона...</t>
  </si>
  <si>
    <t>церкви она, эта икона, наверное.</t>
  </si>
  <si>
    <t>церковь</t>
  </si>
  <si>
    <t>20210713mga1932</t>
  </si>
  <si>
    <t>Был старшина = староста выбранный</t>
  </si>
  <si>
    <t>деревни.</t>
  </si>
  <si>
    <t>Говорит, - работали один</t>
  </si>
  <si>
    <t>Орловской области и еще какой - то с ним были в немцах там.</t>
  </si>
  <si>
    <t>избы выгнали, из дому.</t>
  </si>
  <si>
    <t>изба</t>
  </si>
  <si>
    <t>Выгнать</t>
  </si>
  <si>
    <t>дому.</t>
  </si>
  <si>
    <t>сельсовета пришел, говорит, – это...</t>
  </si>
  <si>
    <t>сельсовет</t>
  </si>
  <si>
    <t>Там как едешь, оттуда</t>
  </si>
  <si>
    <t>Торопы, вот там мы жили.</t>
  </si>
  <si>
    <t>Как немцы отогнали</t>
  </si>
  <si>
    <t>района с нашего, так школа открылась.</t>
  </si>
  <si>
    <t>Ленинграда тут были, отдыхали.</t>
  </si>
  <si>
    <t>И это, приезжали</t>
  </si>
  <si>
    <t>Торопца.</t>
  </si>
  <si>
    <t>Тоже</t>
  </si>
  <si>
    <t>одной деревни.</t>
  </si>
  <si>
    <t>Макеево. И замуж вышли сюда.</t>
  </si>
  <si>
    <t>Задницу стирает</t>
  </si>
  <si>
    <t>туалета пришедши.</t>
  </si>
  <si>
    <t>туалет</t>
  </si>
  <si>
    <t>20230427apb1940_B</t>
  </si>
  <si>
    <t>Из глины (</t>
  </si>
  <si>
    <t>гнилы) делали чашки, жбанки</t>
  </si>
  <si>
    <t>глина</t>
  </si>
  <si>
    <t>Ну из глины (</t>
  </si>
  <si>
    <t>глины) сделанные моло = ну такие по два литра этого, молоко раньше же, всё равно банок так не было, вот это жбанки, бывало, молоко цедили</t>
  </si>
  <si>
    <t>Хорошо, и чашки были, даже</t>
  </si>
  <si>
    <t>чашек ели с гнильных (глиняных), была специально у этих</t>
  </si>
  <si>
    <t>чашки</t>
  </si>
  <si>
    <t>Жбанки ну всякую посуду делала из глины (</t>
  </si>
  <si>
    <t>глины), делают</t>
  </si>
  <si>
    <t>20230427gip1953</t>
  </si>
  <si>
    <t>Молодёжи...</t>
  </si>
  <si>
    <t>Антонова идут, и c Панова, и с Осташкова молодёжь.</t>
  </si>
  <si>
    <t>Молодёжи... С Антонова идут, и c Панова, и</t>
  </si>
  <si>
    <t>Осташкова молодёжь.</t>
  </si>
  <si>
    <t>воды вытаскивали. Корыто такое большое.</t>
  </si>
  <si>
    <t>вода</t>
  </si>
  <si>
    <t>Ну прослышишь так ка =: " ой, милиция " - тогда можешь куда - то уйти (войти)</t>
  </si>
  <si>
    <t>= с дому, чтобы приехал - замок.   </t>
  </si>
  <si>
    <t>Я помню у нас одну бабку</t>
  </si>
  <si>
    <t>Шетнево, она умёршая. Ой, тётя Маня такая.</t>
  </si>
  <si>
    <t>Они приехали в Западную - они</t>
  </si>
  <si>
    <t>Западной были ездили - в милицию.</t>
  </si>
  <si>
    <t>шерсти (шерсть). Овец держали, шерсть.</t>
  </si>
  <si>
    <t>шерсть</t>
  </si>
  <si>
    <t>А тут поставили дом, сюда надо переходить. Я плакала! Я помню, несла в мешке кошек, да не одну, наверное девя = три штуки несла. И, что пройду остановлюсь, посмотрю на = взад, на свою деревню, плачу бывало... Куда, как я... И много времени бегала</t>
  </si>
  <si>
    <t>Макеево в Щелкино ночевать. Бабушка там у меня (мине) была, подружки были мои вместе в школу ходили, я бегала туда.</t>
  </si>
  <si>
    <t>Ветка! Помню моя Ветка идёт с поля, а Лёшка был внук маленький, вот у тебя гоню (гну) корову</t>
  </si>
  <si>
    <t>поля. Ва = " Мам! " - на Лариску, - " бабин куст пошёл! ". Забыл, что Ветка, " бабин куст пошёл ".</t>
  </si>
  <si>
    <t>поле</t>
  </si>
  <si>
    <t>Бело = бело - к = и красными (красным) пятнами (пятнам), и вот да = давала было хлебцы, и было знала, что я в магазине работала. Она бывало</t>
  </si>
  <si>
    <t>поля идёт сюда и стоит на крыльце так голову, открыт = дверь открыта (я) и смотрит. И пока я не пойду с магазина домой - её надо привязать на цепь, она не пойдёт ни с кем. И вот было я иду, хлеб у меня (мине) в руке, и она за мной. Я её привяжу... Знала всё. Должна была лебёдка у магазина, чтобы я вышла. Знала, где я, потому что я кормила хлебом её, давала хлебца.</t>
  </si>
  <si>
    <t>Вот. Там не</t>
  </si>
  <si>
    <t>одних он отрубей, но отрубной. Беру вот этот батон. А так хлеба такого простого... Только пишется сколько можно в день съесть. Подожди, сколько там пишут в день хлеба? По - моему двадцать грамм. Я так сижу, думаю: " Ну двадцать грамм мне на день хватит ". И спутала, что двести грамм, думаю: " Ну двести грамм - то - кусок подходящий ". А когда двадцать грамм взвешиваю (свешиваю), ой!</t>
  </si>
  <si>
    <t>отруби</t>
  </si>
  <si>
    <t>20220710zns1939_A</t>
  </si>
  <si>
    <t>zns1939</t>
  </si>
  <si>
    <t>Познакомились? Ну, мы</t>
  </si>
  <si>
    <t>20210706lnt1950</t>
  </si>
  <si>
    <t>lnt1950</t>
  </si>
  <si>
    <t>Украины небось там тоже своё все делают с ягод</t>
  </si>
  <si>
    <t>Украина</t>
  </si>
  <si>
    <t>у вас небось тоже там</t>
  </si>
  <si>
    <t>ягод всё делают</t>
  </si>
  <si>
    <t>ягоды</t>
  </si>
  <si>
    <t>с это</t>
  </si>
  <si>
    <t>Украины =</t>
  </si>
  <si>
    <t>А, самогонку - то, я = у меня ж тоже мужик</t>
  </si>
  <si>
    <t>Украины был</t>
  </si>
  <si>
    <t>Потом нам кто - то = кто - то узнал, что</t>
  </si>
  <si>
    <t>рябины наж = три куста было, это сейчас два куста осталось, как гараж поставили.</t>
  </si>
  <si>
    <t>рябина</t>
  </si>
  <si>
    <t>малин тоже делают как хорошо, тоже говорят вкусная.</t>
  </si>
  <si>
    <t>малины</t>
  </si>
  <si>
    <t>малины ни разу не пробовала, я потом как стала ходить по этим &lt; нрзб &gt;, хожу, они говорят, я говорю, Господи, где только я не побывала с этими ягодами.</t>
  </si>
  <si>
    <t>малина</t>
  </si>
  <si>
    <t>малины, конечно, вкусная. Вкусная - вкусная. Со всего такого сделаешь с ягод – везде всё вкусное.</t>
  </si>
  <si>
    <t>С малины, конечно, вкусная. Вкусная - вкусная. Со всего такого сделаешь</t>
  </si>
  <si>
    <t>ягод – везде всё вкусное.</t>
  </si>
  <si>
    <t>Никаких не делала</t>
  </si>
  <si>
    <t>фруктов.</t>
  </si>
  <si>
    <t>фрукты</t>
  </si>
  <si>
    <t>смородины не делала, тоже не делала.</t>
  </si>
  <si>
    <t>смородина</t>
  </si>
  <si>
    <t>А вот</t>
  </si>
  <si>
    <t>рябины там было, с рябины было так много, один год так было её этой рябины, ужас.</t>
  </si>
  <si>
    <t>А вот с рябины там было,</t>
  </si>
  <si>
    <t>рябины было так много, один год так было её этой рябины, ужас.</t>
  </si>
  <si>
    <t>Трава пошла, дым пошёл</t>
  </si>
  <si>
    <t>бани – значит всё, самогонку гонит сосед.</t>
  </si>
  <si>
    <t>баня</t>
  </si>
  <si>
    <t>&lt; нрзб &gt; договорился, чтоб её сразу сырзавод как</t>
  </si>
  <si>
    <t>Торопы уезжаешь вот к нам сюда едешь, раньше сырзавод был, стоит вот такое здание это, тут был сырзавод, а тут были на этой стороне кусты большие были кусты.</t>
  </si>
  <si>
    <t>И на пирожки ему всегда хватало, бывало сидишь с = девчонка со мной ехала</t>
  </si>
  <si>
    <t>Осташкова, с деревни с этой.</t>
  </si>
  <si>
    <t>И на пирожки ему всегда хватало, бывало сидишь с = девчонка со мной ехала с Осташкова,</t>
  </si>
  <si>
    <t>деревни с этой.</t>
  </si>
  <si>
    <t>Там потому что как - то, я не знаю, что у нас</t>
  </si>
  <si>
    <t>Шетнево не брали – как - то с других деревень брали их туда сразу в Торопу, чтоб там ж хорошо, интернат, всё как...</t>
  </si>
  <si>
    <t>Там потому что как - то, я не знаю, что у нас с Шетнево не брали – как - то</t>
  </si>
  <si>
    <t>других деревень брали их туда сразу в Торопу, чтоб там ж хорошо, интернат, всё как...</t>
  </si>
  <si>
    <t>Мы подходим, мы открываем кабинку, а он вылетает</t>
  </si>
  <si>
    <t>кабинки.</t>
  </si>
  <si>
    <t>кабинка</t>
  </si>
  <si>
    <t>И они с за = вот это шофёр другой был, говорю, был</t>
  </si>
  <si>
    <t>деревни Ванька тоже такой, они поехали, были уже подпивши, и поехали в Степаньково – там же ж Никола, там еще подопьют.</t>
  </si>
  <si>
    <t>Ну. Был магазин в Степанькове, и в = в Степаньково привозили</t>
  </si>
  <si>
    <t>пекарен хлеб, такая была с = такая будочка была, хлеб возили в этой будочке.</t>
  </si>
  <si>
    <t>пекарни</t>
  </si>
  <si>
    <t>А это папка мой, это самое, и друг его (егонный)</t>
  </si>
  <si>
    <t>деревни в ящике этом сидят. Не понимали даже, что они в машине.</t>
  </si>
  <si>
    <t>Пригнаться</t>
  </si>
  <si>
    <t>поля. Пригнаться с поля, надо &lt; нрзб &gt; опять доить</t>
  </si>
  <si>
    <t>А я это, выйду самое. А когда тут была вообще жара, я бы вообще</t>
  </si>
  <si>
    <t>избы не выходила, только утром.</t>
  </si>
  <si>
    <t>И я и у воды этой сидела, не вылезая тоже</t>
  </si>
  <si>
    <t>воды.</t>
  </si>
  <si>
    <t>У нас хоть бы &lt; нрзб &gt; вода у нас. Вся ж тут</t>
  </si>
  <si>
    <t>берегов выходит, весной правда.</t>
  </si>
  <si>
    <t>берега</t>
  </si>
  <si>
    <t>Я... Потому что у нас вот, я тут прожила эти, я тебе говорю самому, мне... Племянник мне вот с Мос =</t>
  </si>
  <si>
    <t>Москвы да, тоже тут ездит, Танин сын.</t>
  </si>
  <si>
    <t>Было как только</t>
  </si>
  <si>
    <t>армии кто приходит, или все... Все, все молодежь ко мне сюда.</t>
  </si>
  <si>
    <t>20210712ivs1954</t>
  </si>
  <si>
    <t>ivs1954</t>
  </si>
  <si>
    <t>Одна</t>
  </si>
  <si>
    <t>Украины приехадчи, ну, живут, наверное, уехали,</t>
  </si>
  <si>
    <t>Ну не</t>
  </si>
  <si>
    <t>самой Москвы, в Зеленограде.</t>
  </si>
  <si>
    <t>ну</t>
  </si>
  <si>
    <t>Москвы на такси сел,</t>
  </si>
  <si>
    <t>с этого,</t>
  </si>
  <si>
    <t>Кремлёвской больницы.</t>
  </si>
  <si>
    <t>больница</t>
  </si>
  <si>
    <t>20220710zns1939</t>
  </si>
  <si>
    <t>В Западную даже можно съездить, тогда возят вот. В четверг. Приезжают.</t>
  </si>
  <si>
    <t>Торопы привезут утром, вот, в один час (часов).</t>
  </si>
  <si>
    <t>А вот как будешь</t>
  </si>
  <si>
    <t>магазина? Ну.</t>
  </si>
  <si>
    <t>магазин</t>
  </si>
  <si>
    <t>20220710mga1932</t>
  </si>
  <si>
    <t>Ну... В прошлом году я лучше была, нынче совсем плохая. Вот</t>
  </si>
  <si>
    <t>больницы только приехала.</t>
  </si>
  <si>
    <t>Меня учила Раиса Георгиевна, где - то</t>
  </si>
  <si>
    <t>Екатерина Васильевна учила, потом Василий Никонорович</t>
  </si>
  <si>
    <t>армии приехал, с войны раненый, и учил нас.</t>
  </si>
  <si>
    <t>Вот такая была парта,</t>
  </si>
  <si>
    <t>тёсу сбита и эт = за этой партой (этым партым) сидели.</t>
  </si>
  <si>
    <t>тёс</t>
  </si>
  <si>
    <t>Ну, ну, втроём. У на = и он был у немцев (немцах), ещё был там отсюда (отседава)</t>
  </si>
  <si>
    <t>Шетнева тоже мужчина.</t>
  </si>
  <si>
    <t>И он всю войну возил</t>
  </si>
  <si>
    <t>боя раненых.</t>
  </si>
  <si>
    <t>бой</t>
  </si>
  <si>
    <t>Вот мы едем</t>
  </si>
  <si>
    <t>Ленинграда и проезжаем тоже такие же дома, как и у нас, заросшие, брошеные, ну?</t>
  </si>
  <si>
    <t>20230505anv1941</t>
  </si>
  <si>
    <t>anv1941</t>
  </si>
  <si>
    <t>А, это мне</t>
  </si>
  <si>
    <t>Западной привёз малец &lt; нрзб &gt;, он часто мне ездит &lt; нрзб &gt;.</t>
  </si>
  <si>
    <t>Не, он, он брал это</t>
  </si>
  <si>
    <t>Лук, по - моему, тоже говорил мне.</t>
  </si>
  <si>
    <t>Луки</t>
  </si>
  <si>
    <t>В армию пошёл,</t>
  </si>
  <si>
    <t>армии пришёл, меня бригадир (бригадёр) &lt; нрзб &gt; бригады послал в колхоз.</t>
  </si>
  <si>
    <t>Это станция, на станцию мы приезжали, на станцию тогда, на машины грузились там</t>
  </si>
  <si>
    <t>поезда.</t>
  </si>
  <si>
    <t>поезд</t>
  </si>
  <si>
    <t>Ну кто поедет зерно оттудова</t>
  </si>
  <si>
    <t>Красноярска поедет зерно сюда домой &lt; нрзб &gt; ну там копейки какие - то зерно, зерно там и стоит зерно.</t>
  </si>
  <si>
    <t>Красноярск</t>
  </si>
  <si>
    <t>20220711zns1939</t>
  </si>
  <si>
    <t>овец.</t>
  </si>
  <si>
    <t>овцы</t>
  </si>
  <si>
    <t>Эти =, бывало одёжу, которая негожа, или где разорвётся, её режешь, и</t>
  </si>
  <si>
    <t>этих тряпок и вяжешь круги эти.</t>
  </si>
  <si>
    <t>тряпки</t>
  </si>
  <si>
    <t>трёх сосков - три соска было у коровы, она юрко доилась - и вот она любила её тягать.</t>
  </si>
  <si>
    <t>соски</t>
  </si>
  <si>
    <t>20210707gip1953</t>
  </si>
  <si>
    <t>Западной Двины доставляли.</t>
  </si>
  <si>
    <t>А вы все сами</t>
  </si>
  <si>
    <t>города все или с деревни? Из города? Ага</t>
  </si>
  <si>
    <t>город</t>
  </si>
  <si>
    <t>А вы все сами с города все или</t>
  </si>
  <si>
    <t>деревни? Из города? Ага</t>
  </si>
  <si>
    <t>Ферма была отдельно вот так там у нас в начале деревни, как выезжаешь</t>
  </si>
  <si>
    <t>леса, ферма была.</t>
  </si>
  <si>
    <t>лес</t>
  </si>
  <si>
    <t>Нет. Я ее не пробовала. Вот зерно, пшеницу, варили кашу, кутью такой, называется кутья. Делали. Её паришь хорошо, чтоб она такая была вся паристая, кипяточку набавляешь и песочку туда. Вкусно, душистая такая</t>
  </si>
  <si>
    <t>пшена. Пшена, вкусная</t>
  </si>
  <si>
    <t>пшено</t>
  </si>
  <si>
    <t>Свои ходили продавцы по деревне, и сами носили, и бывало там дела,</t>
  </si>
  <si>
    <t>Щелкино деревня за два километра с подругой бывало: 'Бабушка, дай два яичка', - и бежим в магазин, чтоб купить петушков на палочке, по два петушка. Вот так, не было сладостей никаких, а сейчас: 'Ой, это невкусные конфеты, это я не буду, ой, не, такие не'. Вот так... А мы были рады хоть какой конфетинке</t>
  </si>
  <si>
    <t>Щелкино</t>
  </si>
  <si>
    <t>и... а другой сын двадцать один</t>
  </si>
  <si>
    <t>армии пришел в ноябре, тот тоже в Ленинграде. Они работают в этом, где машины хорошие импортные делают.</t>
  </si>
  <si>
    <t>Ну такое же, рисование, физкультура, ну, вот эти самые, ну,</t>
  </si>
  <si>
    <t>пластилина труды были, вот так вот, мальчишки там что - то вырезали, а мы лепили. Вот так что вот так вот.</t>
  </si>
  <si>
    <t>пластилин</t>
  </si>
  <si>
    <t>Сырники</t>
  </si>
  <si>
    <t>творога.</t>
  </si>
  <si>
    <t>творог</t>
  </si>
  <si>
    <t>Оо, у нас бывало в (у) клубе народу, музыка, гармонь, идут со Старой Торопы,</t>
  </si>
  <si>
    <t>Антона, со всех деревень, пляска до утра. Сейчас тоже гуляют, но...</t>
  </si>
  <si>
    <t>Антон</t>
  </si>
  <si>
    <t>Да, да. И</t>
  </si>
  <si>
    <t>народу много собирается.</t>
  </si>
  <si>
    <t>народ</t>
  </si>
  <si>
    <t>Да, я ходила, как могла - не могла. Поля гоняли</t>
  </si>
  <si>
    <t>колхоза, бывало пойдем на танцы, в (у) Бенцы ходили.</t>
  </si>
  <si>
    <t>Ну, мне как - то принес паренек</t>
  </si>
  <si>
    <t>Шетнево, котеночком его. А у моей Ларисы, краси = желтые, такие красивые, ой.</t>
  </si>
  <si>
    <t>А... А вот</t>
  </si>
  <si>
    <t>Шетнево (в) деревню носила и (в) Макеево, ещё там было Осташково, но сейчас там никого нету. Туда я ходила раз в неделю, там жила одна бабка, она сейчас умерла.</t>
  </si>
  <si>
    <t>Сюда.</t>
  </si>
  <si>
    <t>Западной Двины довозили к нам сюда вот на почту.</t>
  </si>
  <si>
    <t>Всё пришла, да курочка. Даже не боится никого. Вот. Идёт в деревню, и всё. А там один мужик, говорит,</t>
  </si>
  <si>
    <t>Щелкино деревни, говорит, по деревне ходит.</t>
  </si>
  <si>
    <t>Была. У нас была медичка, медпункт был вот как въезжаешь</t>
  </si>
  <si>
    <t>бора.</t>
  </si>
  <si>
    <t>бор</t>
  </si>
  <si>
    <t>Потом пошли, после этого полония, грязная ж такая, пойду, баня у них, баня своя, пойду помоюсь (помоюся).</t>
  </si>
  <si>
    <t>бани вышла одна сюда, одна в палец, одна сюда, только жало.</t>
  </si>
  <si>
    <t>Хлеба белого, хлеба белого, рады, тётка</t>
  </si>
  <si>
    <t>Ленинграда было полный чемодан батона везёт.</t>
  </si>
  <si>
    <t>Жирная, конечно, сметана, я пожиже делала, чтоб не была такая густая, как сейчас,</t>
  </si>
  <si>
    <t>сепаратора она даже намажешь на хлеб – как сме = как масло.</t>
  </si>
  <si>
    <t>сепаратор</t>
  </si>
  <si>
    <t>Я делала не, сливы когда бывают делают,</t>
  </si>
  <si>
    <t>яблок делаю,</t>
  </si>
  <si>
    <t>яблоки</t>
  </si>
  <si>
    <t>смороды чёрной и красной, когда сморода чёрная – и с черникой вместе.</t>
  </si>
  <si>
    <t>сморода</t>
  </si>
  <si>
    <t>Вот до этого были, да, когда ещё до меня вот вых = женились (женилися),</t>
  </si>
  <si>
    <t>Панова там, у них лошади были запряжённые.</t>
  </si>
  <si>
    <t>Платье было белое, да, и туфельки белые были - тётка мне</t>
  </si>
  <si>
    <t>Ленинграда прислала, купила.</t>
  </si>
  <si>
    <t>На следующий день, вот повадился (понравился) один салат, такой был хороший сделано там</t>
  </si>
  <si>
    <t>зелени, со свежих этих фруктов, я ела только один салат, и на другой день его ела.</t>
  </si>
  <si>
    <t>зелень</t>
  </si>
  <si>
    <t>Ванька, маленький который,</t>
  </si>
  <si>
    <t>армии - то, двадцать... двадцать первый год ему.</t>
  </si>
  <si>
    <t>Ой, ууу, укусит сразу, такой был строгий. Потом он, начальник поставила, мыши появились на почте, откуда – не знаю, она принесла</t>
  </si>
  <si>
    <t>дому потравить, тушенка там с чем - то у неё было, а я - то не знала. Мы пришли на почту, он шалык а он это съел, это всё. И как ему потом плохо, он всё, пил всё время, и потом он умёр, отравился.</t>
  </si>
  <si>
    <t>Думаю, дай я посильней - она хоп, девка моя</t>
  </si>
  <si>
    <t>люльки хоп на пол.</t>
  </si>
  <si>
    <t>люлька</t>
  </si>
  <si>
    <t>Они же ж это,</t>
  </si>
  <si>
    <t>железа срубл = сделанные.</t>
  </si>
  <si>
    <t>железо</t>
  </si>
  <si>
    <t>ну,</t>
  </si>
  <si>
    <t>щербачка.</t>
  </si>
  <si>
    <t>щербачок</t>
  </si>
  <si>
    <t>Что мы делали раньше - блины пекли</t>
  </si>
  <si>
    <t>грязи.</t>
  </si>
  <si>
    <t>грязь</t>
  </si>
  <si>
    <t>Знакомая там работала от нас, она</t>
  </si>
  <si>
    <t>Шетнево женщина, поехала. " Маша, – говорю, – как, что мне делать, ну вот выпускной - теперь тут (тута) мне дырочка. "</t>
  </si>
  <si>
    <t>А я тоже вот холодные зимы были - бывало прибегу</t>
  </si>
  <si>
    <t>магазина, ой, холодно, замерзши всё, ой, я не обедала, я скорей на печку.</t>
  </si>
  <si>
    <t>Твери приехали ко мне и сразу все спать легли – заснули.</t>
  </si>
  <si>
    <t>Тверь</t>
  </si>
  <si>
    <t>Из Щелкино, сынок.</t>
  </si>
  <si>
    <t>той деревни. Она в магазин ходила, потом уже в последнее время она старая, не стала ходить.</t>
  </si>
  <si>
    <t>Так если чуть - чуть, там вот маленько так</t>
  </si>
  <si>
    <t>берегов чуть - чуть если, вот.</t>
  </si>
  <si>
    <t>Опять</t>
  </si>
  <si>
    <t>душа домой.</t>
  </si>
  <si>
    <t>душ</t>
  </si>
  <si>
    <t>Я вот тогда</t>
  </si>
  <si>
    <t>доярок пошла кладовщиком.</t>
  </si>
  <si>
    <t>доярки</t>
  </si>
  <si>
    <t>Там убирали, это, вывозили</t>
  </si>
  <si>
    <t>боя, и он отвозил в госпиталь, где там был...</t>
  </si>
  <si>
    <t>Картошечки, щи были в моде, щи</t>
  </si>
  <si>
    <t>кислой капусты. Ну какую котлетину, может быть, винегрет, вот так.</t>
  </si>
  <si>
    <t>капуста</t>
  </si>
  <si>
    <t>А что если полить - со шлангом. К колонке подключаем шланг, и</t>
  </si>
  <si>
    <t>шланга полью если что надо.</t>
  </si>
  <si>
    <t>шланг</t>
  </si>
  <si>
    <t>Щелкина и был.</t>
  </si>
  <si>
    <t>Вот было катаемся,</t>
  </si>
  <si>
    <t>школы идём, санки... В школу идём, санки бросаем... На этой (этый) горке. Со школы идём, катаемся.</t>
  </si>
  <si>
    <t>школа</t>
  </si>
  <si>
    <t>Вот то магазин мы и ходили. и с Панова люди шли, с Осташково, вот</t>
  </si>
  <si>
    <t>Щелкиной... И со Степаньково шли в это один магазин. Вот. Это потом построили вот этот кирпичный... Вот.</t>
  </si>
  <si>
    <t>Вот то магазин мы и ходили. и с Панова люди шли, с Осташково, вот со Щелкиной... И</t>
  </si>
  <si>
    <t>Степаньково шли в это один магазин. Вот. Это потом построили вот этот кирпичный... Вот.</t>
  </si>
  <si>
    <t>Со Щел... Раньше я родилась там, в той деревне,</t>
  </si>
  <si>
    <t>Щелкино. Ходили... Бабушка было даст два яичка...</t>
  </si>
  <si>
    <t>Э... По тропинке, на обочину... Чистый снег отгребем, туда хлеб положим. Закопаем снегом.</t>
  </si>
  <si>
    <t>школы идём, мы его раскапываем...</t>
  </si>
  <si>
    <t>А мы форма была раньше. Иногда было её прийти</t>
  </si>
  <si>
    <t>школы, отпарить, чтоб она была чистенькая. Воротнички беленькие пришить, постирать, они же быстро пачкаются. И галстук вот этот надо его мыть, ещё.</t>
  </si>
  <si>
    <t>Боялись - раньше милиция бе = ездила по деревням. Мы бывало</t>
  </si>
  <si>
    <t>школы идём: " Ой, милиция ", - говорят, - " милиция там - то, милиция ". А сразу выливала милиция, если находила.</t>
  </si>
  <si>
    <t>Ну и мы так идём</t>
  </si>
  <si>
    <t>школы: на, ведут эту женщину - под руки, всё плачут, сын со школы прибежал (прибег). Что сейчас - в тюрьму сажать.</t>
  </si>
  <si>
    <t>Я вот жила в соседней деревне, вот этом, Щелкино называется. Я</t>
  </si>
  <si>
    <t>Щелкино в Макеево не хотела.</t>
  </si>
  <si>
    <t>Ну, далёко ж ходить было в Степаньково, вот попробуй идти на такую даль туда и назад. Это хорошо, что потом папка у меня работал шофёром – он было за нами приезжает в Степаньково – приедет за нами и с нами тогда вот едет домой, нас везёт</t>
  </si>
  <si>
    <t>школы, вот, кого там.</t>
  </si>
  <si>
    <t>Вот до чего допивались. Это ж = я не знаю, как только ехать. А</t>
  </si>
  <si>
    <t>Степанькова ж ехать, приехать домой – как бы это хоть бы в чём ни бывало.</t>
  </si>
  <si>
    <t>Да. Всегда... обязательно. И носки и валенки, всё</t>
  </si>
  <si>
    <t>своей шерсти было всё.</t>
  </si>
  <si>
    <t>Бывало всё варенье варю.</t>
  </si>
  <si>
    <t>слив.</t>
  </si>
  <si>
    <t>сливы</t>
  </si>
  <si>
    <t>Да, нитки делали (из)</t>
  </si>
  <si>
    <t>льна.</t>
  </si>
  <si>
    <t>Нет. Я, во - первых, боялась как - то учителей, старших и уважала как - то, но это... Родителям бывало записки пишут</t>
  </si>
  <si>
    <t>школы. Директор пишет родителям записку, что вот там примерно. Сейчас они... сейчас они родителей посылают на три буквы.</t>
  </si>
  <si>
    <t>Оо, у нас бывало в (у) клубе народу, музыка, гармонь, идут</t>
  </si>
  <si>
    <t>Старой Торопы, с Антона, со всех деревень, пляска до утра. Сейчас тоже гуляют, но...</t>
  </si>
  <si>
    <t>Старая Торопа</t>
  </si>
  <si>
    <t>Оо, у нас бывало в (у) клубе народу, музыка, гармонь, идут со Старой Торопы, с Антона,</t>
  </si>
  <si>
    <t>всех деревень, пляска до утра. Сейчас тоже гуляют, но...</t>
  </si>
  <si>
    <t>Это, в снег закопаем его, чтоб он замёрз такой,</t>
  </si>
  <si>
    <t>школы идем, хлеба нет, собаки нашли.</t>
  </si>
  <si>
    <t>Они же, собаки - то бегают, а хлеб, мы идём по тропинке, там где - то недалеко закопаем в снег.</t>
  </si>
  <si>
    <t>школы цап, нету.</t>
  </si>
  <si>
    <t>На следующий день, вот повадился (понравился) один салат, такой был хороший сделано там с зелени,</t>
  </si>
  <si>
    <t>свежих этих фруктов, я ела только один салат, и на другой день его ела.</t>
  </si>
  <si>
    <t>У нас так одна девочка пошла в шко =</t>
  </si>
  <si>
    <t>школы купаться на речку и утонула, это уже давно..</t>
  </si>
  <si>
    <t>Помню, я ещё в школу ходила сюда в Шетнево, идём</t>
  </si>
  <si>
    <t>школы – огонь, горят, сгорели. Дом и дети сгорели.</t>
  </si>
  <si>
    <t>И мы с = ходили</t>
  </si>
  <si>
    <t>школы = в школу ходили со Щелкино в (у) Шетнево и брали с собой саночки, саночки такие торговые.</t>
  </si>
  <si>
    <t>И мы с = ходили со школы = в школу ходили</t>
  </si>
  <si>
    <t>Щелкино в (у) Шетнево и брали с собой саночки, саночки такие торговые.</t>
  </si>
  <si>
    <t>И вот там такая у нас гора крутая, и с этой горы</t>
  </si>
  <si>
    <t>школы санки бросали и с этой горы катались (каталися).</t>
  </si>
  <si>
    <t>Возили специально санки, оставляли на горе (горы),</t>
  </si>
  <si>
    <t>школы шли - и на этой горе (горы) катались на крутой.</t>
  </si>
  <si>
    <t>Большая гора была сделана,</t>
  </si>
  <si>
    <t>снега.</t>
  </si>
  <si>
    <t>снег</t>
  </si>
  <si>
    <t>Корпус Опочецких говоров</t>
  </si>
  <si>
    <t>20180622_svi1980</t>
  </si>
  <si>
    <t>сви1980</t>
  </si>
  <si>
    <t>unknown</t>
  </si>
  <si>
    <t>Мамка нас бросила, кинула, его выкинула</t>
  </si>
  <si>
    <t>Новосокольников. А мамка нас бросила.</t>
  </si>
  <si>
    <t>Новосокольники</t>
  </si>
  <si>
    <t>Нет, вон,</t>
  </si>
  <si>
    <t>колодца, ну, со скважины. Не знаю, ходишь в магазин...</t>
  </si>
  <si>
    <t>колодец</t>
  </si>
  <si>
    <t>20180620_nae1958</t>
  </si>
  <si>
    <t>нае1958</t>
  </si>
  <si>
    <t>среднее специальное</t>
  </si>
  <si>
    <t>того края, а вот Илья в другой деревне.</t>
  </si>
  <si>
    <t>край</t>
  </si>
  <si>
    <t>Так у нас дядя Павлик был</t>
  </si>
  <si>
    <t>Барабан.</t>
  </si>
  <si>
    <t>Барабаны</t>
  </si>
  <si>
    <t>Все тор =</t>
  </si>
  <si>
    <t>торфопредприятий были.</t>
  </si>
  <si>
    <t>торфопредприятие</t>
  </si>
  <si>
    <t>Были вот Крепецкое вот, со Пскова,</t>
  </si>
  <si>
    <t>Великих Лук, с Острова, где вот торфоразработки были...</t>
  </si>
  <si>
    <t>Великие Луки</t>
  </si>
  <si>
    <t>Были вот Крепецкое вот, со Пскова, с Великих Лук,</t>
  </si>
  <si>
    <t>Острова, где вот торфоразработки были...</t>
  </si>
  <si>
    <t>Остров</t>
  </si>
  <si>
    <t>Вот приедет</t>
  </si>
  <si>
    <t>Питера, заработает денег - тут пьют.</t>
  </si>
  <si>
    <t>Питер</t>
  </si>
  <si>
    <t>Привезли...</t>
  </si>
  <si>
    <t>амбара со старинного... С...</t>
  </si>
  <si>
    <t>амбар</t>
  </si>
  <si>
    <t>Как Понютино было раньше,</t>
  </si>
  <si>
    <t>хутора.</t>
  </si>
  <si>
    <t>хутор</t>
  </si>
  <si>
    <t>С как =,</t>
  </si>
  <si>
    <t>тряпочек, вот, такие делали...</t>
  </si>
  <si>
    <t>тряпочка</t>
  </si>
  <si>
    <t>отходов, которые там вот эти все...</t>
  </si>
  <si>
    <t>отходы</t>
  </si>
  <si>
    <t>У дедушки были, вот я помню вот так например</t>
  </si>
  <si>
    <t>одной комнаты и на всю длину комнаты такая было у них...</t>
  </si>
  <si>
    <t>комната</t>
  </si>
  <si>
    <t>С этих</t>
  </si>
  <si>
    <t>болот собирали, в машины вот эти специальные торф, сушили, привозили машинами.</t>
  </si>
  <si>
    <t>болота</t>
  </si>
  <si>
    <t>Внутри Гузова он... Во сколько,</t>
  </si>
  <si>
    <t>Опочки он выходит... В час тридцать пять.</t>
  </si>
  <si>
    <t>Опочка</t>
  </si>
  <si>
    <t>Тоже вот это пиво. Вот и баба Зина</t>
  </si>
  <si>
    <t>Кадникова, она тоже оттуда.</t>
  </si>
  <si>
    <t>Кадников</t>
  </si>
  <si>
    <t>Нет, на девять дней это так, только что на девять дней, ну, я считаю, только не собирали вот раньше, вот когда похороны, тогда вот все</t>
  </si>
  <si>
    <t>деревни приходили, поминали.</t>
  </si>
  <si>
    <t>Опочки, с профтехучилища.</t>
  </si>
  <si>
    <t>Женщина, с мас = с ребятами с этих,</t>
  </si>
  <si>
    <t>училищ, они вот штукатуры - маляры, вот это всё они, кое - что они подрабатывали на эти деньги.</t>
  </si>
  <si>
    <t>училище</t>
  </si>
  <si>
    <t>Она сделана такая, как вот, со льна,</t>
  </si>
  <si>
    <t>мотка она такой паутинкой (таким паутинкам) была.</t>
  </si>
  <si>
    <t>моток</t>
  </si>
  <si>
    <t>&lt; И вот &gt; сказали, что голосовать нет. А эти</t>
  </si>
  <si>
    <t>Питера.</t>
  </si>
  <si>
    <t>(нрзб) детей собирает и в три часа забирает</t>
  </si>
  <si>
    <t>Опочки привозит, специальный школьный автобус.</t>
  </si>
  <si>
    <t>20180619_vav1949</t>
  </si>
  <si>
    <t>вав1949</t>
  </si>
  <si>
    <t>Ну &lt; нрзб &gt;: уезжай</t>
  </si>
  <si>
    <t>Ленинграда, езжай, с астмой своей уезжай.</t>
  </si>
  <si>
    <t>20190702_ive1949</t>
  </si>
  <si>
    <t>иве1949</t>
  </si>
  <si>
    <t>Был начальником уголовного розыска, потом</t>
  </si>
  <si>
    <t>уголовного розыска он...</t>
  </si>
  <si>
    <t>уголовный розыск</t>
  </si>
  <si>
    <t>Вот,</t>
  </si>
  <si>
    <t>отпуска поехал учиться сразу.</t>
  </si>
  <si>
    <t>отпуск</t>
  </si>
  <si>
    <t>армии опять сюда в колхоз пришёл.</t>
  </si>
  <si>
    <t>Не, она</t>
  </si>
  <si>
    <t>Пустошки сама, за Пустошкой ещё.</t>
  </si>
  <si>
    <t>Пустошка</t>
  </si>
  <si>
    <t>с = съезжались и в...</t>
  </si>
  <si>
    <t>Варыгина приезжали оттуда.</t>
  </si>
  <si>
    <t>Варыгино</t>
  </si>
  <si>
    <t>20180621_avv1933</t>
  </si>
  <si>
    <t>авв1933</t>
  </si>
  <si>
    <t>неоконченное начальное</t>
  </si>
  <si>
    <t>перейти, но выгоняли &lt; вон &gt; избу</t>
  </si>
  <si>
    <t>краю в край.</t>
  </si>
  <si>
    <t>Матюшек не стала учиться, как вы думаете...</t>
  </si>
  <si>
    <t>Матюшки</t>
  </si>
  <si>
    <t>книжки.</t>
  </si>
  <si>
    <t>книжка</t>
  </si>
  <si>
    <t>ведра - пол ведра раздашь.</t>
  </si>
  <si>
    <t>ведро</t>
  </si>
  <si>
    <t>Хлеба попросишь приве =, чтоб привезли</t>
  </si>
  <si>
    <t>Опочки,</t>
  </si>
  <si>
    <t>Нет, не надо, не - не - не, мой хороший, не - не - не, это тоже, я только - только приехала</t>
  </si>
  <si>
    <t>магазина и чай купила, и вот это, я прям с Опочки, с этого.</t>
  </si>
  <si>
    <t>Нет, не надо, не - не - не, мой хороший, не - не - не, это тоже, я только - только приехала с магазина и чай купила, и вот это, я прям</t>
  </si>
  <si>
    <t>Опочки, с этого.</t>
  </si>
  <si>
    <t>Милые, это вот она приехавши с = у меня</t>
  </si>
  <si>
    <t>Ленинграда, а так она б жила в Ленинграде.</t>
  </si>
  <si>
    <t>А эти</t>
  </si>
  <si>
    <t>тележки бегом разгрузили.</t>
  </si>
  <si>
    <t>тележка</t>
  </si>
  <si>
    <t>и с самой течёт - течёт всё как вот</t>
  </si>
  <si>
    <t>воды вылезши.</t>
  </si>
  <si>
    <t>песку &lt; нрзб &gt;, с песку делают квасы.</t>
  </si>
  <si>
    <t>песок</t>
  </si>
  <si>
    <t>И вот, продали машину, его</t>
  </si>
  <si>
    <t>Ленинграда привезли.</t>
  </si>
  <si>
    <t>20180622_onv1972</t>
  </si>
  <si>
    <t>онв1972</t>
  </si>
  <si>
    <t>Это вы</t>
  </si>
  <si>
    <t>Барабанов или с Глазаново в такую даль пошли?</t>
  </si>
  <si>
    <t>Это вы с Барабанов или</t>
  </si>
  <si>
    <t>Глазаново в такую даль пошли?</t>
  </si>
  <si>
    <t>Глазаново</t>
  </si>
  <si>
    <t>Местный мент ко мне тормознулся, говорит: " Продай ягоды за сто пятьдесят ". Я говорю: " Ты ещё скажи за пятьдесят рублей тебе отдать, а. Ну иди сходи комаров - то покорми, " - я говорю, - " вылези ты сам</t>
  </si>
  <si>
    <t>этой машины ". Сидит ещё, на машине, как король.</t>
  </si>
  <si>
    <t>машина</t>
  </si>
  <si>
    <t>Я и тут торгую, у меня столик тут сбит, всё</t>
  </si>
  <si>
    <t>досок так. Пеньки принесём, скамеек вон на велосипеде (лесопеде), да и всё.</t>
  </si>
  <si>
    <t>доски</t>
  </si>
  <si>
    <t>Я наоборот</t>
  </si>
  <si>
    <t>города его притаскивала с клещами, с Ленинграда.</t>
  </si>
  <si>
    <t>Я наоборот с города его притаскивала с клещами,</t>
  </si>
  <si>
    <t>Ленинграда.</t>
  </si>
  <si>
    <t>Оставляем тазики, где стираться вот на пруду, например, да, где полоскаешься, ты ж не будешь в пруду полоскаться у нас, берёшь</t>
  </si>
  <si>
    <t>ведерка, набираешь в тазик, полоскаешься там...</t>
  </si>
  <si>
    <t>ведерко</t>
  </si>
  <si>
    <t>А бабушка приехала тоже</t>
  </si>
  <si>
    <t>Ленинграда сюда, купила дом, здесь в прокат под дачу, так и осталась тут.</t>
  </si>
  <si>
    <t>Девчушечки вылезают там</t>
  </si>
  <si>
    <t>машин. Миленький, ты ж куда в сандаликах пошёл, говорю.</t>
  </si>
  <si>
    <t>машины</t>
  </si>
  <si>
    <t>Да сейчас всё</t>
  </si>
  <si>
    <t>вертолётов, с самолётов, вот это всё, эксперименты вот эти делают, всяких разных же скидывают.</t>
  </si>
  <si>
    <t>вертолеты</t>
  </si>
  <si>
    <t>Да сейчас всё с вертолётов,</t>
  </si>
  <si>
    <t>самолётов, вот это всё, эксперименты вот эти делают, всяких разных же скидывают.</t>
  </si>
  <si>
    <t>самолеты</t>
  </si>
  <si>
    <t>К ней приезжали</t>
  </si>
  <si>
    <t>Ленинграда, с Москвы, со всюду, её фотографи = " Бабушка, скажи, где бункер? Ну что тебе, жалко сказать? " " Нет! ".</t>
  </si>
  <si>
    <t>К ней приезжали с Ленинграда,</t>
  </si>
  <si>
    <t>Москвы, со всюду, её фотографи = " Бабушка, скажи, где бункер? Ну что тебе, жалко сказать? " " Нет! ".</t>
  </si>
  <si>
    <t>Поел</t>
  </si>
  <si>
    <t>дома и уже опять смылся.</t>
  </si>
  <si>
    <t>20190701_saf1973</t>
  </si>
  <si>
    <t>саф1973</t>
  </si>
  <si>
    <t>высшее</t>
  </si>
  <si>
    <t>Нет. Она была или</t>
  </si>
  <si>
    <t>Жарков... в Жарках, в Жарках они жили.</t>
  </si>
  <si>
    <t>Жарки</t>
  </si>
  <si>
    <t>Они жили,</t>
  </si>
  <si>
    <t>Питера приезжали, вот. Даже пристройку там специально построили вот ту, она у него для дачников тогда, –</t>
  </si>
  <si>
    <t>Два: в один прилетели, вот сейчас поеду посмотрю, и тут мне сегодня знакомый</t>
  </si>
  <si>
    <t>Макушино позвонил, сказал, говорит: " Серёга, приезжай, забирай пчёл ".</t>
  </si>
  <si>
    <t>Макушино</t>
  </si>
  <si>
    <t>ну, это, как только перейдёте болотину – сейчас не знаю, вода есть там или нет. Там ручей тоже, ну не ручей, такая как бы, ну, канавина не канавина, лужина не лужина – просто болото</t>
  </si>
  <si>
    <t>одного места перетекает через дорожу вот.</t>
  </si>
  <si>
    <t>место</t>
  </si>
  <si>
    <t>Там как бы получается будет такая ложбинка, ну в общем, не = там не мосток, но</t>
  </si>
  <si>
    <t>болотины тоже вода течёт, но там крепко, песочек.</t>
  </si>
  <si>
    <t>болотина</t>
  </si>
  <si>
    <t>Ну, он уехал</t>
  </si>
  <si>
    <t>Воркуты. Он был там сварщиком, потом он там трудоспособность потерял: где - то там что - то упало, его там по запчастям собирали, то есть грубо говоря, вот так...</t>
  </si>
  <si>
    <t>Воркута</t>
  </si>
  <si>
    <t>Пацаны с этого самого,</t>
  </si>
  <si>
    <t>города сетку [привозили], девчонки приходили, гуляли там, волейбол играли – интересно было, вот – общались.</t>
  </si>
  <si>
    <t>20190706_tai1955</t>
  </si>
  <si>
    <t>таи1955</t>
  </si>
  <si>
    <t>И вещи привозили, и мебель даже</t>
  </si>
  <si>
    <t>Питера привозили.</t>
  </si>
  <si>
    <t>И вот потом они вот вот этот купили. И квартира у них вот в новом в этом доме, когда пере =, когда воинскую часть от нас убрали, а перевели</t>
  </si>
  <si>
    <t>Эстонии, вот они - то вот построили этот дом последний на Раи Гавриловой три. И вот ей там дали тоже квартиру из - за этого дома.</t>
  </si>
  <si>
    <t>Эстония</t>
  </si>
  <si>
    <t>Сами. Ну, как,</t>
  </si>
  <si>
    <t>деревни там, родственники были. У нее сестра жила двоюродная. Так вот они, как бы, и мамке моей сено накосят, муж ее, и на себя.</t>
  </si>
  <si>
    <t>Нарубить. Но это где - то к часу. В час там или двенадцать уже</t>
  </si>
  <si>
    <t>поля коровы &lt; идут &gt;, гонится стадо.</t>
  </si>
  <si>
    <t>Рады были, когда вырвались</t>
  </si>
  <si>
    <t>дому. Вот восемь классов я закончила и...</t>
  </si>
  <si>
    <t>С какого перепугу мы пошли... Нас три девчонки</t>
  </si>
  <si>
    <t>деревни пошли в этот, в себежский техникум на агронома учиться.</t>
  </si>
  <si>
    <t>20180619_vii1956</t>
  </si>
  <si>
    <t>вии1956</t>
  </si>
  <si>
    <t>управления (?)</t>
  </si>
  <si>
    <t>управление</t>
  </si>
  <si>
    <t>Это самое, в семьдесят седьмом я пришёл</t>
  </si>
  <si>
    <t>армии,</t>
  </si>
  <si>
    <t>той деревни.</t>
  </si>
  <si>
    <t>Захнова, это там, через деревни такие: Сидорово, Попцово...</t>
  </si>
  <si>
    <t>Захново</t>
  </si>
  <si>
    <t>Тут раньше проходит, такой, это самое</t>
  </si>
  <si>
    <t>Пушгор. Здесь напрямую</t>
  </si>
  <si>
    <t>Пушгоры</t>
  </si>
  <si>
    <t>а, мужиков тут с...</t>
  </si>
  <si>
    <t>Кадникова ходили, с Глазанова, с Тиханова</t>
  </si>
  <si>
    <t>а, мужиков тут с... с Кадникова ходили,</t>
  </si>
  <si>
    <t>Глазанова, с Тиханова</t>
  </si>
  <si>
    <t>а, мужиков тут с... с Кадникова ходили, с Глазанова,</t>
  </si>
  <si>
    <t>Тиханова</t>
  </si>
  <si>
    <t>Тиханово</t>
  </si>
  <si>
    <t>20180618_zii1932_a</t>
  </si>
  <si>
    <t>зии1932</t>
  </si>
  <si>
    <t>Кто, конечно, учился, тогда можно было, хоть тяжело было уехать</t>
  </si>
  <si>
    <t>деревни, не давали справок в город.</t>
  </si>
  <si>
    <t>И вот</t>
  </si>
  <si>
    <t>армии пришёл, он, конечно, он пришёл в ноябре, а в январе мы поженились.</t>
  </si>
  <si>
    <t>Тут девочка приезжает,</t>
  </si>
  <si>
    <t>Москвы, дачница.</t>
  </si>
  <si>
    <t>Возят их на автобусе</t>
  </si>
  <si>
    <t>Белок.</t>
  </si>
  <si>
    <t>Белки</t>
  </si>
  <si>
    <t>А немцы всё отсюда вот</t>
  </si>
  <si>
    <t>гор.</t>
  </si>
  <si>
    <t>Новгорода</t>
  </si>
  <si>
    <t>Новгород</t>
  </si>
  <si>
    <t>дому выгнат,</t>
  </si>
  <si>
    <t>Теперь новый какой - то,</t>
  </si>
  <si>
    <t>Ленинграда, что ли, приехал.</t>
  </si>
  <si>
    <t>А раньше тут уже</t>
  </si>
  <si>
    <t>колхоза стали машину давать,</t>
  </si>
  <si>
    <t>А не = не надо было держать. Нам лошадь бесспорная было</t>
  </si>
  <si>
    <t>колхоза.</t>
  </si>
  <si>
    <t>Глазаново.</t>
  </si>
  <si>
    <t>Подмосковья?</t>
  </si>
  <si>
    <t>Подмосковье</t>
  </si>
  <si>
    <t>Заставляем. И книги б = берём</t>
  </si>
  <si>
    <t>библиотеки.</t>
  </si>
  <si>
    <t>библиотека</t>
  </si>
  <si>
    <t>Ро = Родных вот так всё вот</t>
  </si>
  <si>
    <t>Белок,</t>
  </si>
  <si>
    <t>20180618_enm1930</t>
  </si>
  <si>
    <t>енм1930</t>
  </si>
  <si>
    <t>Я там... Сама я</t>
  </si>
  <si>
    <t>Росляков, деревня была маленькая, перегнали в Кадниково.</t>
  </si>
  <si>
    <t>Росляки</t>
  </si>
  <si>
    <t>И сейчас, конечно, брод есть -</t>
  </si>
  <si>
    <t>Кадникова в Порядино.</t>
  </si>
  <si>
    <t>А после войны, конечно, ходили, коров пригнали</t>
  </si>
  <si>
    <t>Германии, коней.</t>
  </si>
  <si>
    <t>Германия</t>
  </si>
  <si>
    <t>разных деревень. Староверы - с этим = нашим русским. Такой (таки) ж парень, только числятся они староверы.</t>
  </si>
  <si>
    <t>А дорога целая как</t>
  </si>
  <si>
    <t>города едешь и сразу направо дорога целая до самого лагеря.</t>
  </si>
  <si>
    <t>На левую сторону как</t>
  </si>
  <si>
    <t>города едешь, там, я думаю, была остановка даже, " Пионерский лагерь ".</t>
  </si>
  <si>
    <t>20190702_tve1955</t>
  </si>
  <si>
    <t>тве1955</t>
  </si>
  <si>
    <t>Идет, на второй день идет на костылях. Я тут как увидела. Я его отчитала и отправила домой. Думаю, ну я думала, ничего серьезного, запутался, запутался, пьяный и пьяный. А назавтра идет</t>
  </si>
  <si>
    <t>города и на костылях.</t>
  </si>
  <si>
    <t>Говорил мне Генька. Я</t>
  </si>
  <si>
    <t>Барабан ходила пешком домой, бегала по нескольку раз.</t>
  </si>
  <si>
    <t>Уж уехал. А вот этот, как его,</t>
  </si>
  <si>
    <t>Барабан - то этот, Вань.</t>
  </si>
  <si>
    <t>20180621a_nae1958</t>
  </si>
  <si>
    <t>А все старики разъехались, вот оттуда... вот...</t>
  </si>
  <si>
    <t>Кадниково баба Зина...</t>
  </si>
  <si>
    <t>А все старики, они умерши,</t>
  </si>
  <si>
    <t>Захново.</t>
  </si>
  <si>
    <t>20180625_enm1930</t>
  </si>
  <si>
    <t>Его бесы гоняют в Коровкино: три раз в Коровкино съездит, три раз</t>
  </si>
  <si>
    <t>Коровкина приедет.</t>
  </si>
  <si>
    <t>Коровкино</t>
  </si>
  <si>
    <t>Не, не знаю, кто там</t>
  </si>
  <si>
    <t>Казахстана.</t>
  </si>
  <si>
    <t>Казахстан</t>
  </si>
  <si>
    <t>Вот теперь сами (самы) все</t>
  </si>
  <si>
    <t>Барабан тащат в эту помойку, а меня пруд тут выкопан.</t>
  </si>
  <si>
    <t>Что</t>
  </si>
  <si>
    <t>этой помойки и крысы развелись.</t>
  </si>
  <si>
    <t>помойка</t>
  </si>
  <si>
    <t>Ранетка вот эта осталась, и яблони были завезено</t>
  </si>
  <si>
    <t>питомника.</t>
  </si>
  <si>
    <t>питомник</t>
  </si>
  <si>
    <t>Всё. И</t>
  </si>
  <si>
    <t>Матюшкина, и дальше все ходят, все в Опочку ездят.</t>
  </si>
  <si>
    <t>Ну вот</t>
  </si>
  <si>
    <t>нашей семьи (семье) &lt; хоть &gt; отца моего, брата,</t>
  </si>
  <si>
    <t>семья</t>
  </si>
  <si>
    <t>хлеба спирт гнали.</t>
  </si>
  <si>
    <t>хлеб</t>
  </si>
  <si>
    <t>возят всё,</t>
  </si>
  <si>
    <t>продуктов возят.</t>
  </si>
  <si>
    <t>продукты</t>
  </si>
  <si>
    <t>А там знакомая наша продавщица с наших.... можно... рядом</t>
  </si>
  <si>
    <t>деревни, она там работает.</t>
  </si>
  <si>
    <t>Масло своё делали</t>
  </si>
  <si>
    <t>семечка.</t>
  </si>
  <si>
    <t>семечко</t>
  </si>
  <si>
    <t>Нет, вон, с колодца, ну,</t>
  </si>
  <si>
    <t>скважины. Не знаю, ходишь в магазин...</t>
  </si>
  <si>
    <t>Были вот Крепецкое вот,</t>
  </si>
  <si>
    <t>Пскова, с Великих Лук, с Острова, где вот торфоразработки были...</t>
  </si>
  <si>
    <t>слова так, а так я точно как бы &lt; я не &gt;...</t>
  </si>
  <si>
    <t>Она сделана такая, как вот,</t>
  </si>
  <si>
    <t>льна, с мотка она такой паутинкой (таким паутинкам) была.</t>
  </si>
  <si>
    <t>Говорит: " Ребяты, - говорит, -</t>
  </si>
  <si>
    <t>своего города я никуда не уеду. "</t>
  </si>
  <si>
    <t>И мальчишки придут с бо =, вот, с бо = с большого,</t>
  </si>
  <si>
    <t>взрослых</t>
  </si>
  <si>
    <t>Мы первые в деревне купили цветной телевизор. И к нам тут приходили</t>
  </si>
  <si>
    <t>всей деревни смотреть этот цветной телевизор.</t>
  </si>
  <si>
    <t>Сейчас и нельзя типа</t>
  </si>
  <si>
    <t>своих уже семян – надо покупать, ещё что - то...</t>
  </si>
  <si>
    <t>армия, тюрьма, школа, детский сад, институт , универ, служба(?) фазы жизни</t>
  </si>
  <si>
    <t>корпус говора деревни Пятиусово</t>
  </si>
  <si>
    <t>Из</t>
  </si>
  <si>
    <t>Твери там эшелон нас вёз, полный состав.</t>
  </si>
  <si>
    <t>Твери</t>
  </si>
  <si>
    <t>Торопы пешком пришли?</t>
  </si>
  <si>
    <t>Варежки все вязали шерстяные,</t>
  </si>
  <si>
    <t>из</t>
  </si>
  <si>
    <t>овец = из овечей шерсти.</t>
  </si>
  <si>
    <t>овец (овечей шерсти)</t>
  </si>
  <si>
    <t>Так говорят,</t>
  </si>
  <si>
    <t>поля в поле два раза ходит.</t>
  </si>
  <si>
    <t>поля</t>
  </si>
  <si>
    <t>этого волокна потом пряли, из этого льна.</t>
  </si>
  <si>
    <t>волокна</t>
  </si>
  <si>
    <t>Из этого волокна потом пряли,</t>
  </si>
  <si>
    <t>этого льна.</t>
  </si>
  <si>
    <t>льна</t>
  </si>
  <si>
    <t>Ну может на этой основе я</t>
  </si>
  <si>
    <t>своего жизненного опыта взял, что восемьдесят процентов женщин они фригидные.</t>
  </si>
  <si>
    <t>жизненного опыта</t>
  </si>
  <si>
    <t>Я и = т =</t>
  </si>
  <si>
    <t>породы таких людей: дал слово - - я его сдержу.</t>
  </si>
  <si>
    <t>порода</t>
  </si>
  <si>
    <t>Ну вот и поменьше народу теперь</t>
  </si>
  <si>
    <t>местных.</t>
  </si>
  <si>
    <t>местных</t>
  </si>
  <si>
    <t>Сразу поехал в Торопу – там весной уже привозят, это,</t>
  </si>
  <si>
    <t>питомника саженцы – купил пять яблонь.</t>
  </si>
  <si>
    <t>шести сыновей все были на войне (войны).</t>
  </si>
  <si>
    <t>сыновья</t>
  </si>
  <si>
    <t>Ну у нас все</t>
  </si>
  <si>
    <t>родителей... Мы из детей все живы были.</t>
  </si>
  <si>
    <t>родители</t>
  </si>
  <si>
    <t>Ну у нас все из родителей... Мы</t>
  </si>
  <si>
    <t>детей все живы были.</t>
  </si>
  <si>
    <t>дети</t>
  </si>
  <si>
    <t>Раньше специально носили,</t>
  </si>
  <si>
    <t>Бенец были, был дед и баба.</t>
  </si>
  <si>
    <t>Бенец</t>
  </si>
  <si>
    <t>Ну кор =</t>
  </si>
  <si>
    <t>кормовых для коров сажали брюкву.</t>
  </si>
  <si>
    <t>кормовые</t>
  </si>
  <si>
    <t>В деревне нету никого теперь и =</t>
  </si>
  <si>
    <t>жителей оставши. Сколько жили там - вот одна я оставши теперь, нет никого.</t>
  </si>
  <si>
    <t>жителей</t>
  </si>
  <si>
    <t>И они вот переехали из =</t>
  </si>
  <si>
    <t>этих домов в один из них.</t>
  </si>
  <si>
    <t>домов</t>
  </si>
  <si>
    <t>Да, теперь вы не узнаешь никого</t>
  </si>
  <si>
    <t>ребят, все взрослые. Где узнаешь, а я уже старая и слепая, зрение плохое у () меня (мне), я плохо вижу.</t>
  </si>
  <si>
    <t>ребят</t>
  </si>
  <si>
    <t>Мои родители, у него (его) отца нету, мать была, мать, по - моему, ещё кто - то был</t>
  </si>
  <si>
    <t>родственников.</t>
  </si>
  <si>
    <t>родственников</t>
  </si>
  <si>
    <t>А там (тама) на гормошке играли, была площадка сделаная из = это по = просто нацгак = как танцплощадка такая</t>
  </si>
  <si>
    <t>дерева, из досок сложена.</t>
  </si>
  <si>
    <t>дерева</t>
  </si>
  <si>
    <t>А там (тама) на гормошке играли, была площадка сделаная из = это по = просто нацгак = как танцплощадка такая из дерева,</t>
  </si>
  <si>
    <t>досок сложена.</t>
  </si>
  <si>
    <t>досок</t>
  </si>
  <si>
    <t>тринадцати деревень оставши вот только вот эта.</t>
  </si>
  <si>
    <t>Де = де = держа = держали. Я держала, даже кто - то</t>
  </si>
  <si>
    <t>ребят из ваших приходил, я давала, помню, сало.</t>
  </si>
  <si>
    <t>Их в совхозе много было, их не оставши почти никого и = и =</t>
  </si>
  <si>
    <t>моих ровесников. У Рыжиковой Любы не были вы?</t>
  </si>
  <si>
    <t>ровесники</t>
  </si>
  <si>
    <t>Да, она родом</t>
  </si>
  <si>
    <t>Каськова, да.</t>
  </si>
  <si>
    <t>Варежки все вязали шерстяные, из овец =</t>
  </si>
  <si>
    <t>овечей шерсти.</t>
  </si>
  <si>
    <t>ровесник</t>
  </si>
  <si>
    <t>Фляги эти в = вых = выносили на улицу. На улице было щит сделано</t>
  </si>
  <si>
    <t>досок.</t>
  </si>
  <si>
    <t>И там была сделана яма</t>
  </si>
  <si>
    <t>цемента. Пускали туда воду и ставили фляги туда.</t>
  </si>
  <si>
    <t>цемента</t>
  </si>
  <si>
    <t>В подполье сразу сыпали, а сейчас в подполье не сыпят (сыплют). Сейчас сыпят (сыплют) в сарай или у кого оббито, такие, сделано</t>
  </si>
  <si>
    <t>досок...</t>
  </si>
  <si>
    <t>Сделанный</t>
  </si>
  <si>
    <t>фундамента. Там (тама) не у (в) одних у них, на их (ихней) улице, наверное во = кто желал, все делали тогда, она сказала.</t>
  </si>
  <si>
    <t>фундамента</t>
  </si>
  <si>
    <t>И была сделана лежанка</t>
  </si>
  <si>
    <t>дереве = из = из досок, из досок.  </t>
  </si>
  <si>
    <t>И была сделана лежанка из дереве = из =</t>
  </si>
  <si>
    <t>досок, из досок.  </t>
  </si>
  <si>
    <t>И была сделана лежанка из дереве = из = из досок,</t>
  </si>
  <si>
    <t>досок.  </t>
  </si>
  <si>
    <t>Его делают. Вот руками (рукам) держатся вот так. Ну теперь (теперя) я видела у Бориса Николаевича какой - то вообще на палках, которым там. У нас специально делают</t>
  </si>
  <si>
    <t>брёда такую.</t>
  </si>
  <si>
    <t>брёда</t>
  </si>
  <si>
    <t>Ну покупаю эти корма, покупаю корма в магазине, ну и иногда если только свежого супа, если</t>
  </si>
  <si>
    <t>куры, курятину и так, если чуть - чуть, а так не особо. Ну рыбу любит, бывало, мойва была. Сейчас мойвы нет, бывала мойва. То супа сварю из мойвы, чтобы покушать, то так, а так он сейчас, он молоко любит, молоко когда дают..</t>
  </si>
  <si>
    <t>куры</t>
  </si>
  <si>
    <t>Ну покупаю эти корма, покупаю корма в магазине, ну и иногда если только свежого супа, если из куры, курятину и так, если чуть - чуть, а так не особо. Ну рыбу любит, бывало, мойва была. Сейчас мойвы нет, бывала мойва. То супа сварю</t>
  </si>
  <si>
    <t>мойвы, чтобы покушать, то так, а так он сейчас, он молоко любит, молоко когда дают..</t>
  </si>
  <si>
    <t>мойвы</t>
  </si>
  <si>
    <t>молока, которое в хозяйствве, во все времена и даже в пятьдесят восьмом году у нас уже был сепаратор, ещё не замужем была, а нас только приняли в совхоз, совхоз был на деньгах, поэтому нас соединили. И перегоняли, перегон, хочешь на творог перегон, хочешь, держали поросёнка, поросё = поросятам давали и белили, а ну, а молоко, делали масло, творог, ой ели ну такое, своё, ну.</t>
  </si>
  <si>
    <t>молока</t>
  </si>
  <si>
    <t>В Каськове, да, рожала девушка одна молодая, невестка принимала моя роды там, она как бы вызвала скорую там (тама) они, ещё какая - то медичка была, вдвоём принимали роды</t>
  </si>
  <si>
    <t>дома.</t>
  </si>
  <si>
    <t>дома</t>
  </si>
  <si>
    <t>В де = в детстве какие вам истории надо, я вам расскажу историю, могу рассказать одну, у нас же дружили, ну я думаю, может кто и рассказывал вам</t>
  </si>
  <si>
    <t>деревни. Дружил парень с девушкой, уже хотели жениться, ну это это на самом деле такое есть, было, и они, значит, на =, свадьба назначена, точно не могу, по - моему, как на Троицу. Они за два дня Троицы пошли в этом, говорит (говорить) мужик её (еёный), теперь ну парень, назовём его. Говорит (говорить), пойдём искупаемся, пошли к речке купаться напротив кладбища где - то туда, он как разделся, как нырнул, так и не вынырнул, вот такой случай это вот был. И вот она осталась на берегу, и потом она вышла за другого замуж, она сама позже умерла (умёрши), ну а дети в Ленинграде, одна дочка вроде умерла (умерши) уже. Так вот такой сулчай был, но из ма = из материного рассказа, ну она рассказывала, что - то, она сказала &lt; нрзб &gt; значит (значить), правильнро как сказать, сейчас скажу. Ну как бы в жизни всяко бывает, и не складывается жизнь. Ну приходит дочка к матери и говорит, говорит (говорить), я не хочу жить, я ну что там (тама) не ладится жизнь то ли &lt; нрзб &gt;, но я не спрашивала, точно не могу сказать, она ей говорит, знаешь, детка, дочь, говорит, вот, если тебе накакают на голову, ты скинь с головы, извините за выражение, и опять живи. Ну что, то это жизнь, говорит, не что - нибудь, вот такое. Ну и потом рассказывала, мужик, значит, ходит к женщине ходит (ходить) и ходит (ходить), она, значит, как лето приходит, так ему надо спать на сеновале, но эта жёнка, она понимает что - то, что да нет, она раз послушала, два послушала людей, говорит, надо мне пос = самой покараулить. Она пошла караулить, караулит (караулить), значит, они полезли на черда = на = на = на хлё = на сарай. Она помокнула в жижу, раньше жижесборники такие за хлёвом были, метлу, и туда на это самое, на хлёв их метлой этой с жижей. Говорит (говорить), вот такой случай был. Но драться никто не дрался, она сказала, не дрались, а вот такой случай был.</t>
  </si>
  <si>
    <t>В де = в детстве какие вам истории надо, я вам расскажу историю, могу рассказать одну, у нас же дружили, ну я думаю, может кто и рассказывал вам из деревни. Дружил парень с девушкой, уже хотели жениться, ну это это на самом деле такое есть, было, и они, значит, на =, свадьба назначена, точно не могу, по - моему, как на Троицу. Они за два дня Троицы пошли в этом, говорит (говорить) мужик её (еёный), теперь ну парень, назовём его. Говорит (говорить), пойдём искупаемся, пошли к речке купаться напротив кладбища где - то туда, он как разделся, как нырнул, так и не вынырнул, вот такой случай это вот был. И вот она осталась на берегу, и потом она вышла за другого замуж, она сама позже умерла (умёрши), ну а дети в Ленинграде, одна дочка вроде умерла (умерши) уже. Так вот такой сулчай был, но из ма =</t>
  </si>
  <si>
    <t>материного рассказа, ну она рассказывала, что - то, она сказала &lt; нрзб &gt; значит (значить), правильнро как сказать, сейчас скажу. Ну как бы в жизни всяко бывает, и не складывается жизнь. Ну приходит дочка к матери и говорит, говорит (говорить), я не хочу жить, я ну что там (тама) не ладится жизнь то ли &lt; нрзб &gt;, но я не спрашивала, точно не могу сказать, она ей говорит, знаешь, детка, дочь, говорит, вот, если тебе накакают на голову, ты скинь с головы, извините за выражение, и опять живи. Ну что, то это жизнь, говорит, не что - нибудь, вот такое. Ну и потом рассказывала, мужик, значит, ходит к женщине ходит (ходить) и ходит (ходить), она, значит, как лето приходит, так ему надо спать на сеновале, но эта жёнка, она понимает что - то, что да нет, она раз послушала, два послушала людей, говорит, надо мне пос = самой покараулить. Она пошла караулить, караулит (караулить), значит, они полезли на черда = на = на = на хлё = на сарай. Она помокнула в жижу, раньше жижесборники такие за хлёвом были, метлу, и туда на это самое, на хлёв их метлой этой с жижей. Говорит (говорить), вот такой случай был. Но драться никто не дрался, она сказала, не дрались, а вот такой случай был.</t>
  </si>
  <si>
    <t>рассказ</t>
  </si>
  <si>
    <t>Вот, это</t>
  </si>
  <si>
    <t>жизни, это всё жизненное, это не придуманное, придумать я ничего не могу.</t>
  </si>
  <si>
    <t>жизни</t>
  </si>
  <si>
    <t>Это я имею в виду, если для колхозного с = скота для совхозного, а для личного, а для личного у них сараи есть во многих &lt; нрзб &gt; сделано</t>
  </si>
  <si>
    <t>досок, а может (може) сарай пустой сарай сыплют картошку.</t>
  </si>
  <si>
    <t>хлев</t>
  </si>
  <si>
    <t>потрохи</t>
  </si>
  <si>
    <t>курица</t>
  </si>
  <si>
    <t>Да, Фо = в этом Фофаново ходила в школу. В школу я ходила в Фофаново. А теперь после, как я уехала, даже хочется сходить туда, посмотреть, что там творится. Говорят, всё москвичи построились, застроились теперь. Не была ни разу. Прое = Когда бываешь, церковь проедешь мимо на автобусе. Автобус же ходил</t>
  </si>
  <si>
    <t>Западной до Пятиусова. Проедешь, и всё. Так что в тех краях я даже и не была что - то. Конечно, говорят, там школы уже нет с... Это в каком году, Господи?! Уже столько лет прошло. Там и постройки большие, говорят, у москвичей (w москвичах) построены. Везде москвичи застроились, что они (оны)? А теперь дома не хотят покупать. Что там они покупают? Ну теперь хотят покупать со всеми удобствами, чтоб было всё, удобства... Не хотят же теперь молодые так, чтобы... И вода, чтобы проно = выте = пропротекала и вытекала, а у нас этого нет. Вот.</t>
  </si>
  <si>
    <t>На одиннадцатый день меня (мине) выписали</t>
  </si>
  <si>
    <t>больницы во Ржеве отсюда.</t>
  </si>
  <si>
    <t>Ходили</t>
  </si>
  <si>
    <t>Панова сюда в клуб гулять.</t>
  </si>
  <si>
    <t>Панов</t>
  </si>
  <si>
    <t>Есть этого с Москвы, где</t>
  </si>
  <si>
    <t>Подмосковья приеходчи вот туда у нас и держит.</t>
  </si>
  <si>
    <t>Подмосквье</t>
  </si>
  <si>
    <t>Это вот годов пять не стало. А так... А то бывало</t>
  </si>
  <si>
    <t>Бенец, с Торопы даже приезжали сюда в клуб.</t>
  </si>
  <si>
    <t>Бенцы</t>
  </si>
  <si>
    <t>Выгнали</t>
  </si>
  <si>
    <t>дому... вот жили у соседа.</t>
  </si>
  <si>
    <t>Питера...</t>
  </si>
  <si>
    <t>С избы выгнали,</t>
  </si>
  <si>
    <t>досок сбитый.</t>
  </si>
  <si>
    <t>садика вон.</t>
  </si>
  <si>
    <t>садик</t>
  </si>
  <si>
    <t>Теперь</t>
  </si>
  <si>
    <t>магазина берём одно, другое, третье. Что у меня, клубника посажена, так я всё этой правнучке.</t>
  </si>
  <si>
    <t xml:space="preserve"> Стевии ?</t>
  </si>
  <si>
    <t>стевия</t>
  </si>
  <si>
    <t>фруктов ничего, ни с каких не делала.</t>
  </si>
  <si>
    <t>молодой, Пашка такой,</t>
  </si>
  <si>
    <t>Москвы тоже.</t>
  </si>
  <si>
    <t>Сколько? Три дня, как приехала (</t>
  </si>
  <si>
    <t>) больницы, лежала в больнице.</t>
  </si>
  <si>
    <t>Да и =</t>
  </si>
  <si>
    <t>шерсти, исподки эти.</t>
  </si>
  <si>
    <t>А вы все сами с города все или с деревни?</t>
  </si>
  <si>
    <t>города? Ага</t>
  </si>
  <si>
    <t>Не, они что - то</t>
  </si>
  <si>
    <t>дерева там делали.</t>
  </si>
  <si>
    <t>дерево</t>
  </si>
  <si>
    <t>Не,</t>
  </si>
  <si>
    <t>льна мы не делали, увозили куда - то его на машина увозила, наверное, специально на эти...</t>
  </si>
  <si>
    <t>Крятки такие, два колеса</t>
  </si>
  <si>
    <t>дерева, вырезанные с этого...</t>
  </si>
  <si>
    <t>Щелкино, сынок. С той деревни. Она в магазин ходила, потом уже в последнее время она старая, не стала ходить.</t>
  </si>
  <si>
    <t>Я</t>
  </si>
  <si>
    <t>изо</t>
  </si>
  <si>
    <t>старых простыней рвала, где ты наберёшь пелёнок столько, рвала старые простыни, разрывала, делала пелёнки.</t>
  </si>
  <si>
    <t>простыни</t>
  </si>
  <si>
    <t>Нет, он со = да, вообще они родом</t>
  </si>
  <si>
    <t>Питера, потом сюда вся семья переехала, а ездят они...</t>
  </si>
  <si>
    <t>Это, солнце... Вот это у него сделано</t>
  </si>
  <si>
    <t>щуки из большой, двенадцать с половиной килограмм или двенадцать шестьсот...</t>
  </si>
  <si>
    <t>щука</t>
  </si>
  <si>
    <t>Ну всех пугал, змея</t>
  </si>
  <si>
    <t>кармана вытащит, ну, что ж...</t>
  </si>
  <si>
    <t>карман</t>
  </si>
  <si>
    <t>Это я</t>
  </si>
  <si>
    <t>архива знаю.</t>
  </si>
  <si>
    <t>архив</t>
  </si>
  <si>
    <t>больницы ему... Ну что - то не, не знаю, что он не едет.</t>
  </si>
  <si>
    <t>как новенькая, ну уже в Питера,</t>
  </si>
  <si>
    <t>Питера приезжаю, вот, мама сюда переехала, поэтому я тоже не всех знаю как - то.</t>
  </si>
  <si>
    <t>Ну а что раньше? Раньше интересно... Раньше было так, что выпихивали</t>
  </si>
  <si>
    <t>колхоза – паспортов - то не было.</t>
  </si>
  <si>
    <t>А памятник в виде надгробной плиты. Он - то</t>
  </si>
  <si>
    <t>гранита сделан, [говорю, говорят], все говорят, сравнивают с надгробной плитой, ну, я говорю: " Ну что, Днепропетровске и в этом похоронили ".</t>
  </si>
  <si>
    <t>гранит</t>
  </si>
  <si>
    <t>О! [Из] она</t>
  </si>
  <si>
    <t>Анчинок, вот, вспомнил, Анчинки. Анчинкский мост, анчинкский мост.</t>
  </si>
  <si>
    <t>Анчинки</t>
  </si>
  <si>
    <t>я было даже</t>
  </si>
  <si>
    <t>мебели что - то куплю,</t>
  </si>
  <si>
    <t>мебель</t>
  </si>
  <si>
    <t>Даже многие</t>
  </si>
  <si>
    <t>Ленинграда привозят сюда родств = (родственников), которые отсюда,</t>
  </si>
  <si>
    <t>Три деревни вот списали тогда вот я</t>
  </si>
  <si>
    <t>архива это знаю, и всё, больше не списывались.</t>
  </si>
  <si>
    <t>корпус</t>
  </si>
  <si>
    <t>причина удаления</t>
  </si>
  <si>
    <t>Ну, а мы на улице со (</t>
  </si>
  <si>
    <t>) своим дедом, хозяином дрова резали, вот так...</t>
  </si>
  <si>
    <t>другой падеж</t>
  </si>
  <si>
    <t>неё (ней) не снять это, рукавицы... Варежки раньше были шерстяные.</t>
  </si>
  <si>
    <t>отсутствует существительное в предложной группе</t>
  </si>
  <si>
    <t>После какой</t>
  </si>
  <si>
    <t>неполные данные</t>
  </si>
  <si>
    <t>Мы не пускали как - бы... Ночлег, это</t>
  </si>
  <si>
    <t>собой никто не носит, это сейчас у вас машины...</t>
  </si>
  <si>
    <t>Её называть... Она сама... Я разговаривала</t>
  </si>
  <si>
    <t>ней, тоже, так, когда в автобусе еду...</t>
  </si>
  <si>
    <t>Когда в автобусе еду, то люблю поговорить, встретиться</t>
  </si>
  <si>
    <t>кем - то и поговорить... Ну, и спросила у неё (ней)...</t>
  </si>
  <si>
    <t>На правительство обижаться нельзя, живёт хорошо во главе</t>
  </si>
  <si>
    <t>президентом, живут все хорошо. В нашей деревне, я не знаю, как в других, в нашей все живут хорошо. Кто работал, пенсию заработал, он пенсию... На пенсию живёт.</t>
  </si>
  <si>
    <t>Ну и, так вкусны (укусны) были</t>
  </si>
  <si>
    <t>молоком, но держали корову.</t>
  </si>
  <si>
    <t>Всё было, и хлеб было тогда, и все... Стали кровати все</t>
  </si>
  <si>
    <t>клопами выносить вон, раньше клопов было много.</t>
  </si>
  <si>
    <t>В субботу до обеда, полный день воскресенье, ну, жизнь совсем уже другоая стала конечно,</t>
  </si>
  <si>
    <t>пятьдесят восьмого года она...</t>
  </si>
  <si>
    <t>двадцатого мая... Взяли в это = эту самую... В совхоз соединили. Но совхоз жил хорошо.</t>
  </si>
  <si>
    <t>нет вариативности</t>
  </si>
  <si>
    <t>А я старая, никуда, без зуб теперь уже,</t>
  </si>
  <si>
    <t>пятьдесят лет зубов нет, стерялись все... Растерялись все зубы.</t>
  </si>
  <si>
    <t>Это вот... А они как - то были приехадчи, а я на улице была, по - моему... Не, в (у) доме была. А Артём был приехадчи</t>
  </si>
  <si>
    <t>ним.</t>
  </si>
  <si>
    <t>друзьями (друзьям) где - то были на охоте, вот он тоже, тоже на охоте, да, вот этот сын.</t>
  </si>
  <si>
    <t>доски почёта... На доске почёта. Ну, у меня, бывало, свои &lt; нрзб &gt; были.</t>
  </si>
  <si>
    <t>А вы, наверное, там я плохо</t>
  </si>
  <si>
    <t>вами разговаривал, наверное.</t>
  </si>
  <si>
    <t>() шестьдесят второго года.</t>
  </si>
  <si>
    <t>шестьдесят второго года.</t>
  </si>
  <si>
    <t>Это так у меня лейтенант называл, когда я</t>
  </si>
  <si>
    <t>ним еду в машине.</t>
  </si>
  <si>
    <t>Был на Бакуриани - - три тысячи</t>
  </si>
  <si>
    <t>половиной, тысячи над уровнем моря.</t>
  </si>
  <si>
    <t>Я спускал оттуда станцию, с Бакуриани,</t>
  </si>
  <si>
    <t>тягачом АТС, а сзади приёмо - передающая кабина, 20 тонн.</t>
  </si>
  <si>
    <t>А как посмотришь они</t>
  </si>
  <si>
    <t>такой вроде, панамы поднимаются, волосы кверху, не захочешь смотреть</t>
  </si>
  <si>
    <t>На третьи сутки товарищ у нас один говорит: " Мы пойдем, Муравьёв,</t>
  </si>
  <si>
    <t>тобой на метеостаницию. "</t>
  </si>
  <si>
    <t>И там мы</t>
  </si>
  <si>
    <t>ним (им) пробыли до отбоя.</t>
  </si>
  <si>
    <t>И здесь я создал семью, познакомился</t>
  </si>
  <si>
    <t>дамой или с девочкой назовем, дамой (дамом) тогда не называли.</t>
  </si>
  <si>
    <t>И здесь я создал семью, познакомился с дамой или</t>
  </si>
  <si>
    <t>девочкой назовем, дамой (дамом) тогда не называли.</t>
  </si>
  <si>
    <t>Я говорю: " Ну как я буду работать? Я среднетехнического образования, агрономы</t>
  </si>
  <si>
    <t>высшим, приду, зоотехники с высшим, мне как - то неудобно. "</t>
  </si>
  <si>
    <t>Я говорю: " Ну как я буду работать? Я среднетехнического образования, агрономы с высшим, приду, зоотехники</t>
  </si>
  <si>
    <t>высшим, мне как - то неудобно. "</t>
  </si>
  <si>
    <t>Она тяжело болела, не так что тяжело, но болела, пользовалась ингалятором, у неё плохо</t>
  </si>
  <si>
    <t>сердцем было, с дыханием, ушла из жизни.</t>
  </si>
  <si>
    <t>Она тяжело болела, не так что тяжело, но болела, пользовалась ингалятором, у неё плохо с сердцем было,</t>
  </si>
  <si>
    <t>дыханием, ушла из жизни.</t>
  </si>
  <si>
    <t>сердцем, два или три, инфаркт или инсульт, ушла из жизни.</t>
  </si>
  <si>
    <t>От Старой Торопы</t>
  </si>
  <si>
    <t>выездом и вдоль двадцать километров, и поперёк двадцать километров.</t>
  </si>
  <si>
    <t>Раньше, когда жил</t>
  </si>
  <si>
    <t>хозяйств = хозяйки были в доме, я держал корову, поросёнка, овечек, полностью хозяйство всё.</t>
  </si>
  <si>
    <t>Выпекала две тонны</t>
  </si>
  <si>
    <t>половиной хлеба.</t>
  </si>
  <si>
    <t>Говорит: " Надо щей, поедим мы. Пусть угостит тёща ", я говорю: " Ну нальёт, наверное, нам</t>
  </si>
  <si>
    <t>тобой по порции ".</t>
  </si>
  <si>
    <t>И со льна сделали</t>
  </si>
  <si>
    <t>этого волокно.</t>
  </si>
  <si>
    <t>Вот</t>
  </si>
  <si>
    <t>этого льняного.</t>
  </si>
  <si>
    <t>А я дружу</t>
  </si>
  <si>
    <t>ними, с семьёй.</t>
  </si>
  <si>
    <t>А я дружу с ними,</t>
  </si>
  <si>
    <t>семьёй.</t>
  </si>
  <si>
    <t>Уже дело подошло службу проводить, что - то</t>
  </si>
  <si>
    <t>финансами не так сделали.</t>
  </si>
  <si>
    <t>Что - то</t>
  </si>
  <si>
    <t>финанасами нарушение большое допустили, а сделано много.</t>
  </si>
  <si>
    <t>Это на будущее тебе:</t>
  </si>
  <si>
    <t>ней ляжешь спать, как на печку - - с какого бока не прикинь, всё высоко.</t>
  </si>
  <si>
    <t>Это на будущее тебе: с ней ляжешь спать, как на печку - -</t>
  </si>
  <si>
    <t>какого бока не прикинь, всё высоко.</t>
  </si>
  <si>
    <t>А вот такая, она...</t>
  </si>
  <si>
    <t>ней любая позиция - - всё подходит.</t>
  </si>
  <si>
    <t>Ну когда приехала она, всё, за столом сидим и = зять лёг отдыхать</t>
  </si>
  <si>
    <t>дороги, ну а мы, это, обедать тут, ну я ей при дочке, чтобы она слышала, чтобы потом не получилось, когда женщину приведу, что вот ты мамку бросил вот, чего.</t>
  </si>
  <si>
    <t>Я говрю, ну что, Галя, ну этот разговор у нас</t>
  </si>
  <si>
    <t>тобой, как ты, согласна вернуться ко мне? Вот.</t>
  </si>
  <si>
    <t>Муж</t>
  </si>
  <si>
    <t>женой живёт, газета, в лотерею (лотерея) там Волга разыгрывается. Ну вот он: " Вот если бы я выиграл, вот дал тому бы. Я бы машину не стал, а деньги... Тому, тому, вот там ". Она говорит: " А что ты всё своим, а моим? ".</t>
  </si>
  <si>
    <t>Малой дочери, вот она</t>
  </si>
  <si>
    <t>девяноста второго года, первого января, ей будет это значит, это, тридцать два года. Ну они все все своими (своим) семьями (семьям) живут уже как бы. Только у малой вот детей нету ещё пока как бы чего...</t>
  </si>
  <si>
    <t>А я не такой: со мной можно договориться, но не</t>
  </si>
  <si>
    <t>позиции силы.</t>
  </si>
  <si>
    <t>идиома/фразеологизм</t>
  </si>
  <si>
    <t>Вот. Она потом раз - другой " Здрасте! ", это всё</t>
  </si>
  <si>
    <t>улыбочкой, вот. Я говорю, всё. А у меня (мне) натура вот тоже плохая в чём - - вот с девушками даже в своё время... Я отбывал срок.</t>
  </si>
  <si>
    <t>Вот. Она потом раз - другой " Здрасте! ", это всё с улыбочкой, вот. Я говорю, всё. А у меня (мне) натура вот тоже плохая в чём - - вот</t>
  </si>
  <si>
    <t>девушками даже в своё время... Я отбывал срок.</t>
  </si>
  <si>
    <t>этой, с территории идёт, и вот этот и... Лошадь проезжает и... А поросята они же визжат (визгают), может (може) он тиснул что. Бись, поросёнок.</t>
  </si>
  <si>
    <t>И с этой,</t>
  </si>
  <si>
    <t>территории идёт, и вот этот и... Лошадь проезжает и... А поросята они же визжат (визгают), может (може) он тиснул что. Бись, поросёнок.</t>
  </si>
  <si>
    <t>Ну а я был в возрасте, когда мне семнадцать</t>
  </si>
  <si>
    <t>половиной лет.</t>
  </si>
  <si>
    <t>Ну, я говорю, второй раз я не буду тебе... Ну она бывало... Дверь открытая,</t>
  </si>
  <si>
    <t>гулянья прихожу - - дверь открыта. А это дверь, стучу, ну а уставший человек, спит. Я говорю, мам а что? А мне Ванька этот угрожал, вот пообещал, что ты сыну жаришься, мол ведь. Вот</t>
  </si>
  <si>
    <t>Ну вот познакомился</t>
  </si>
  <si>
    <t>ней, два или три вечера прошли. Прихожу её, это...</t>
  </si>
  <si>
    <t>У меня (мне) испортилась, а у него что - то там проблемы</t>
  </si>
  <si>
    <t>правами были, вот.</t>
  </si>
  <si>
    <t>Ну двадцать пять</t>
  </si>
  <si>
    <t>половиной, на двадцать шестом. А ей уже, на полтора года, ей было, по - моему, двадцать семь. Восьмедисятом, пятьдесят третьего, в (у) мае, а мы четвертого октября у нас свадьба была. Да, ей уже двадцать семь лет было.</t>
  </si>
  <si>
    <t>Что я сказал, так и так. И там женщина работала пятиусовская, знала, что у меня (мне) проблемы. Вон мне даже</t>
  </si>
  <si>
    <t>ней живши, вот нервный тик глаз вот этот, как начинается такая нервозная вот эта... Глаз... И дёргается даже. Ну ладно, суть не в этом, вот.</t>
  </si>
  <si>
    <t>Видно не скалыдвается. А я строился, уже дом построил, всё. Она бывало вот</t>
  </si>
  <si>
    <t>этой соседкой идут в это =, это воспитательница по детским (детскым) там была, а это учительница, идут. Он и = муж у неё (нея), она, видно, Лю = Люда, говорила, что сделает, вот моё счастье где было! Типа на дом показывает, что вот.</t>
  </si>
  <si>
    <t>И она вдовой осталась, и там,</t>
  </si>
  <si>
    <t>которой я пробовал, это, отношения &lt; нрзб &gt;.</t>
  </si>
  <si>
    <t>девушкой, допустим, если общаюсь, вот, если она только дала мне понять, что не мылься, бриться не буду - - всё!</t>
  </si>
  <si>
    <t>Только должно по взаимному согласию это быть, чтобы это по любви. Как есть мудрая пословица: " Нужно сначала</t>
  </si>
  <si>
    <t>головой договориться, а потом в ноги лезть ", понимаешь?</t>
  </si>
  <si>
    <t>А краски не было, а ехать в городо, туда в (у) Западную,</t>
  </si>
  <si>
    <t>большим количеством - объёмом краски, а у меня (мне) было вот такой...</t>
  </si>
  <si>
    <t>Ну в современном (совремённом) Красногорске.</t>
  </si>
  <si>
    <t>Без.. Короче, я на Новый год бросил работать, а</t>
  </si>
  <si>
    <t>двадцатого февраля девяностого года я там служил. И вот начальником караула, в охране был.</t>
  </si>
  <si>
    <t>тридцать третьего года организовано. Это ну Кубышка, это государственное, допустим, на случай войны что - то, такое это вот это.</t>
  </si>
  <si>
    <t>Сейчас я уже не знаю. Информация я обладаю ту, которую в мою бытость это было - - я</t>
  </si>
  <si>
    <t>четырнадцатого года на пенсии.</t>
  </si>
  <si>
    <t>А начинал вот тут в совхозе, вот. До судимости я трактористом работал на тракторе. Ну там я мало, это</t>
  </si>
  <si>
    <t>семьдесят первого года с октября по апрель.</t>
  </si>
  <si>
    <t>А начинал вот тут в совхозе, вот. До судимости я трактористом работал на тракторе. Ну там я мало, это с семьдесят первого года</t>
  </si>
  <si>
    <t>октября по апрель.</t>
  </si>
  <si>
    <t>Вот пять месяцев я закончил школу и поступил</t>
  </si>
  <si>
    <t>нового года сюда, шофёром работал.</t>
  </si>
  <si>
    <t>Вот. Восемь (восем) лет, не семь (сем) - -</t>
  </si>
  <si>
    <t>восьмидесятого по восемьдесят седьмой - - я шофёром отработал.</t>
  </si>
  <si>
    <t>Потому</t>
  </si>
  <si>
    <t>ней встал - - я говорю, вот Галя как. Я тогда согласен был и на = на переезд в Западную уехать.</t>
  </si>
  <si>
    <t>Я потом договорился уже,</t>
  </si>
  <si>
    <t>осени (осеню) отсюда делал товаро - трасп = накладные там, я... Мы как бы десять рейсов, это... на пятнадцать километров...</t>
  </si>
  <si>
    <t>А я же говорил, что со мной</t>
  </si>
  <si>
    <t>позиции силы нельзя разговаривать, со мной можно договориться, вот.</t>
  </si>
  <si>
    <t>И стричься, и бриться, и пуговицы чистить... А что, едем на канун Нового Года, так... Четыре солдата было с нашей части... Вместе, и мы вдвоем,</t>
  </si>
  <si>
    <t>И вместе мы</t>
  </si>
  <si>
    <t>ним ехали, и вместе учились, он во взвод связи попал, а я в (у) роту, с какой роты ну, поступал в эту... Школа была при части. На младших командиров.</t>
  </si>
  <si>
    <t>И как...</t>
  </si>
  <si>
    <t>А там</t>
  </si>
  <si>
    <t>каждого (кажного) корабля по тридцать человек офицерам квартиры строили. Ну, прямо... Так они там микрорайон такой сделали, там... Как поглядишь, где только они (оны) размещаются. Как ночью, как тревога... Посмотришь, все бухты... Пустые... Куда они (оны) такой...</t>
  </si>
  <si>
    <t>Ну там как... Так у нас он говорит, расценок нет, кому как, наряды посмотрит</t>
  </si>
  <si>
    <t>потолка, и что поставит...</t>
  </si>
  <si>
    <t>этого, получить паспорт.</t>
  </si>
  <si>
    <t>А называ = говорит, сделаем тебе перерыв, он подходит к брату. Скажи ты этому, пусть он... Один не проголосовал, а их четыре члена правления было. И всё. Поговори</t>
  </si>
  <si>
    <t>ним (jим), чтобы он бы...</t>
  </si>
  <si>
    <t>Там как уборка, так... Ну да рубильник сделан был от генератора же, движок был</t>
  </si>
  <si>
    <t>генератором. Можно свой, и оттуда, когда сверху раз, вниз. Лампочка висит, когда оттуда есть. Я ходил ходил, думаю, а что делать. К мастеру подхожу, говорю, давай буду котёл топить, раз свет есть. Деньги же платят (плотят), надо что - то делать</t>
  </si>
  <si>
    <t>Ну я на этих (этых), на сельский. Отработал четырнадцать лет на запарке кормов. У нас... Пять</t>
  </si>
  <si>
    <t>половиной тысяч свиней было в совхозе. Был совхоз, а теперь... Ни =... Теперь сократили совхозы, колхозы, и промышленности сорок прцентов, или не больше.</t>
  </si>
  <si>
    <t>Так они у нас уже, наверное, двенадцать лет. И до какие сейчас... Бывало сзади телега ещё прицеплена, а теперь сплошной. В два ряда по длине (длины). Это двенадцать метров, говорили по шесть, а шесть</t>
  </si>
  <si>
    <t>половиной был раньше стандарт лес.</t>
  </si>
  <si>
    <t>Часть, наверное, было отсюда.</t>
  </si>
  <si>
    <t>Да как бывало приходят (приходют)... Резаное мясо вот, допустим, как раньше, деревянные кадушки, или бочки были.</t>
  </si>
  <si>
    <t>крышкой. Мясо зарезано, они (оны) поглядят, сами ничего не сыпят (сыплют), и не трогали резан.</t>
  </si>
  <si>
    <t>А за семь километров ходили чистить вот как Шишово дорога есть, там. Кроты ещё проезжаешь, Дубняги есть. Наши стояли там,</t>
  </si>
  <si>
    <t>одной (одный) стороны окопы. Офицеры жили, а с левой стороны мелкокалиберные склады были. Ну там, я представляю, что... Винтовочные, автоматные, потом какой - то динамит был. То вот я видел, а динамит не видел.</t>
  </si>
  <si>
    <t>А за семь километров ходили чистить вот как Шишово дорога есть, там. Кроты ещё проезжаешь, Дубняги есть. Наши стояли там, с одной (одный) стороны окопы. Офицеры жили, а</t>
  </si>
  <si>
    <t>левой стороны мелкокалиберные склады были. Ну там, я представляю, что... Винтовочные, автоматные, потом какой - то динамит был. То вот я видел, а динамит не видел.</t>
  </si>
  <si>
    <t>тридцать пятого года... Как мне сейчас восемьдесят восемь, уже восемьдесят девятый пошёл, с этого = с этого месяца. С июня...</t>
  </si>
  <si>
    <t>Я с тридцать пятого года... Как мне сейчас восемьдесят восемь, уже восемьдесят девятый пошёл,</t>
  </si>
  <si>
    <t>этого = с этого месяца. С июня...</t>
  </si>
  <si>
    <t>Я с тридцать пятого года... Как мне сейчас восемьдесят восемь, уже восемьдесят девятый пошёл, с этого =</t>
  </si>
  <si>
    <t>этого месяца. С июня...</t>
  </si>
  <si>
    <t>Я с тридцать пятого года... Как мне сейчас восемьдесят восемь, уже восемьдесят девятый пошёл, с этого = с этого месяца.</t>
  </si>
  <si>
    <t>июня...</t>
  </si>
  <si>
    <t>А думаю, как бы это где... Вот,</t>
  </si>
  <si>
    <t>Надо... Самим (самым) кровати, им, а там и поставить некуда, и коридорчик общий, ну и... Печек нет, и... У () меня (мне) русская печка</t>
  </si>
  <si>
    <t>плитой сейчас.</t>
  </si>
  <si>
    <t>На дизельной возил, сколько она, четыре</t>
  </si>
  <si>
    <t>половиной тонны берёт.</t>
  </si>
  <si>
    <t>И последний сорок шесть. Там каждый (кажный) батон по - своему, потому что они (оны)</t>
  </si>
  <si>
    <t>маком, потом... Как это, забыл, как называе = (называется).</t>
  </si>
  <si>
    <t>Вот, та (тая), говорит, надоело, а это</t>
  </si>
  <si>
    <t>аппетитом, как в обед, ну, хорошо, да, там первое, второе дают, а утром...</t>
  </si>
  <si>
    <t>Она живёт в своём доме. Это как и =</t>
  </si>
  <si>
    <t>Ну вот, а и = она</t>
  </si>
  <si>
    <t>сорокового года.</t>
  </si>
  <si>
    <t>Она тоже</t>
  </si>
  <si>
    <t>сорок первого года. Она тоже много чего расскажет, так.</t>
  </si>
  <si>
    <t>Вы</t>
  </si>
  <si>
    <t>Вы скажите: " Возможно, мы поможем вашей деревне ". Они вам</t>
  </si>
  <si>
    <t>удовольствием сразу откроют.</t>
  </si>
  <si>
    <t>тех пор я х = не хожу. Это прошло, наверное... А, телефон.</t>
  </si>
  <si>
    <t>Ходит. Невестка, по - моему, в прошлом году тоже не ходила. Что - то у неё (ней)</t>
  </si>
  <si>
    <t>ногой.</t>
  </si>
  <si>
    <t>Вот. И нынче Лена ходила, и</t>
  </si>
  <si>
    <t>маленьким со своим ходили в лес - - Сашка водил.</t>
  </si>
  <si>
    <t>Она учитель уже... Всю жизнь (жизь). Ей уже тоже пятьдесят, наверное,</t>
  </si>
  <si>
    <t>лишним лет.</t>
  </si>
  <si>
    <t>первого... Четыре класса: первый, второй, третий, четвёртый. Четыре класса было.</t>
  </si>
  <si>
    <t>Был двухвартирный дом. В (у) этом доме вот</t>
  </si>
  <si>
    <t>одной стороны жил директор школы - - Здоровенко Василий Александрович его звали.</t>
  </si>
  <si>
    <t>И я и шла... Да у нас все, по - моему, сейчас. В семь</t>
  </si>
  <si>
    <t>половиной лет я и шла в школу. В семь с половиной лет я и шла.</t>
  </si>
  <si>
    <t>И я и шла... Да у нас все, по - моему, сейчас. В семь с половиной лет я и шла в школу. В семь</t>
  </si>
  <si>
    <t>половиной лет я и шла.</t>
  </si>
  <si>
    <t>Но и двое не пришло,</t>
  </si>
  <si>
    <t>войны двое.</t>
  </si>
  <si>
    <t>Сорок пятый, да? Значит, выходит, мне три</t>
  </si>
  <si>
    <t>половиной года было, наверное.</t>
  </si>
  <si>
    <t>Значит, три</t>
  </si>
  <si>
    <t>половиной года мне было, я помню, приходил военный.</t>
  </si>
  <si>
    <t>И а так как бабушка жила вместе</t>
  </si>
  <si>
    <t>нами (нам).</t>
  </si>
  <si>
    <t>рождения, как его?...</t>
  </si>
  <si>
    <t>Гипноз.</t>
  </si>
  <si>
    <t>рождения может какой гипноз и был.</t>
  </si>
  <si>
    <t>А этот, поговорит</t>
  </si>
  <si>
    <t>ней, солдат.</t>
  </si>
  <si>
    <t>А пчёлы... Он разводил... Сразу после, как</t>
  </si>
  <si>
    <t>войны пришёл, стал разводить. Раньше были, сейчас домики.</t>
  </si>
  <si>
    <t>И спрячет от нас на чердак. А мы</t>
  </si>
  <si>
    <t>сестрой ещё в школу ходили.</t>
  </si>
  <si>
    <t>У сына моего, например, так сделано,</t>
  </si>
  <si>
    <t>огорода сделано и ставит там у них (их).</t>
  </si>
  <si>
    <t>Звонит. Ну а я как думаю, может (може) по делу надо, всегда беру телефон. Ну, пока у меня (мне)</t>
  </si>
  <si>
    <t>мозгами (мозгам) всё в порядке.</t>
  </si>
  <si>
    <t>Если мало, допустим</t>
  </si>
  <si>
    <t>Сначала сеяли горох</t>
  </si>
  <si>
    <t>овсом, викой там (тама).</t>
  </si>
  <si>
    <t>Горох сеяли, да, скоту. Вместе</t>
  </si>
  <si>
    <t>овсом.</t>
  </si>
  <si>
    <t>Бывало привозят со струками (струкам)</t>
  </si>
  <si>
    <t>этим.</t>
  </si>
  <si>
    <t>Не в = не высокий ростом. Ну,</t>
  </si>
  <si>
    <t>бородой такой, старше, старик.</t>
  </si>
  <si>
    <t>Ну а потом (потома) а</t>
  </si>
  <si>
    <t>Ме = медведя. Юля приехадчи</t>
  </si>
  <si>
    <t>Иваном, да?</t>
  </si>
  <si>
    <t>Он</t>
  </si>
  <si>
    <t>Гапанчуком. Может (може) помните Петра Гапанчука. Ну вот он ходил с ним (им).</t>
  </si>
  <si>
    <t>Он с Гапанчуком. Может (може) помните Петра Гапанчука. Ну вот он ходил</t>
  </si>
  <si>
    <t>ним (им).</t>
  </si>
  <si>
    <t>Мы идём</t>
  </si>
  <si>
    <t>ягод, и они идут (идуть). Вот Нина идёт со своим хозяином.</t>
  </si>
  <si>
    <t>Так что вы когда едете, берите</t>
  </si>
  <si>
    <t>собой автомат сразу. Вы может с мясом приедете.</t>
  </si>
  <si>
    <t>Так что вы когда едете, берите с собой автомат сразу. Вы может</t>
  </si>
  <si>
    <t>мясом приедете.</t>
  </si>
  <si>
    <t>Пригнал корову. Мы вышли на улицу все,</t>
  </si>
  <si>
    <t>Так, Юля ва =</t>
  </si>
  <si>
    <t>Ну во =, вот</t>
  </si>
  <si>
    <t>кого на = нашим брать в пример, если вы по - одному все?</t>
  </si>
  <si>
    <t>Это хорошо, что мы вз = уже знакомы</t>
  </si>
  <si>
    <t>этим (этым) делом. Я только глядь - говорю: " Ой, какая гадюка ". Я говорю: " Куда вы идёте? "</t>
  </si>
  <si>
    <t>А когда он опустил всё под низ, то, вроде и хорошо, и вода и горячая. Теперь встаю, пожалуйста: мойся, стирайся, хоть</t>
  </si>
  <si>
    <t>утра сразу встала постирала, включила печка сделано включенная на десять литров - ну благодать, городская жизнь.</t>
  </si>
  <si>
    <t>Тогда я говорю: " Слушай, будет у нас раньше водили тоже экскаваторы, ходили такие ко =</t>
  </si>
  <si>
    <t>ковшом ".</t>
  </si>
  <si>
    <t>Вот (вота) экскаватор пришёл, это,</t>
  </si>
  <si>
    <t>ковшом.</t>
  </si>
  <si>
    <t>И мальчик остался. Она молодая, ей было двадцать</t>
  </si>
  <si>
    <t>чем - то лет.</t>
  </si>
  <si>
    <t>Ра = ра = ради = радио давно было. Радио примерно, я думаю,</t>
  </si>
  <si>
    <t>пятьдесят пятого года.</t>
  </si>
  <si>
    <t>Только света не было, были лампы.</t>
  </si>
  <si>
    <t>лампами сидели.</t>
  </si>
  <si>
    <t>И мы в школу ходили</t>
  </si>
  <si>
    <t>лампами (с лампам).</t>
  </si>
  <si>
    <t>И мы в школу ходили с лампами (</t>
  </si>
  <si>
    <t>лампам).</t>
  </si>
  <si>
    <t>А вы сегодня</t>
  </si>
  <si>
    <t>утра приехали.</t>
  </si>
  <si>
    <t>Петровны... Нины Петровны Наташа не приехадчи? Не? Сюда</t>
  </si>
  <si>
    <t>ребятками (ребяткам), не?</t>
  </si>
  <si>
    <t>Ну вот, сына борется, вот что может, а где</t>
  </si>
  <si>
    <t>ним (йим) всё будешь бороться.</t>
  </si>
  <si>
    <t>Вот, Витальевич, посмотри. Где</t>
  </si>
  <si>
    <t>ним (йим) будешь бороться? Ты посмотри!</t>
  </si>
  <si>
    <t>И вокруг моего дома такой и такая площадь. Где</t>
  </si>
  <si>
    <t>ним (йим) мы всё бо = бороться?</t>
  </si>
  <si>
    <t>А я</t>
  </si>
  <si>
    <t>Ну такие дела у нас, ну, а</t>
  </si>
  <si>
    <t>борщевиком это пропщее дело.</t>
  </si>
  <si>
    <t>Оттуда откуда - то</t>
  </si>
  <si>
    <t>юга, я забыла.</t>
  </si>
  <si>
    <t>октября в четвёртом году пожил, в пятом он умер, двадцать второго марта умер.</t>
  </si>
  <si>
    <t>Ну вот, она привязла и</t>
  </si>
  <si>
    <t>тех пор, правда, и как чуть, я если что такое, так сразу мерю. Иначе нельзя.</t>
  </si>
  <si>
    <t>семьдесят, так, семидесятый.</t>
  </si>
  <si>
    <t>восьмидесятого года люди стали уезжать уже.</t>
  </si>
  <si>
    <t>В общем, стали разъезжаться, уже</t>
  </si>
  <si>
    <t>восьмидесятого года.</t>
  </si>
  <si>
    <t>К старости надо детей (дети), чтоб кто - то остался рядом</t>
  </si>
  <si>
    <t>вами.</t>
  </si>
  <si>
    <t>Строитель всегда будешь</t>
  </si>
  <si>
    <t>домом, всегда он всё сделает.</t>
  </si>
  <si>
    <t>Так что будете всегда</t>
  </si>
  <si>
    <t>этим самым с квартирой, и всё мо = и они все могут (можут).</t>
  </si>
  <si>
    <t>Так что будете всегда с этим самым</t>
  </si>
  <si>
    <t>квартирой, и всё мо = и они все могут (можут).</t>
  </si>
  <si>
    <t>А,</t>
  </si>
  <si>
    <t>китайского, да, да, говорили.</t>
  </si>
  <si>
    <t>Ну, он пришёл,</t>
  </si>
  <si>
    <t>матерью пришёл.</t>
  </si>
  <si>
    <t>А он когда - то</t>
  </si>
  <si>
    <t>ним (им) работал на стройке тоже папка мой.</t>
  </si>
  <si>
    <t>Никуда, так и осталась и вот прожила</t>
  </si>
  <si>
    <t>дедом сорок два года.</t>
  </si>
  <si>
    <t>Он косил вместе</t>
  </si>
  <si>
    <t>Толькой (Тольком).</t>
  </si>
  <si>
    <t>Скот не пасли колхозные</t>
  </si>
  <si>
    <t>Вот они</t>
  </si>
  <si>
    <t>этим мальцем всё паслися целую неделю.</t>
  </si>
  <si>
    <t>Так как раньше всё, все были посевы</t>
  </si>
  <si>
    <t>Стерьп, серпом сженала и потом (потома) это</t>
  </si>
  <si>
    <t>И мы попробовали</t>
  </si>
  <si>
    <t>го = сестрой, она на два года меня (мене) старше, у нас не получается ничего. Она говорит: " Бросьте вы его, вы будете таскать и складывать. " Вместе вот так ставили.</t>
  </si>
  <si>
    <t>И = и они тогда вот это снопы ст =</t>
  </si>
  <si>
    <t>И потом был свой амбар, и засеивали и</t>
  </si>
  <si>
    <t>Мы в Луках брали, у нас здесь не было, мы ездили</t>
  </si>
  <si>
    <t>дедом своим в Луки.</t>
  </si>
  <si>
    <t>Теперь (теперя), так Пахново, Каськово – сто, там</t>
  </si>
  <si>
    <t>прибавком уже не считаю, сто.</t>
  </si>
  <si>
    <t>Никого нету, уже давно, это</t>
  </si>
  <si>
    <t>восемьдесят =, по - моему, с восемьдесят пятого года, там уже деревн =, деревень нет никаких.</t>
  </si>
  <si>
    <t>Никого нету, уже давно, это с восемьдесят =, по - моему,</t>
  </si>
  <si>
    <t>восемьдесят пятого года, там уже деревн =, деревень нет никаких.</t>
  </si>
  <si>
    <t>Со временем, если не будет ничего, ну, через двадцать лет, ничего не будет, считай так, а если кто будет, такие, как я, по восемьдесят лет, так уже, какая работа,</t>
  </si>
  <si>
    <t>нас никакой как = я какую работу могу делать, да никакую, так.</t>
  </si>
  <si>
    <t>Будет дорога туда, по этой стороне. Она на горочке, и живёт</t>
  </si>
  <si>
    <t>дочкой, она с дочкой живёт вместе.</t>
  </si>
  <si>
    <t>этого, вот с этого загона, вот где поро = вот каждая стоит (стоить), каждая свиноматка стоит (стоить) это вверх земли всё скидывали.</t>
  </si>
  <si>
    <t>Его на силос делали. Но, говорю, а какой из (</t>
  </si>
  <si>
    <t>) него силос, бывало у коров животы разболятся - как (кака) свистнут (свистнуть) оттуда до сюда (седа) телята (теляты) погибали все.</t>
  </si>
  <si>
    <t>Будет дорога туда, по этой стороне. Она на горочке, и живёт с дочкой, она</t>
  </si>
  <si>
    <t>дочкой живёт вместе.</t>
  </si>
  <si>
    <t>Я говорю: " Ну вы</t>
  </si>
  <si>
    <t>соседями (соседям), наверное, рядом там ", - называю её.</t>
  </si>
  <si>
    <t>Ну, никто не хочет. Ну что будет говорить и кто? Ну так кто может (може) кто помоложе, может (можа), что - то о продукции скажет, может (можа), что - то. А так не. Я так вообще не разговариваю ни</t>
  </si>
  <si>
    <t>кем почти.</t>
  </si>
  <si>
    <t>Ну, теперь (теперя), значит (значить), предлагают второму делать, а я даже боюсь. Я говорю, я хотя</t>
  </si>
  <si>
    <t>этим глазом плохо вижу, но всё - таки я дома хожу и я что - то себе приготовлю, что - то где - то подотру, хоть где какая шумина останется, но а что будешь делать.</t>
  </si>
  <si>
    <t>Было до самой двери, по = вот на этой стороне (стороны), погляжу - уже нету, б = бог</t>
  </si>
  <si>
    <t>ними (ими), им надо больше, чем мне.</t>
  </si>
  <si>
    <t>Ну и всё: кто в школу ходил, а кто говорит, что я даже не родивши был. Ну вот</t>
  </si>
  <si>
    <t>кого брать - брать не с кого. Ну вот такие дела.</t>
  </si>
  <si>
    <t>Ну и всё: кто в школу ходил, а кто говорит, что я даже не родивши был. Ну вот с кого брать - брать не</t>
  </si>
  <si>
    <t>кого. Ну вот такие дела.</t>
  </si>
  <si>
    <t>Так что вот, вот такие дела. А</t>
  </si>
  <si>
    <t>кого спрашивать - не с кого.</t>
  </si>
  <si>
    <t>Так что вот, вот такие дела. А с кого спрашивать - не</t>
  </si>
  <si>
    <t>кого.</t>
  </si>
  <si>
    <t>Зимой болтается, до тех пор пока уже ветром выбьется всё: и снег, и пурга, пока всё вы = тогда я</t>
  </si>
  <si>
    <t>трудом досушиваю.</t>
  </si>
  <si>
    <t>Они не такие, они, как сказать, раньше то ли они были покрыты</t>
  </si>
  <si>
    <t>дикими (диким) свиньями (свиньям), может (можа) с боровами (боровам). Они были такие рыластые.</t>
  </si>
  <si>
    <t>Они не такие, они, как сказать, раньше то ли они были покрыты с дикими (диким) свиньями (свиньям), может (можа)</t>
  </si>
  <si>
    <t>боровами (боровам). Они были такие рыластые.</t>
  </si>
  <si>
    <t>И мы же держали всю жизнь поросят дома</t>
  </si>
  <si>
    <t>хозяином и с семьёй.</t>
  </si>
  <si>
    <t>И мы же держали всю жизнь поросят дома с хозяином и</t>
  </si>
  <si>
    <t>Ну и мешали, ели и м =, ну и такого жиру не было, ну были, конечно, бывало и, говорят если в два пальца, а ну а если в три, говорят, какое это сало, в два пальца самое, два</t>
  </si>
  <si>
    <t>половиной такого было. Ну вот.</t>
  </si>
  <si>
    <t>Не, не,</t>
  </si>
  <si>
    <t>Я... Да. И я</t>
  </si>
  <si>
    <t>этой женщиной (женщины). Ну раньше у них детей много было с та = Таджикистана вы говорите, да? Ну и тогда они жили в их было, по - моему, семь детей или восемь, что - то такое.</t>
  </si>
  <si>
    <t>Пока ребятки подросли. А потом вот я стала разговаривать</t>
  </si>
  <si>
    <t>ней, она сказала,  я говорю: " Ну, теперь вы отдыхаете? " - " Да, я отдыхаю ".</t>
  </si>
  <si>
    <t>ней (ею) никто не живёт, все разъехавши. Ну...</t>
  </si>
  <si>
    <t>Ну и она как раз ехала в Западную (Западной) Двину. Говорю: "</t>
  </si>
  <si>
    <t>кем ты? " - да, - " Мужик есть? " И она сказала: " Мужика нету - мужик умер ".</t>
  </si>
  <si>
    <t>Ну лечиться, когда ой = э =</t>
  </si>
  <si>
    <t>А раньше они</t>
  </si>
  <si>
    <t>Не говорит</t>
  </si>
  <si>
    <t>нами.</t>
  </si>
  <si>
    <t>Такого у нас нет, чтобы мы не знали. Мы все</t>
  </si>
  <si>
    <t>мала до велика (велику)... Мы и здесь и родились почти, и мы всех знаем - - в школу ходили, всех знаем.</t>
  </si>
  <si>
    <t>На почте мы ещё разговаривали</t>
  </si>
  <si>
    <t>людьми. Тоже с бывшей учительницей.</t>
  </si>
  <si>
    <t>На почте мы ещё разговаривали с людьми. Тоже</t>
  </si>
  <si>
    <t>бывшей учительницей.</t>
  </si>
  <si>
    <t>Ну вот. &lt; Нрзб &gt; много что знает. Там может (може) разговаривает там (тама)</t>
  </si>
  <si>
    <t>чем что.</t>
  </si>
  <si>
    <t>Так в августе начали копать</t>
  </si>
  <si>
    <t>Ильи. Вот Илья, сегодня праздник.</t>
  </si>
  <si>
    <t>Ильи. Да, сегодня Илья. В церкви работают, церковь (церква), наверное.</t>
  </si>
  <si>
    <t>Так что движения нет никакого и как бы разговора тоже не</t>
  </si>
  <si>
    <t>кем не = и нечем, как говорится. Хотя и... Ну а чём м =. Мы жизнь прожили, о чём нам говорить? Молодёжь, у них своя жизнь, у нас своя была. У каждого своя.</t>
  </si>
  <si>
    <t>Газету</t>
  </si>
  <si>
    <t>почты вам приносят?</t>
  </si>
  <si>
    <t>почты, да. С почты хорошо.</t>
  </si>
  <si>
    <t>С почты, да.</t>
  </si>
  <si>
    <t>почты хорошо.</t>
  </si>
  <si>
    <t>Я вот как отболела, тут тоже не могла прийти. Хлеба принесут</t>
  </si>
  <si>
    <t>почты.</t>
  </si>
  <si>
    <t>палочкой дойду: за свет заплачу, на телефон положу.</t>
  </si>
  <si>
    <t>Не столько разговариваю, я только разговариваю</t>
  </si>
  <si>
    <t>одной сестрой. Ей восемьдесят пятый год и мне. Вот только, я больше ни с кем. С дочкой тоже не разговариваю, не о чем разговаривать.</t>
  </si>
  <si>
    <t>Не столько разговариваю, я только разговариваю с одной сестрой. Ей восемьдесят пятый год и мне. Вот только, я больше ни</t>
  </si>
  <si>
    <t>кем. С дочкой тоже не разговариваю, не о чем разговаривать.</t>
  </si>
  <si>
    <t>Не столько разговариваю, я только разговариваю с одной сестрой. Ей восемьдесят пятый год и мне. Вот только, я больше ни с кем.</t>
  </si>
  <si>
    <t>дочкой тоже не разговариваю, не о чем разговаривать.</t>
  </si>
  <si>
    <t>Каждый</t>
  </si>
  <si>
    <t>Ну а сестре (сестры) уже восемьдесят четыре года, она ходить не может. Восемьдесят пятый год пошёл ей</t>
  </si>
  <si>
    <t>марта месяца.</t>
  </si>
  <si>
    <t>И тоже х = ходить - - никуда не ходит,</t>
  </si>
  <si>
    <t>палочкой всё.</t>
  </si>
  <si>
    <t>Ну и</t>
  </si>
  <si>
    <t>На втором этаже будешь жить. Мы</t>
  </si>
  <si>
    <t>ребятами (ребятам), тут у него внуки, уж они большие.</t>
  </si>
  <si>
    <t>А она</t>
  </si>
  <si>
    <t>Не, я дома помоюсь. А в месяц раз я как - нибудь</t>
  </si>
  <si>
    <t>У неё (ней)</t>
  </si>
  <si>
    <t>детства удалёно... Не с детства, ей было двадцать два года.</t>
  </si>
  <si>
    <t>У неё (ней) с детства удалёно... Не</t>
  </si>
  <si>
    <t>детства, ей было двадцать два года.</t>
  </si>
  <si>
    <t>Она жила</t>
  </si>
  <si>
    <t>одной почкой.</t>
  </si>
  <si>
    <t>Она не одна там,</t>
  </si>
  <si>
    <t>подругой они работали на ткацкой (ткацкей) фабрике.</t>
  </si>
  <si>
    <t>Там она познакомилась</t>
  </si>
  <si>
    <t>парнем.</t>
  </si>
  <si>
    <t>Баб Зин, а тут есть одноэтажные дома, а есть двухэтажные, вот такие</t>
  </si>
  <si>
    <t>квартирами.</t>
  </si>
  <si>
    <t>Сейчас она, наверное, сгорела и её, наверное, нет там остатков. Вот это там такой дом,</t>
  </si>
  <si>
    <t>Хотя там у нас дед был, и ходили за дедом за этим (этым), чтобы к =. А он знал немецкий язык ещё</t>
  </si>
  <si>
    <t>той войны, какая война первая была.</t>
  </si>
  <si>
    <t>Она сказала, если выживу, то я выживу вместе</t>
  </si>
  <si>
    <t>ними (йим).</t>
  </si>
  <si>
    <t>Всё отбивали (оббивали), всё само =, мы всё делали</t>
  </si>
  <si>
    <t>Ну это, а = а ваго =, а выго =, были, навоз удаляли</t>
  </si>
  <si>
    <t>Если считать птичники, то</t>
  </si>
  <si>
    <t>пе = петьдесят восьмого года.</t>
  </si>
  <si>
    <t>пятьдесят восьмого.</t>
  </si>
  <si>
    <t>Ну вы после шести =. Вы, получается в шестьдесят</t>
  </si>
  <si>
    <t>че =.</t>
  </si>
  <si>
    <t>Чего я пойду на работу, если у меня (мне) двое безработных? Зачем? Я говорю, не надо.</t>
  </si>
  <si>
    <t>И косить могут, и всё. И в поле Сергей</t>
  </si>
  <si>
    <t>моим Сашкой (Сашком) гонялись бывало как только надо сенокос, сено косить надо.</t>
  </si>
  <si>
    <t>все</t>
  </si>
  <si>
    <t>коровами (коровам) вместе.</t>
  </si>
  <si>
    <t>А картошку, вот, двадцать... В Илью надо её</t>
  </si>
  <si>
    <t>А какой у неё цикл? Вот когда вы её</t>
  </si>
  <si>
    <t>?...</t>
  </si>
  <si>
    <t>А = а цикл такой: раньше, раньше начинали копать</t>
  </si>
  <si>
    <t>первого сентября, раньше, молодые.</t>
  </si>
  <si>
    <t>Вон начиная</t>
  </si>
  <si>
    <t>первого сентября.</t>
  </si>
  <si>
    <t>И стали копать числа, начиная</t>
  </si>
  <si>
    <t>двадцать восьмого.</t>
  </si>
  <si>
    <t>двадцать восьмого. Кто с первого, кому как подойдёт. Кто и с первого сентября.</t>
  </si>
  <si>
    <t>С двадцать восьмого. Кто</t>
  </si>
  <si>
    <t>первого, кому как подойдёт. Кто и с первого сентября.</t>
  </si>
  <si>
    <t>С двадцать восьмого. Кто с первого, кому как подойдёт. Кто и</t>
  </si>
  <si>
    <t>А кому ловко,</t>
  </si>
  <si>
    <t>Ну а ра =, а раньше, раньше долго копали, потому что раньше, когда в колхозах были в пятидесятые годы, когда родители мои ещё работали, копали</t>
  </si>
  <si>
    <t>Раньше ба = бабушка</t>
  </si>
  <si>
    <t>Юлей сажали, вот это...</t>
  </si>
  <si>
    <t>Когда на пенсии была, ходила в малину (малины). И то</t>
  </si>
  <si>
    <t>дедом - - боялась зверей.</t>
  </si>
  <si>
    <t>А я сказала, пойдём, ладно. Вот</t>
  </si>
  <si>
    <t>ним (йим) ходили раза четыре, наверное.</t>
  </si>
  <si>
    <t>Так сразу &lt; нрзб &gt;, сразу</t>
  </si>
  <si>
    <t>Вот как первого. А если её поздно выкапывают, то</t>
  </si>
  <si>
    <t>Подполье - - что ты в доме вот, половничину открываешь, да? И там подполье. А погреба (погребы) - - идёт снизу,</t>
  </si>
  <si>
    <t>улицы, фундамент = делают фундаменты большие, так.</t>
  </si>
  <si>
    <t>И там (тама)</t>
  </si>
  <si>
    <t>у = на улице дверинка, и ты идёшь у той две =, не тут грязь носишь, по всей, а прямо вот туда, с этого, с улицы.</t>
  </si>
  <si>
    <t>И там (тама) с у = на улице дверинка, и ты идёшь у той две =, не тут грязь носишь, по всей, а прямо вот туда,</t>
  </si>
  <si>
    <t>этого, с улицы.</t>
  </si>
  <si>
    <t>И там (тама) с у = на улице дверинка, и ты идёшь у той две =, не тут грязь носишь, по всей, а прямо вот туда, с этого,</t>
  </si>
  <si>
    <t>улицы.</t>
  </si>
  <si>
    <t>Ну это в городах. Вот, допустим, у моей сестры, когда она жила</t>
  </si>
  <si>
    <t>мужем. Муж умерши уже десять лет.</t>
  </si>
  <si>
    <t>ней (ей). И там (тама) вот у них (их) полки сделаны, там вот, ну, соренья - валенья, соленья - варенья - - всё можно ставить.</t>
  </si>
  <si>
    <t>И у нас печа была большая. Я даже не знаю из (</t>
  </si>
  <si>
    <t>) чего она. Мать сказала, из (с) камней, вроде, сделана была эта. Она сделана ещё до = до войны.</t>
  </si>
  <si>
    <t>Она...</t>
  </si>
  <si>
    <t>Значит,</t>
  </si>
  <si>
    <t>ним мать. Трое и бабушка.</t>
  </si>
  <si>
    <t>Потом (потома) пришёл</t>
  </si>
  <si>
    <t>войны Гриша, звали его.</t>
  </si>
  <si>
    <t>Слышу, мотор гудит: жу - жу. Что - то такое, такое</t>
  </si>
  <si>
    <t>мотором. Думаю, не знаю я.</t>
  </si>
  <si>
    <t>А что</t>
  </si>
  <si>
    <t>землёй надо делать?</t>
  </si>
  <si>
    <t>землёй мне всё сын делает, я ничего не делаю. Я только кину (укину) в землю.</t>
  </si>
  <si>
    <t>И то тоже: когда заболеет тоже, под этой (этым) болезнью (болезней), тоже ни</t>
  </si>
  <si>
    <t>места. Ну кого нанимать? Нанимать некого.</t>
  </si>
  <si>
    <t>Ну, я</t>
  </si>
  <si>
    <t>&lt; Нрзб &gt; я даже матери, жила же</t>
  </si>
  <si>
    <t>матерью я одиннадцать лет, я и не спросила же.</t>
  </si>
  <si>
    <t>Натальей Александровной туда. Ягод да не нашли.</t>
  </si>
  <si>
    <t>Я сама паслась в поле. Корова обходит - - его чувствует. И я раз пошла, посмотрела, а там такая кожурина как бы</t>
  </si>
  <si>
    <t>мой стол. Вот такая, вся трясётся вот так, вот. Они коровы, животные, сразу понимают.</t>
  </si>
  <si>
    <t>мера</t>
  </si>
  <si>
    <t>Я не понимаю, то ли они</t>
  </si>
  <si>
    <t>рождения уже бодаются, наверное.</t>
  </si>
  <si>
    <t>Ну и он так и стал болеть - болеть</t>
  </si>
  <si>
    <t>этой ногой, и всё, и...</t>
  </si>
  <si>
    <t>Ну, не скоро. Ну, наверное, года...</t>
  </si>
  <si>
    <t>год, наверное побыл. Он...</t>
  </si>
  <si>
    <t>Было г = гонялся в поле. В поле он не смог гоняться.</t>
  </si>
  <si>
    <t>год, наверное, он побыл и всё.</t>
  </si>
  <si>
    <t>Ну и коровы бодают, бывают тоже</t>
  </si>
  <si>
    <t>характером.</t>
  </si>
  <si>
    <t>Поянтно. А</t>
  </si>
  <si>
    <t>кабанами такого не бывало?</t>
  </si>
  <si>
    <t>А к =</t>
  </si>
  <si>
    <t>кабанами, к = кабанов я сама видела. А кабаны зимой. Кабанов много раньше было, сейчас не знаю.</t>
  </si>
  <si>
    <t>Вот так что там работали, ну а потом замуж вышла за, в Каськово, сорок два года отжила</t>
  </si>
  <si>
    <t>хозяином в Каськове. Он был строителем, ну а летом, строителем, он дома строил сво = собственные, кто просил там (тама), вся деревня, которая в Каськове там была, знает Роман.</t>
  </si>
  <si>
    <t>Ну косил хозяинр много, и я так же, я не косила, ну он косил, это потому что я на дойке работала, и я</t>
  </si>
  <si>
    <t>дойки, бывало, приду, иду на сено. Ну так в четыре часа встанешь, такой летом круговорот полный. Там &lt; нрзб &gt;, опять дом = ой на первую доить, подоишь, выпасешь (выпастишь) корову свою, держала хозяйство своё, своё выпасешь (выпастишь), опять идёшь, ему помогаешь грабить, копны кладём, потом, бывает, вечером мы даже вечером метали стога. Вечером, потому что, если передадут, до = дожди пойдут, дождь, то, значит, в двенадцать часов, помню, в кол = в совхо = в колхозе в совхозе ну скот, а совхозный. Не было постоянного пастуха, и пасли все по очереди.</t>
  </si>
  <si>
    <t>Значит, очередь сегодня моего хозяина</t>
  </si>
  <si>
    <t>другим там напарником &lt; нрзб &gt;, тогда ребята помогали, Сашка, сын мне тут живёт.</t>
  </si>
  <si>
    <t>Ну а тогда т = там</t>
  </si>
  <si>
    <t>молоком, молоко, был у нас сырзавод, вы, когда едете от нас, поедете, вот на = на правую сторону был сырзавод, сырзавод был большой.</t>
  </si>
  <si>
    <t>Там какие коровы хорошо давали, тогда такие коровы были пёстрые</t>
  </si>
  <si>
    <t>() белыми (белым) и жёлтыми (жёлтым) пятнами (пятнам). Вот у меня корова была хорошая тоже, она давала двадцать пять литров молока, ну конечно всё же не съедаешь, ну литров порой десять сдашь, остальное себе оставляешь, на деньги, сдавали на деньги, а ну.</t>
  </si>
  <si>
    <t>Нет, нет, такого не было. Никто никогда не нырял. Нет, нет, моя мать, мы</t>
  </si>
  <si>
    <t>матерью, она вот сюда пришла, она жила в Спиридове, а восемьдесят пять лет ей было, я спрашивала у неё (ней), она дожила до девяносто пяти. Я сказала, ты купалась когда - то, она ск = сказала, с отроду никогда, говорит, даже близко к воде не подхо =, хотя там озеро недалеко. Они, когда, ну работать она любила, она работала, она всю р =, работала всю свою жизнь, и когда уже мы взрослые стали, и все, у нас свои семьи, и отца не стало, она всё равно курицу, ей надо, чтобы баран ходил, овца там с ягнятами (ягнятам) ходила, это вот, не, эту работу не отберёшь, огород чтобы был всегда (вовсегда), это надо или не надо, ай не надо мне, значит, если соседи не возьмут, значит, я баранам отдам, ну, ну и такие люди земельные к земле (земли) большая часть. Мы без земли никак, я думаю, у нас вся деревня так все.</t>
  </si>
  <si>
    <t>Нет, нет, такого не было. Никто никогда не нырял. Нет, нет, моя мать, мы с матерью, она вот сюда пришла, она жила в Спиридове, а восемьдесят пять лет ей было, я спрашивала у неё (ней), она дожила до девяносто пяти. Я сказала, ты купалась когда - то, она ск = сказала,</t>
  </si>
  <si>
    <t>отроду никогда, говорит, даже близко к воде не подхо =, хотя там озеро недалеко. Они, когда, ну работать она любила, она работала, она всю р =, работала всю свою жизнь, и когда уже мы взрослые стали, и все, у нас свои семьи, и отца не стало, она всё равно курицу, ей надо, чтобы баран ходил, овца там с ягнятами (ягнятам) ходила, это вот, не, эту работу не отберёшь, огород чтобы был всегда (вовсегда), это надо или не надо, ай не надо мне, значит, если соседи не возьмут, значит, я баранам отдам, ну, ну и такие люди земельные к земле (земли) большая часть. Мы без земли никак, я думаю, у нас вся деревня так все.</t>
  </si>
  <si>
    <t>Нет, нет, такого не было. Никто никогда не нырял. Нет, нет, моя мать, мы с матерью, она вот сюда пришла, она жила в Спиридове, а восемьдесят пять лет ей было, я спрашивала у неё (ней), она дожила до девяносто пяти. Я сказала, ты купалась когда - то, она ск = сказала, с отроду никогда, говорит, даже близко к воде не подхо =, хотя там озеро недалеко. Они, когда, ну работать она любила, она работала, она всю р =, работала всю свою жизнь, и когда уже мы взрослые стали, и все, у нас свои семьи, и отца не стало, она всё равно курицу, ей надо, чтобы баран ходил, овца там</t>
  </si>
  <si>
    <t>ягнятами (ягнятам) ходила, это вот, не, эту работу не отберёшь, огород чтобы был всегда (вовсегда), это надо или не надо, ай не надо мне, значит, если соседи не возьмут, значит, я баранам отдам, ну, ну и такие люди земельные к земле (земли) большая часть. Мы без земли никак, я думаю, у нас вся деревня так все.</t>
  </si>
  <si>
    <t>&lt; нрзб &gt; и мне восемьдесят третий год идёт, и я и я вот огород держу на себе. Говорит, сын приходит же часто, мне говорит, мама, не надо тебе картошку, мы не будем сажать нынче. Я говорю, если не будем сажать, я не хочу так жить, как в этом борщевике, вот вы видите борщевик пять метров высотой. Ясказала, мне даже некуда посмотреть в окно будет, куда я буду смотреть. Я говорю, пусть я, была бы посаженная, и сколько могу, сама поковыряюсь, в случае чего попрошу вон Петруху, тут у нас есть такой. Петруха, покопайте, ему картошки дам, он рядом</t>
  </si>
  <si>
    <t>магазином живёт, он один, ну Сашке моему ровесник, шестьдесят годов будет &lt; нрзб &gt;, моему было, уже шестьдесят первый, а ему в сентябре будет шестьдесят. Вот, когда попрошу что, он поможет мне.</t>
  </si>
  <si>
    <t>Ну не могу сказать ничего, потому что не хожу, и ничего не знаю, теперь я не хожу никуда, раньше ходила, а д = когда мне было семьдесят пять лет, я последний раз сходила, ходила, было день пожилого человека, и</t>
  </si>
  <si>
    <t>тех пор я никуда не хожу дальше магазина, в магазин дойду вот и всё вот, одна дорога до магазина.</t>
  </si>
  <si>
    <t>А там (тама) они умерли (умерши), Дроздовы были в Макееве они жили, Дроздов Володя, хозяйку звали Женя, они уже давно умерли (умерши), они</t>
  </si>
  <si>
    <t>тридцатого года, давно уже умерли (умерши), нет.</t>
  </si>
  <si>
    <t>В де = в детстве какие вам истории надо, я вам расскажу историю, могу рассказать одну, у нас же дружили, ну я думаю, может кто и рассказывал вам из деревни. Дружил парень</t>
  </si>
  <si>
    <t>девушкой, уже хотели жениться, ну это это на самом деле такое есть, было, и они, значит, на =, свадьба назначена, точно не могу, по - моему, как на Троицу. Они за два дня Троицы пошли в этом, говорит (говорить) мужик её (еёный), теперь ну парень, назовём его. Говорит (говорить), пойдём искупаемся, пошли к речке купаться напротив кладбища где - то туда, он как разделся, как нырнул, так и не вынырнул, вот такой случай это вот был. И вот она осталась на берегу, и потом она вышла за другого замуж, она сама позже умерла (умёрши), ну а дети в Ленинграде, одна дочка вроде умерла (умерши) уже. Так вот такой сулчай был, но из ма = из материного рассказа, ну она рассказывала, что - то, она сказала &lt; нрзб &gt; значит (значить), правильнро как сказать, сейчас скажу. Ну как бы в жизни всяко бывает, и не складывается жизнь. Ну приходит дочка к матери и говорит, говорит (говорить), я не хочу жить, я ну что там (тама) не ладится жизнь то ли &lt; нрзб &gt;, но я не спрашивала, точно не могу сказать, она ей говорит, знаешь, детка, дочь, говорит, вот, если тебе накакают на голову, ты скинь с головы, извините за выражение, и опять живи. Ну что, то это жизнь, говорит, не что - нибудь, вот такое. Ну и потом рассказывала, мужик, значит, ходит к женщине ходит (ходить) и ходит (ходить), она, значит, как лето приходит, так ему надо спать на сеновале, но эта жёнка, она понимает что - то, что да нет, она раз послушала, два послушала людей, говорит, надо мне пос = самой покараулить. Она пошла караулить, караулит (караулить), значит, они полезли на черда = на = на = на хлё = на сарай. Она помокнула в жижу, раньше жижесборники такие за хлёвом были, метлу, и туда на это самое, на хлёв их метлой этой с жижей. Говорит (говорить), вот такой случай был. Но драться никто не дрался, она сказала, не дрались, а вот такой случай был.</t>
  </si>
  <si>
    <t>В де = в детстве какие вам истории надо, я вам расскажу историю, могу рассказать одну, у нас же дружили, ну я думаю, может кто и рассказывал вам из деревни. Дружил парень с девушкой, уже хотели жениться, ну это это на самом деле такое есть, было, и они, значит, на =, свадьба назначена, точно не могу, по - моему, как на Троицу. Они за два дня Троицы пошли в этом, говорит (говорить) мужик её (еёный), теперь ну парень, назовём его. Говорит (говорить), пойдём искупаемся, пошли к речке купаться напротив кладбища где - то туда, он как разделся, как нырнул, так и не вынырнул, вот такой случай это вот был. И вот она осталась на берегу, и потом она вышла за другого замуж, она сама позже умерла (умёрши), ну а дети в Ленинграде, одна дочка вроде умерла (умерши) уже. Так вот такой сулчай был, но из ма = из материного рассказа, ну она рассказывала, что - то, она сказала &lt; нрзб &gt; значит (значить), правильнро как сказать, сейчас скажу. Ну как бы в жизни всяко бывает, и не складывается жизнь. Ну приходит дочка к матери и говорит, говорит (говорить), я не хочу жить, я ну что там (тама) не ладится жизнь то ли &lt; нрзб &gt;, но я не спрашивала, точно не могу сказать, она ей говорит, знаешь, детка, дочь, говорит, вот, если тебе накакают на голову, ты скинь</t>
  </si>
  <si>
    <t>головы, извините за выражение, и опять живи. Ну что, то это жизнь, говорит, не что - нибудь, вот такое. Ну и потом рассказывала, мужик, значит, ходит к женщине ходит (ходить) и ходит (ходить), она, значит, как лето приходит, так ему надо спать на сеновале, но эта жёнка, она понимает что - то, что да нет, она раз послушала, два послушала людей, говорит, надо мне пос = самой покараулить. Она пошла караулить, караулит (караулить), значит, они полезли на черда = на = на = на хлё = на сарай. Она помокнула в жижу, раньше жижесборники такие за хлёвом были, метлу, и туда на это самое, на хлёв их метлой этой с жижей. Говорит (говорить), вот такой случай был. Но драться никто не дрался, она сказала, не дрались, а вот такой случай был.</t>
  </si>
  <si>
    <t>В де = в детстве какие вам истории надо, я вам расскажу историю, могу рассказать одну, у нас же дружили, ну я думаю, может кто и рассказывал вам из деревни. Дружил парень с девушкой, уже хотели жениться, ну это это на самом деле такое есть, было, и они, значит, на =, свадьба назначена, точно не могу, по - моему, как на Троицу. Они за два дня Троицы пошли в этом, говорит (говорить) мужик её (еёный), теперь ну парень, назовём его. Говорит (говорить), пойдём искупаемся, пошли к речке купаться напротив кладбища где - то туда, он как разделся, как нырнул, так и не вынырнул, вот такой случай это вот был. И вот она осталась на берегу, и потом она вышла за другого замуж, она сама позже умерла (умёрши), ну а дети в Ленинграде, одна дочка вроде умерла (умерши) уже. Так вот такой сулчай был, но из ма = из материного рассказа, ну она рассказывала, что - то, она сказала &lt; нрзб &gt; значит (значить), правильнро как сказать, сейчас скажу. Ну как бы в жизни всяко бывает, и не складывается жизнь. Ну приходит дочка к матери и говорит, говорит (говорить), я не хочу жить, я ну что там (тама) не ладится жизнь то ли &lt; нрзб &gt;, но я не спрашивала, точно не могу сказать, она ей говорит, знаешь, детка, дочь, говорит, вот, если тебе накакают на голову, ты скинь с головы, извините за выражение, и опять живи. Ну что, то это жизнь, говорит, не что - нибудь, вот такое. Ну и потом рассказывала, мужик, значит, ходит к женщине ходит (ходить) и ходит (ходить), она, значит, как лето приходит, так ему надо спать на сеновале, но эта жёнка, она понимает что - то, что да нет, она раз послушала, два послушала людей, говорит, надо мне пос = самой покараулить. Она пошла караулить, караулит (караулить), значит, они полезли на черда = на = на = на хлё = на сарай. Она помокнула в жижу, раньше жижесборники такие за хлёвом были, метлу, и туда на это самое, на хлёв их метлой этой</t>
  </si>
  <si>
    <t>жижей. Говорит (говорить), вот такой случай был. Но драться никто не дрался, она сказала, не дрались, а вот такой случай был.</t>
  </si>
  <si>
    <t>Никого, никто, все живы, ну и и ковид, я, у меня сестра живёт в Старой Торопе (Торопы), там (тама) не делали, не все делали уколы, а сестра моя не делала, она сорокового года, ей восемьдесят четыре года. И там не = не заставляли, занчит (значить) врач в Торопе есть, если приходишь на эту самую к ней (ей) на приём, она сказала, надо делать от ковида во эти самые, прививки, отказывались люди, есть каки = какие делали, а какие отказывались и ничего, она там ка = вроде какой - то список вела, что распи = распишитесь, что вы отказываетесь, а так, не. Сестра моя вообще ничего не делала, и она не болела, ничего, ей восемьдесят четыре года, восемьдесят пятый сейчас идёт, она не делала, и многие не делали в Торопе, а сейчас, а тут я не знаю, кому как, мне делали, я чуть не умерла. Мне делали два раза, в первый раз сделали в первый раз, нормально в первый раз сделали, второй раз сделали, это сразу в голову вдарило, всё, сижу, как пьяная, вот так не понимаю, и</t>
  </si>
  <si>
    <t>тех пор такая всё равно голова, как начнёт &lt; нрзб &gt;. И мне не идут уколы делать от гриппа, некоторым делают нормально некоторым, а мне не, я и уже, в каком делали пер = в шестнадцатом году в первый раз делали. Кому делали, ну нормально переносит, а я не, сразу, мне что - то поднялась какая - то кашель, я с полгода хо = ходила в больницу, и рентген делала, что ни делала, нет ничего, говорит. А бывало как и так запершит, запершит, и ка = начну кашлять, это сразу кружение и с =, лучше садись на пол, иначе будешь лежать. Вот так и полгода так мучалась, потом отошло. М = мне, такая сказала я, мне никакие уколы теперь не делают, вот. Что, дождь пошёл? Ну вот, вот такие дела в нашем районе.</t>
  </si>
  <si>
    <t>Никого, никто, все живы, ну и и ковид, я, у меня сестра живёт в Старой Торопе (Торопы), там (тама) не делали, не все делали уколы, а сестра моя не делала, она сорокового года, ей восемьдесят четыре года. И там не = не заставляли, занчит (значить) врач в Торопе есть, если приходишь на эту самую к ней (ей) на приём, она сказала, надо делать от ковида во эти самые, прививки, отказывались люди, есть каки = какие делали, а какие отказывались и ничего, она там ка = вроде какой - то список вела, что распи = распишитесь, что вы отказываетесь, а так, не. Сестра моя вообще ничего не делала, и она не болела, ничего, ей восемьдесят четыре года, восемьдесят пятый сейчас идёт, она не делала, и многие не делали в Торопе, а сейчас, а тут я не знаю, кому как, мне делали, я чуть не умерла. Мне делали два раза, в первый раз сделали в первый раз, нормально в первый раз сделали, второй раз сделали, это сразу в голову вдарило, всё, сижу, как пьяная, вот так не понимаю, и с тех пор такая всё равно голова, как начнёт &lt; нрзб &gt;. И мне не идут уколы делать от гриппа, некоторым делают нормально некоторым, а мне не, я и уже, в каком делали пер = в шестнадцатом году в первый раз делали. Кому делали, ну нормально переносит, а я не, сразу, мне что - то поднялась какая - то кашель, я</t>
  </si>
  <si>
    <t>полгода хо = ходила в больницу, и рентген делала, что ни делала, нет ничего, говорит. А бывало как и так запершит, запершит, и ка = начну кашлять, это сразу кружение и с =, лучше садись на пол, иначе будешь лежать. Вот так и полгода так мучалась, потом отошло. М = мне, такая сказала я, мне никакие уколы теперь не делают, вот. Что, дождь пошёл? Ну вот, вот такие дела в нашем районе.</t>
  </si>
  <si>
    <t>Никого, никто, все живы, ну и и ковид, я, у меня сестра живёт в Старой Торопе (Торопы), там (тама) не делали, не все делали уколы, а сестра моя не делала, она сорокового года, ей восемьдесят четыре года. И там не = не заставляли, занчит (значить) врач в Торопе есть, если приходишь на эту самую к ней (ей) на приём, она сказала, надо делать от ковида во эти самые, прививки, отказывались люди, есть каки = какие делали, а какие отказывались и ничего, она там ка = вроде какой - то список вела, что распи = распишитесь, что вы отказываетесь, а так, не. Сестра моя вообще ничего не делала, и она не болела, ничего, ей восемьдесят четыре года, восемьдесят пятый сейчас идёт, она не делала, и многие не делали в Торопе, а сейчас, а тут я не знаю, кому как, мне делали, я чуть не умерла. Мне делали два раза, в первый раз сделали в первый раз, нормально в первый раз сделали, второй раз сделали, это сразу в голову вдарило, всё, сижу, как пьяная, вот так не понимаю, и с тех пор такая всё равно голова, как начнёт &lt; нрзб &gt;. И мне не идут уколы делать от гриппа, некоторым делают нормально некоторым, а мне не, я и уже, в каком делали пер = в шестнадцатом году в первый раз делали. Кому делали, ну нормально переносит, а я не, сразу, мне что - то поднялась какая - то кашель, я с полгода хо = ходила в больницу, и рентген делала, что ни делала, нет ничего, говорит. А бывало как и так запершит, запершит, и ка = начну кашлять, это сразу кружение и</t>
  </si>
  <si>
    <t>ДА, она в Старой Торопе (Торопы) живёт, да. Она одна живёт, да и мужа нет, тоже умер десять лет тому назад, ему было восемьдесят два года, когда он умер, ну вот она живёт одна, а сын &lt; нрзб &gt; дом, у неё сын один, у неё (ней) сын о =, сын один у неё (ней), потому что она заболела, болела и в двадцать пять лет вынута (вынята) почка одна, одн =</t>
  </si>
  <si>
    <t>одной почкой жил = жила и живёт, доживает, одна почка, поэтому ей не разрешали рожать больше. Врач сказал, когда оперировал, сказал, вы, да, вы компания любите, он спросил, в Твери делали. Она сказала, я не хожу, ну в деревне мы и не ходили никуда, у нас нет такого компании там, она сказала нет, я и, а можете выпить, она сказала, не, я не пью, мы не пьём ни она, ни сестра, никто не пьёт. Ну если в компании будете, красное вино не потребляйте, только если гранку белого, ну она никуда не ходила, и мы не пьём ни она, ни я, и ей рожать, рожать, сказал, желательно не надо, вот так вот. Ну и почка одна, вот она в двадцать пять лет ей делали, вот ей сейчас восемьдесят пятый год и ничего, живёт нормально, ну поостерегалась работать, она жила там тоже в Каськове жила там, где вот Лавренов Сергей жил, вы не знаете его, Ромка знает, там (тама) это их (ихный) дом, потом они уехали после операции в Торопу, там она работала на складу, потом им дали квартиру, со всем удобствами, там живёт.</t>
  </si>
  <si>
    <t>До школы? А школа у нас вот тут (тутово) последняя, во, во последний асфальт кончается школа, это школа, её, как называют, допотопная, там родители мои учились, учились мы, дети мои учились и внуки учились, столько поколений учились, ну а мы, я нянчила, у нас только сестра была, я нянчила сестру, мне большая часть задания было, я даже не знаю, чем она, сестра занималась, не могу даже, сейчас не припомню, мне давали сестру нянчить эту, потом меня два сезона в няньки отправляли &lt; нрзб &gt; к тётке их, раз у директора в школе я нянчила, в Даниловском, таком, у нас есть, в пятом классе, перешла и нянчила там лето. Мне не я не знаю, как что сестра делала, я не понимаю, не могу ничего сказать, но она после школы, она слабенько училась, мы все слабовато учились тогда, и она не стала ходить в пятый класс, год походила, бросила, и она пошла на работу. Р = работать раньше была борьба какая - то борьба, снег очищали где - то от линии, в общем она пошла на работу,</t>
  </si>
  <si>
    <t>тех пор она потом в Кунье работала, и пока, тогда колхоз был, пока нас не приняли в совхоз, деньги вот &lt; нрзб &gt; совхоз работал на деньгах тогда, они небольшие деньги, но всё - таки деньги были, вот тогда она перешла и работала на птичнике со мной, пока замуж вышла. Замуж вышла, она года два пожила и уехали в Старую Торопу, так вот.</t>
  </si>
  <si>
    <t>Когда училась я, ле = летом не ра = у нас летом, мы, когда я училась, не было &lt; нрзб &gt;, когда кончила, мне пятнадцать лет, то я работала уже, в пятнадцать лет я работала, а когда на каникулы вых =, на каникулах работали только дома дети, ну вот я говорю, я &lt; нрзб &gt; нянчила, сестра у меня</t>
  </si>
  <si>
    <t>сорок девятого года была, нянчила. Ну в поле гоняли (гонялись) со своим, скот был свой личный, по очереди гоняли (гонялись) в поле, бывало, мне это, я гоняла (гонялась) в поле там с бабушкой там с этим, бывало, команду дают. Ну ну в деревне всё равно держали же корову держали и поросёнок, хоть &lt; нрзб &gt; был, маленький, всё равно держали, надо было травы нарубить, этой, родители на работу от зари до зари, а эта работа, она и для тех и в то время, всё оно тоже бывало. Трав надо было нарубить, и бывало, и курам добавляли мокрицу, ну &lt; нрзб &gt;.</t>
  </si>
  <si>
    <t>Когда училась я, ле = летом не ра = у нас летом, мы, когда я училась, не было &lt; нрзб &gt;, когда кончила, мне пятнадцать лет, то я работала уже, в пятнадцать лет я работала, а когда на каникулы вых =, на каникулах работали только дома дети, ну вот я говорю, я &lt; нрзб &gt; нянчила, сестра у меня с сорок девятого года была, нянчила. Ну в поле гоняли (гонялись) со своим, скот был свой личный, по очереди гоняли (гонялись) в поле, бывало, мне это, я гоняла (гонялась) в поле там</t>
  </si>
  <si>
    <t>бабушкой там с этим, бывало, команду дают. Ну ну в деревне всё равно держали же корову держали и поросёнок, хоть &lt; нрзб &gt; был, маленький, всё равно держали, надо было травы нарубить, этой, родители на работу от зари до зари, а эта работа, она и для тех и в то время, всё оно тоже бывало. Трав надо было нарубить, и бывало, и курам добавляли мокрицу, ну &lt; нрзб &gt;.</t>
  </si>
  <si>
    <t>Когда училась я, ле = летом не ра = у нас летом, мы, когда я училась, не было &lt; нрзб &gt;, когда кончила, мне пятнадцать лет, то я работала уже, в пятнадцать лет я работала, а когда на каникулы вых =, на каникулах работали только дома дети, ну вот я говорю, я &lt; нрзб &gt; нянчила, сестра у меня с сорок девятого года была, нянчила. Ну в поле гоняли (гонялись) со своим, скот был свой личный, по очереди гоняли (гонялись) в поле, бывало, мне это, я гоняла (гонялась) в поле там с бабушкой там</t>
  </si>
  <si>
    <t>этим, бывало, команду дают. Ну ну в деревне всё равно держали же корову держали и поросёнок, хоть &lt; нрзб &gt; был, маленький, всё равно держали, надо было травы нарубить, этой, родители на работу от зари до зари, а эта работа, она и для тех и в то время, всё оно тоже бывало. Трав надо было нарубить, и бывало, и курам добавляли мокрицу, ну &lt; нрзб &gt;.</t>
  </si>
  <si>
    <t>Она сама приезжала, у неё родители в Спиридове жили, она приезжала и</t>
  </si>
  <si>
    <t>мужем, она замужем была, и с девочкой приезжали туда каждое лето. Я время выходила на денёк ко = когда она при = и она и приходила к нам в Каськово с мужем и с девочкой. Девочка что небольшая тогда была, а теперь девочке пятьдесят пятый год.</t>
  </si>
  <si>
    <t>Она сама приезжала, у неё родители в Спиридове жили, она приезжала и с мужем, она замужем была, и</t>
  </si>
  <si>
    <t>девочкой приезжали туда каждое лето. Я время выходила на денёк ко = когда она при = и она и приходила к нам в Каськово с мужем и с девочкой. Девочка что небольшая тогда была, а теперь девочке пятьдесят пятый год.</t>
  </si>
  <si>
    <t>Она сама приезжала, у неё родители в Спиридове жили, она приезжала и с мужем, она замужем была, и с девочкой приезжали туда каждое лето. Я время выходила на денёк ко = когда она при = и она и приходила к нам в Каськово</t>
  </si>
  <si>
    <t>мужем и с девочкой. Девочка что небольшая тогда была, а теперь девочке пятьдесят пятый год.</t>
  </si>
  <si>
    <t>Она сама приезжала, у неё родители в Спиридове жили, она приезжала и с мужем, она замужем была, и с девочкой приезжали туда каждое лето. Я время выходила на денёк ко = когда она при = и она и приходила к нам в Каськово с мужем и</t>
  </si>
  <si>
    <t>девочкой. Девочка что небольшая тогда была, а теперь девочке пятьдесят пятый год.</t>
  </si>
  <si>
    <t>Да, они приезжают сюда, да. Я я не не любитель теперь перезвон особо я тоже не звоню, если мне звонят, а</t>
  </si>
  <si>
    <t>сестрой, она всё время перезванивается, сестра передаёт мне тогда перед телефоном таким, так я, сама я не звоню никуда, а сестра моя, она любит (любить) насчёт телефона это поговорить. А я, не, мне нечего говорить &lt; нрзб &gt;, что я буду говорить, старая, сижу себе слепая, что я чего буду говорить. Что было, то прошло уже.</t>
  </si>
  <si>
    <t>Ну это нравится, когда ко мне приходят, да, это я приму всегда, дверь открою, всё. Сама я что буду звонить, ну как там как вам м = м = мо =, когда мы были молодые, не было этой самой, да. А когда мы стали старые, уже жизнь наша, как говорится, на исходе, ну о чём я буду говорить? Ой сестра, я сегодня как я устала, еле встала, ну так и она вот звонит (звонить) иногда, позвонит (позвонить) мне и говорит, ой сестра, я сегодня всю ночь не спала, как это я сегодня не знаю пережить, но и что я говорю давай охать, ты оттуда, я отсюда, ты ты переходи ко мне жить, она говорит (говорить) мне. Я говорю, зачем я к тебе пойду, у тебя (тебе) своя семья, свой сын приедет (приедеть), у сына двое детей, у детей (детех) свои дети в школу нынче пойдут. Я говорю, зачем я к тебе пой = пойду, скажи. А теперь мне нынче сын воду провёл, раньше бывало всё</t>
  </si>
  <si>
    <t>этим (этым) ведром, туда и оттуда не подняться, ну ай нынче провёл мне воду. Холодная вод и горячая есть, всё, я говорю, зачем я пойду к тебе, скажи. Говорю, никуда, так вот. Вот вот такая, такие делишки наши.</t>
  </si>
  <si>
    <t>Вообще, воду не люблю. Я тонула в четыре года или в три, когда жила в Каськове, да, то есть, в Каськове, в этом, в Спиридове, там у нас пруд есть, вот около (кол) это на краю деревни, а там старик жил со старухой, ну тоже они уже в преклонном возрасте, ну лет может (може) по семьдесят было им, и там (тама) у них вырыт был пруд, у них девочка, внучка приезжала и мы</t>
  </si>
  <si>
    <t>сестрой, ну а как раньше на = дома - то не особо они большие были, нас в = говорит, идите на улицу и гуляйте ну и мы пошли к этому пруду (прудке), и я сидела, и болтали, я помню сейчас, что мы болтали ногами (ногам), раньше всё ходили босиком, обуви не было, ходили босиком. Ну и болтали, болтали, до чего доболталась и шалык туда и всё, и там и в воде (воды) ну и, а это хорошо, что там бабка одна была на поле, картошку вроде что - то полола или что она. Она закричала, Дуська её звали, баба Дуся, Зинка утонула, вот баба скорее прибежала (прибегла) вот меня за платье швырнула, матери сообщили, она сказала, я тебя через плечо перекинула, пока, говорит (говорить), рвота всё там оттуда не вынесла, тогда жива стала. Я поэтому воды... это не моё.</t>
  </si>
  <si>
    <t>А так ну мно = много помню, всё из детства, я думаю,</t>
  </si>
  <si>
    <t>трёх годов, с трёх лет я чу всё на свете помню, с трёх, если не раньше. Всё ка = как раньше же не было это самое во время войны мне было в сорок пятом году три года было &lt; нрзб &gt; четвёртый шёл, и ну я думаю, это года два мои, я думаю, мне года два было, и тогда был год ну чего - то такой голодный год был совсем, и вот я не помню только сейчас, не могу ск =, лошади то ли умерли (умёрши были) и к = погибали, наверное, и знаю, что бабушка принесла или кто - то принёс ей, она варила это мясо в печке, печи были, печи, в чугунке, чугунки были, в чугунке варила мясо, это потом с чугунка вытянула, и стол и дом тот сейчас стоит старый, поставила на стол, вытянула она такие лавки раньше были, ничего не было, одни скамейки были. Ну и она разложила меленько, она мясо такое длинное, помню это, она меленько разрезала, вот ешь потихонечку, это помню хорошо.</t>
  </si>
  <si>
    <t>А так ну мно = много помню, всё из детства, я думаю, с трёх годов,</t>
  </si>
  <si>
    <t>трёх лет я чу всё на свете помню, с трёх, если не раньше. Всё ка = как раньше же не было это самое во время войны мне было в сорок пятом году три года было &lt; нрзб &gt; четвёртый шёл, и ну я думаю, это года два мои, я думаю, мне года два было, и тогда был год ну чего - то такой голодный год был совсем, и вот я не помню только сейчас, не могу ск =, лошади то ли умерли (умёрши были) и к = погибали, наверное, и знаю, что бабушка принесла или кто - то принёс ей, она варила это мясо в печке, печи были, печи, в чугунке, чугунки были, в чугунке варила мясо, это потом с чугунка вытянула, и стол и дом тот сейчас стоит старый, поставила на стол, вытянула она такие лавки раньше были, ничего не было, одни скамейки были. Ну и она разложила меленько, она мясо такое длинное, помню это, она меленько разрезала, вот ешь потихонечку, это помню хорошо.</t>
  </si>
  <si>
    <t>А так ну мно = много помню, всё из детства, я думаю, с трёх годов, с трёх лет я чу всё на свете помню,</t>
  </si>
  <si>
    <t>трёх, если не раньше. Всё ка = как раньше же не было это самое во время войны мне было в сорок пятом году три года было &lt; нрзб &gt; четвёртый шёл, и ну я думаю, это года два мои, я думаю, мне года два было, и тогда был год ну чего - то такой голодный год был совсем, и вот я не помню только сейчас, не могу ск =, лошади то ли умерли (умёрши были) и к = погибали, наверное, и знаю, что бабушка принесла или кто - то принёс ей, она варила это мясо в печке, печи были, печи, в чугунке, чугунки были, в чугунке варила мясо, это потом с чугунка вытянула, и стол и дом тот сейчас стоит старый, поставила на стол, вытянула она такие лавки раньше были, ничего не было, одни скамейки были. Ну и она разложила меленько, она мясо такое длинное, помню это, она меленько разрезала, вот ешь потихонечку, это помню хорошо.</t>
  </si>
  <si>
    <t>Это я имею в виду, если для колхозного</t>
  </si>
  <si>
    <t>Кот? Кот у меня, был он всё время я</t>
  </si>
  <si>
    <t>котом живу, с ним (им) разговариваю и ругаю его, и я и разговариваю с ним, с кем мне разговаривать большене с кем, с котом. А были серые, чёрные, всякие разные коты. Как только приходит осень, так пропадает, то говорят, лисицы съедают, то може (може) охотничие собаки. А в прошлом году, да, в прошлом ай в позапрошлом (запрошлом), я даже забыла, или позапрошлом (запрошлом) у меня не было кота, ну и кот пропал и так тоже в августе, и нет, и я зиму без кота и как только стемнеет, так полёвки этих бегают, всё. Тут Сашка отраву принёс мне, поставил, всё равно. Я говорю, не, надо как - то кота. Сижу на к = в коридоре там, на этой самой на лавочке, и как раз в ию = в июне месяце на = забегает (забегаеть) кот какой - то, я говорю, &lt; нрзб &gt;, ой, говорю, неужели ты ко мне &lt; нрзб &gt;, а у меня крыльцо открыто, он раз мне на крыльцо а у меня (мне) молоко было, я скорее за чашкой, я ему молока налила, и так он мне остался остался и так остался, не знаю, чей он, ну так и остался.</t>
  </si>
  <si>
    <t>Кот? Кот у меня, был он всё время я с котом живу,</t>
  </si>
  <si>
    <t>ним (им) разговариваю и ругаю его, и я и разговариваю с ним, с кем мне разговаривать большене с кем, с котом. А были серые, чёрные, всякие разные коты. Как только приходит осень, так пропадает, то говорят, лисицы съедают, то може (може) охотничие собаки. А в прошлом году, да, в прошлом ай в позапрошлом (запрошлом), я даже забыла, или позапрошлом (запрошлом) у меня не было кота, ну и кот пропал и так тоже в августе, и нет, и я зиму без кота и как только стемнеет, так полёвки этих бегают, всё. Тут Сашка отраву принёс мне, поставил, всё равно. Я говорю, не, надо как - то кота. Сижу на к = в коридоре там, на этой самой на лавочке, и как раз в ию = в июне месяце на = забегает (забегаеть) кот какой - то, я говорю, &lt; нрзб &gt;, ой, говорю, неужели ты ко мне &lt; нрзб &gt;, а у меня крыльцо открыто, он раз мне на крыльцо а у меня (мне) молоко было, я скорее за чашкой, я ему молока налила, и так он мне остался остался и так остался, не знаю, чей он, ну так и остался.</t>
  </si>
  <si>
    <t>Кот? Кот у меня, был он всё время я с котом живу, с ним (им) разговариваю и ругаю его, и я и разговариваю</t>
  </si>
  <si>
    <t>ним, с кем мне разговаривать большене с кем, с котом. А были серые, чёрные, всякие разные коты. Как только приходит осень, так пропадает, то говорят, лисицы съедают, то може (може) охотничие собаки. А в прошлом году, да, в прошлом ай в позапрошлом (запрошлом), я даже забыла, или позапрошлом (запрошлом) у меня не было кота, ну и кот пропал и так тоже в августе, и нет, и я зиму без кота и как только стемнеет, так полёвки этих бегают, всё. Тут Сашка отраву принёс мне, поставил, всё равно. Я говорю, не, надо как - то кота. Сижу на к = в коридоре там, на этой самой на лавочке, и как раз в ию = в июне месяце на = забегает (забегаеть) кот какой - то, я говорю, &lt; нрзб &gt;, ой, говорю, неужели ты ко мне &lt; нрзб &gt;, а у меня крыльцо открыто, он раз мне на крыльцо а у меня (мне) молоко было, я скорее за чашкой, я ему молока налила, и так он мне остался остался и так остался, не знаю, чей он, ну так и остался.</t>
  </si>
  <si>
    <t>Кот? Кот у меня, был он всё время я с котом живу, с ним (им) разговариваю и ругаю его, и я и разговариваю с ним,</t>
  </si>
  <si>
    <t>кем мне разговаривать большене с кем, с котом. А были серые, чёрные, всякие разные коты. Как только приходит осень, так пропадает, то говорят, лисицы съедают, то може (може) охотничие собаки. А в прошлом году, да, в прошлом ай в позапрошлом (запрошлом), я даже забыла, или позапрошлом (запрошлом) у меня не было кота, ну и кот пропал и так тоже в августе, и нет, и я зиму без кота и как только стемнеет, так полёвки этих бегают, всё. Тут Сашка отраву принёс мне, поставил, всё равно. Я говорю, не, надо как - то кота. Сижу на к = в коридоре там, на этой самой на лавочке, и как раз в ию = в июне месяце на = забегает (забегаеть) кот какой - то, я говорю, &lt; нрзб &gt;, ой, говорю, неужели ты ко мне &lt; нрзб &gt;, а у меня крыльцо открыто, он раз мне на крыльцо а у меня (мне) молоко было, я скорее за чашкой, я ему молока налила, и так он мне остался остался и так остался, не знаю, чей он, ну так и остался.</t>
  </si>
  <si>
    <t>Кот? Кот у меня, был он всё время я с котом живу, с ним (им) разговариваю и ругаю его, и я и разговариваю с ним, с кем мне разговаривать большене</t>
  </si>
  <si>
    <t>кем, с котом. А были серые, чёрные, всякие разные коты. Как только приходит осень, так пропадает, то говорят, лисицы съедают, то може (може) охотничие собаки. А в прошлом году, да, в прошлом ай в позапрошлом (запрошлом), я даже забыла, или позапрошлом (запрошлом) у меня не было кота, ну и кот пропал и так тоже в августе, и нет, и я зиму без кота и как только стемнеет, так полёвки этих бегают, всё. Тут Сашка отраву принёс мне, поставил, всё равно. Я говорю, не, надо как - то кота. Сижу на к = в коридоре там, на этой самой на лавочке, и как раз в ию = в июне месяце на = забегает (забегаеть) кот какой - то, я говорю, &lt; нрзб &gt;, ой, говорю, неужели ты ко мне &lt; нрзб &gt;, а у меня крыльцо открыто, он раз мне на крыльцо а у меня (мне) молоко было, я скорее за чашкой, я ему молока налила, и так он мне остался остался и так остался, не знаю, чей он, ну так и остался.</t>
  </si>
  <si>
    <t>Кот? Кот у меня, был он всё время я с котом живу, с ним (им) разговариваю и ругаю его, и я и разговариваю с ним, с кем мне разговаривать большене с кем,</t>
  </si>
  <si>
    <t>котом. А были серые, чёрные, всякие разные коты. Как только приходит осень, так пропадает, то говорят, лисицы съедают, то може (може) охотничие собаки. А в прошлом году, да, в прошлом ай в позапрошлом (запрошлом), я даже забыла, или позапрошлом (запрошлом) у меня не было кота, ну и кот пропал и так тоже в августе, и нет, и я зиму без кота и как только стемнеет, так полёвки этих бегают, всё. Тут Сашка отраву принёс мне, поставил, всё равно. Я говорю, не, надо как - то кота. Сижу на к = в коридоре там, на этой самой на лавочке, и как раз в ию = в июне месяце на = забегает (забегаеть) кот какой - то, я говорю, &lt; нрзб &gt;, ой, говорю, неужели ты ко мне &lt; нрзб &gt;, а у меня крыльцо открыто, он раз мне на крыльцо а у меня (мне) молоко было, я скорее за чашкой, я ему молока налила, и так он мне остался остался и так остался, не знаю, чей он, ну так и остался.</t>
  </si>
  <si>
    <t>Да, так он спокойный, хороший кот, а чей - то чёрный ходит, обижает (обижаеть) его, мой слабоватый что, но за зиму наберётся, он боится жары, сильно жарко когда, боится, и он летом сильно худеет, ну за зиму поправится. Даже вот</t>
  </si>
  <si>
    <t>лапой что - то, лапа, вчера кот, дрались с котом, лапа чего - то, носит одну, потом поправится.</t>
  </si>
  <si>
    <t>Да, так он спокойный, хороший кот, а чей - то чёрный ходит, обижает (обижаеть) его, мой слабоватый что, но за зиму наберётся, он боится жары, сильно жарко когда, боится, и он летом сильно худеет, ну за зиму поправится. Даже вот с лапой что - то, лапа, вчера кот, дрались</t>
  </si>
  <si>
    <t>котом, лапа чего - то, носит одну, потом поправится.</t>
  </si>
  <si>
    <t>Я во девочкам рассказывала тем во, ну коровы могут ударить, она ударяла как бы, когда привязываешь в летнее время, она так головой может как дать &lt; нрзб &gt; как дала, а слепней в хлеве много было. Потом стали, когда техник пришёл, стали говорить, невозможно доить, слепней много, не подоить. Вот тогда креолину привезли флягу креолину, и это креолин разводили</t>
  </si>
  <si>
    <t>водой и прыскали, тогда вот ничего. Ну а так так ничего мас = всё равно остара = остерегайся. Вот быки только нас мучили, вот быки да, эти бодались.</t>
  </si>
  <si>
    <t>Ну а если держишь о = овец, она всегда к вам подойдёт, если вы будете уже</t>
  </si>
  <si>
    <t>хлебом, хочешь, корову можешь привадить к хлебу, хочешь, баранов вот этих. Только выноси хлеба сегодня каждый раз, и они тебя (тебе) будут встречать, где хочешь. Давай только еду им хорошую, как и человеку.</t>
  </si>
  <si>
    <t>Домашние собаки у нас? Были, да, бы = ой и тут (тута) была собака у меня, но она стала употреблять этих самых, цыплят, я отдала туда, там Маринка живёт</t>
  </si>
  <si>
    <t>мальчиком, её ребёнок &lt; нрзб &gt; куда - то ликвидировала её, ну и в Каськове всё время собака была. Была такая была маленькая собачка у неё в Каськове, она такие были нормальные, эта одна маленькая была, мизерная. Звали её Рекс, бывало, я назвала, да. И мы на ферму пошли, а там у доярки у другой тоже собака, та большая, и что она невзлюбила моего это Рекса, как схватила, так сразу же за = за горло, и мы тут идём. З = моментально за одну секунду сразу погиб, так жалко было всё.</t>
  </si>
  <si>
    <t>Ну и сейчас никого не держу, никого. Держала десять кошек, держала поросёнка, а потом поросёнок заболел, один год заболел поросёнко. Стала, врачей пока вызывала, тут это Васильев Виктор Петрович, &lt; нрзб &gt; у нас ветврачом, потом ай думаю, зачем я мучаюсь</t>
  </si>
  <si>
    <t>этим поросёнком, буду я не буду держать, бросила держать. А стала держать кошку, кур = кур было, наверное, пятнадцать, потом (потома) десяь, ладно десять. Повадилась лиса, пять съела, пять осталось пять, ладно пять осталось. Как - то в огороде всё &lt; нрзб &gt;, закрыла в хлев, хорь напал, хорь доел ещё пять, всё, теперь никого не держу, ничего нет. То хорь, то лиса, тут это днём бывало лисы ходят (ходють), хори, бывало всё, да тут животных много всяких разных.</t>
  </si>
  <si>
    <t>Я = яйца, да, и яйца сдавали в совхоз, ну сами са = сами эти (эты) не, я думаю, ни разу, я не помню, чтобы мы сдавали мясо. А вот когда куры были, сдавали, кур было много, и каждый день возили в в ящиках (ящикам) больших (большим) по шестьсот штук в ящике были. Быва = бывало, это яйца, наверное, летом, летом, наверное, по шесть ящиков и даже в день были, ну много было кур и много яи = яиц было, и были большие расклёвы, а = курица курицу может расклевать, потому что не хватает, мяса давали, мяса, если какая - то, там &lt; нрзб &gt; что - то, то резали, там привозили к нам, и мы варили в котлах, в котлах вместе</t>
  </si>
  <si>
    <t>картошкой с &lt; нрзб &gt; и давали, тогда вроде поменьше клю =, ну если расклёв был, то нас мы заста нас заставляли сразу её резать, ну в кипяток сажали, вычищали, и только голову себе оставляли, ноги потро = потроха, это себе оставляли, а если, а это сдавали. Вот это самое &lt; нрзб &gt; каждый день суп готовили из потрохов, вкусно были, боже мой, хорошо, сейчас в магазине возьму курицу, я даже есть её не могу, она чем - то пахнет, не понимаю я, обвариваю, обвариваю кипятком, и как - то не з = не понимаю, что такое раньше, то ли корм может (може) не такой, что, не знаю.</t>
  </si>
  <si>
    <t>Я = яйца, да, и яйца сдавали в совхоз, ну сами са = сами эти (эты) не, я думаю, ни разу, я не помню, чтобы мы сдавали мясо. А вот когда куры были, сдавали, кур было много, и каждый день возили в в ящиках (ящикам) больших (большим) по шестьсот штук в ящике были. Быва = бывало, это яйца, наверное, летом, летом, наверное, по шесть ящиков и даже в день были, ну много было кур и много яи = яиц было, и были большие расклёвы, а = курица курицу может расклевать, потому что не хватает, мяса давали, мяса, если какая - то, там &lt; нрзб &gt; что - то, то резали, там привозили к нам, и мы варили в котлах, в котлах вместе с картошкой</t>
  </si>
  <si>
    <t>&lt; нрзб &gt; и давали, тогда вроде поменьше клю =, ну если расклёв был, то нас мы заста нас заставляли сразу её резать, ну в кипяток сажали, вычищали, и только голову себе оставляли, ноги потро = потроха, это себе оставляли, а если, а это сдавали. Вот это самое &lt; нрзб &gt; каждый день суп готовили из потрохов, вкусно были, боже мой, хорошо, сейчас в магазине возьму курицу, я даже есть её не могу, она чем - то пахнет, не понимаю я, обвариваю, обвариваю кипятком, и как - то не з = не понимаю, что такое раньше, то ли корм может (може) не такой, что, не знаю.</t>
  </si>
  <si>
    <t>Да, вот бывало щавель этот вырастет, если я, уже (ужо) он в мае, ещё он вот такой, а уже мать заставляет идти, мы</t>
  </si>
  <si>
    <t>сестрой, идите собирайте кислицу, щавель это кислицу в деревне назывались, надо щи варить, потому что варить нечего, картошки не было, &lt; нрзб &gt; неурожай был, год неурожайный был, не было картошки, мы семена достали в Антонове, там пески, два мешка. Нам сказали не трогать картошку, а мы маленькие были ещё, небольшие, они пойдут на работу, а у нас чугунка была, и мы, кружка железная была литровая, мы возьмём с Голькой откроем мешок, всё равно сколько - то хочется картофелин (картошин), возьмём сварим и выловим съедим. Ну всяко было и сейча = это сейчас мы не знаем, что сейчас надо, и не знаем, что нам поесть (поисть), это было в пятидесятые годы, да, тоже, держали какого - то мы поросёнка, ну поросёнок был, ну тогда не было нечем, ну что картошка своя была, может (може) килограмм пятьдесят и был там и сала там может (може) было &lt; нрзб &gt;, и мать пожарила, а раньше чугуночек такой литровый был, она пожарила с луком и в этот чугуночек этот это всё уложила туда, столкла, ну а нам же хочется, мы да, сальца - то хочется, мы так голову кверху, а нам не достать, ну хотя стол небо = ну сами небольшие были. Так, а мать сказала, сядьте как следует и сидите и ешь всё подряд, папка работает (работаеть) надо, так что особо нас &lt; нрзб &gt; не только что, сейчас мы не знаем что сейчас зайдём в магазин, ой не знаю, что это надо же завтра надо что варить, а что варить не знаю, я не хочу супу, не хочу щей, не хочу каши, я не хочу картошки тоже, что мне надо, колбаски надо взять, надо может (може) котлеты (коклеты) испечь надо. И пошло пошло искать, раньше не искали ничего, сварено что, всё ес = всё ели подряд, ну. И даже вот летом бывало, вот вот сейчас огурцы поспели (поспелши), да, когда поспеют огурцы, бывало, на щавеле это ботвинья всё лето ботвинья эта, а так её ботвинью, уже кислицы в деревне не стало, уже нету, картошки, если картошка (картошина) своя сварится, если рады, боже мой, все. &lt; нрзб &gt;, ой сегодня картошки свежие вот &lt; нрзб &gt; накопали, уже шесть огурцов сняли, ну и пошёл разговор на всю неделю, кто сколько съел, кто сколько посолил, сколько чего, ну вот. Сейчас сейчас, по - моему, никто ничего не разговаривает, уже бросили говорить, по - моему, сейчас разговора нет никакого, молодых сами себе, всё закрыто, все всё закрыто, всё разговора никакого. Каждый сам про себе.</t>
  </si>
  <si>
    <t>Да, вот бывало щавель этот вырастет, если я, уже (ужо) он в мае, ещё он вот такой, а уже мать заставляет идти, мы с сестрой, идите собирайте кислицу, щавель это кислицу в деревне назывались, надо щи варить, потому что варить нечего, картошки не было, &lt; нрзб &gt; неурожай был, год неурожайный был, не было картошки, мы семена достали в Антонове, там пески, два мешка. Нам сказали не трогать картошку, а мы маленькие были ещё, небольшие, они пойдут на работу, а у нас чугунка была, и мы, кружка железная была литровая, мы возьмём</t>
  </si>
  <si>
    <t>Голькой откроем мешок, всё равно сколько - то хочется картофелин (картошин), возьмём сварим и выловим съедим. Ну всяко было и сейча = это сейчас мы не знаем, что сейчас надо, и не знаем, что нам поесть (поисть), это было в пятидесятые годы, да, тоже, держали какого - то мы поросёнка, ну поросёнок был, ну тогда не было нечем, ну что картошка своя была, может (може) килограмм пятьдесят и был там и сала там может (може) было &lt; нрзб &gt;, и мать пожарила, а раньше чугуночек такой литровый был, она пожарила с луком и в этот чугуночек этот это всё уложила туда, столкла, ну а нам же хочется, мы да, сальца - то хочется, мы так голову кверху, а нам не достать, ну хотя стол небо = ну сами небольшие были. Так, а мать сказала, сядьте как следует и сидите и ешь всё подряд, папка работает (работаеть) надо, так что особо нас &lt; нрзб &gt; не только что, сейчас мы не знаем что сейчас зайдём в магазин, ой не знаю, что это надо же завтра надо что варить, а что варить не знаю, я не хочу супу, не хочу щей, не хочу каши, я не хочу картошки тоже, что мне надо, колбаски надо взять, надо может (може) котлеты (коклеты) испечь надо. И пошло пошло искать, раньше не искали ничего, сварено что, всё ес = всё ели подряд, ну. И даже вот летом бывало, вот вот сейчас огурцы поспели (поспелши), да, когда поспеют огурцы, бывало, на щавеле это ботвинья всё лето ботвинья эта, а так её ботвинью, уже кислицы в деревне не стало, уже нету, картошки, если картошка (картошина) своя сварится, если рады, боже мой, все. &lt; нрзб &gt;, ой сегодня картошки свежие вот &lt; нрзб &gt; накопали, уже шесть огурцов сняли, ну и пошёл разговор на всю неделю, кто сколько съел, кто сколько посолил, сколько чего, ну вот. Сейчас сейчас, по - моему, никто ничего не разговаривает, уже бросили говорить, по - моему, сейчас разговора нет никакого, молодых сами себе, всё закрыто, все всё закрыто, всё разговора никакого. Каждый сам про себе.</t>
  </si>
  <si>
    <t>Да, вот бывало щавель этот вырастет, если я, уже (ужо) он в мае, ещё он вот такой, а уже мать заставляет идти, мы с сестрой, идите собирайте кислицу, щавель это кислицу в деревне назывались, надо щи варить, потому что варить нечего, картошки не было, &lt; нрзб &gt; неурожай был, год неурожайный был, не было картошки, мы семена достали в Антонове, там пески, два мешка. Нам сказали не трогать картошку, а мы маленькие были ещё, небольшие, они пойдут на работу, а у нас чугунка была, и мы, кружка железная была литровая, мы возьмём с Голькой откроем мешок, всё равно сколько - то хочется картофелин (картошин), возьмём сварим и выловим съедим. Ну всяко было и сейча = это сейчас мы не знаем, что сейчас надо, и не знаем, что нам поесть (поисть), это было в пятидесятые годы, да, тоже, держали какого - то мы поросёнка, ну поросёнок был, ну тогда не было нечем, ну что картошка своя была, может (може) килограмм пятьдесят и был там и сала там может (може) было &lt; нрзб &gt;, и мать пожарила, а раньше чугуночек такой литровый был, она пожарила</t>
  </si>
  <si>
    <t>луком и в этот чугуночек этот это всё уложила туда, столкла, ну а нам же хочется, мы да, сальца - то хочется, мы так голову кверху, а нам не достать, ну хотя стол небо = ну сами небольшие были. Так, а мать сказала, сядьте как следует и сидите и ешь всё подряд, папка работает (работаеть) надо, так что особо нас &lt; нрзб &gt; не только что, сейчас мы не знаем что сейчас зайдём в магазин, ой не знаю, что это надо же завтра надо что варить, а что варить не знаю, я не хочу супу, не хочу щей, не хочу каши, я не хочу картошки тоже, что мне надо, колбаски надо взять, надо может (може) котлеты (коклеты) испечь надо. И пошло пошло искать, раньше не искали ничего, сварено что, всё ес = всё ели подряд, ну. И даже вот летом бывало, вот вот сейчас огурцы поспели (поспелши), да, когда поспеют огурцы, бывало, на щавеле это ботвинья всё лето ботвинья эта, а так её ботвинью, уже кислицы в деревне не стало, уже нету, картошки, если картошка (картошина) своя сварится, если рады, боже мой, все. &lt; нрзб &gt;, ой сегодня картошки свежие вот &lt; нрзб &gt; накопали, уже шесть огурцов сняли, ну и пошёл разговор на всю неделю, кто сколько съел, кто сколько посолил, сколько чего, ну вот. Сейчас сейчас, по - моему, никто ничего не разговаривает, уже бросили говорить, по - моему, сейчас разговора нет никакого, молодых сами себе, всё закрыто, все всё закрыто, всё разговора никакого. Каждый сам про себе.</t>
  </si>
  <si>
    <t>Сейчас сажаем семена, покупаем, да, ну и иногда нынче, когда сем = семенники, я оставляю огурцы свои, а там два огурца и некоторые, возможно и сейчас, но большую часть, по - моему, сейчас я покупаю огурцы, и сажают огурцы свои, ну и эти кабачки сажают, помидор = помидоры, я не знаю, по - моему, помидоры сажают (сажають), но я не сажаю, мы в деревне там этого не сажали, мы</t>
  </si>
  <si>
    <t>Но = у нас у на = у нас нормально относились, а так как, е = если вы живёте в деревне, если знаете скот, у меня (мне) сосед был, рядом жил, я</t>
  </si>
  <si>
    <t>ним один раз его &lt; нрзб &gt;, и потом &lt; нрзб &gt; прости, значит, я, у него не огорожен огород, мы рядом живём через дорогу, огород не огорожен, там насажено у него всё и ягоды, и ну и, и свёкла, и к = и картошка там, ну всё ну всё всё у него (его) посажено. Ну а он ложится, наверное, в два часа и встаёт может (може) в десять, ну а мне надо баранов своих, там два барана было, выпустить, и как они зашли туда к нему (ему) на огород. Зина, твои бараны зашли, ладно молчу. Потом второй раз опять они зашли, ну там посмотрела, там &lt; нрзб &gt;, по - моему, только &lt; нрзб &gt;. Зина, твои бараны. Я говорю, знаешь, Николаевич, значит, надо тебе огораживаться, а если не огораживаться, значит надо было жить в Дрогалове. А Дрогалово там у нас деревня, ни одного человека нет.</t>
  </si>
  <si>
    <t>Да, это в Западную туда как раз ходили. Ну он сажал, у него много было всего насажено, огород большой был, бывало. Ой он жил</t>
  </si>
  <si>
    <t>внуком, не знаю, Вовка &lt; нрзб &gt;, надо спросить у Романа, Роман знает. Так что это, а так нормально относились, самое главное, что, если если хозяева (хозяины) есть и они (оны) держат (держут) скот какой - то, то надо огораживаться свой участок, а это помните всегда, то его надо огродить. Если, тогда, конечно, неприятность будет &lt; нрзб &gt;, а так они все нормально, всё.</t>
  </si>
  <si>
    <t>Мошенники мне каждую неделю звонят (звонют), один раз звонят (звонют) в прошлом году, по - моему, звонили, я же ещё не знакома</t>
  </si>
  <si>
    <t>этим (этым) делом была, и не знала, что говорить, значит (значить), первый раз говорят, так вам в = с = в каком городе живёте, я слушаю всё, скажите, в каком городе живёте, назовите улицу свою и назовите свою квартиру, номер квартиры, я всё слушаю, тогда я говорю, детка, я живу в деревне и крыша у меня (мне) завалилась (завалилши), крыша на боку, у меня (мне) нет ничего, год не звонили, ничего &lt; нрзб &gt;, наверное, побоялись, что я просить буду. Тогда тут недавно, не так давно, я этому говорила, мальцу вашему, звонит, вам причитается миллион, она там по - своему сказала, я слушаю, вам миллион надо получить денег, вы нажмите на номер один, ещё что - то, я говорю, большое вам спасибо и закрыла.</t>
  </si>
  <si>
    <t>Мошенники мне каждую неделю звонят (звонют), один раз звонят (звонют) в прошлом году, по - моему, звонили, я же ещё не знакома с этим (этым) делом была, и не знала, что говорить, значит (значить), первый раз говорят, так вам в =</t>
  </si>
  <si>
    <t>Тогда ладно &lt; нрзб &gt; этим ещё, сейчас он не звонит, наверное, неделю. Тогда звонит опять, я, ну я беру всегда трубку, мало думаю &lt; нрзб &gt; такое надо, ну пока у меня (мне) мозги (мозга) работают (раюотають), я беру &lt; нрзб &gt;, значит, у вас большие долги, у вас, мы вам закроем все долги, опять слушаю, вам опять надо нажать на такую - то кнопку, вам большое спасибо, что закрываете, опять &lt; нрзб &gt;, я не связываюсь</t>
  </si>
  <si>
    <t>таким. Если уже как сказали, это нажми на какую - то кнопку, это уже, я уже таким я их уже понимаю, у меня (мне) же пока мозги (мозга) работа =, я не понимаю как же почему. Мне миллион не надо, долгов у меня (мне) с с отроду я никогда, я жила по доходу вела свой расход и никогда не занимала, один раз заняла в шестьдесят в семидесятом году надо было, ну тогда заработки были маленькие, сорок шестьдесят рублей, ну как бы мы с хозяином, собираешь всегда деньги, и не хватило, мне надо было двести сорок рублей, мне не хватило сто двадцать, сто двадцать было, и я заняла, я заняла там у старухи у одной бабки, а потом, когда стала получать, я почти все деньги отдала, а за эту сто двадцать рублей, там заработки небольшие, я сказала, за этим всё хватит (хватить), крест. Я никогда не занимала, ни у кого, я никому не должна, сказала, всё. У меня (мне) долгов никаких нету, и н = не должно быть. Ну а и = им что делать, им надо что - то говорить же.</t>
  </si>
  <si>
    <t>Тогда ладно &lt; нрзб &gt; этим ещё, сейчас он не звонит, наверное, неделю. Тогда звонит опять, я, ну я беру всегда трубку, мало думаю &lt; нрзб &gt; такое надо, ну пока у меня (мне) мозги (мозга) работают (раюотають), я беру &lt; нрзб &gt;, значит, у вас большие долги, у вас, мы вам закроем все долги, опять слушаю, вам опять надо нажать на такую - то кнопку, вам большое спасибо, что закрываете, опять &lt; нрзб &gt;, я не связываюсь с таким. Если уже как сказали, это нажми на какую - то кнопку, это уже, я уже таким я их уже понимаю, у меня (мне) же пока мозги (мозга) работа =, я не понимаю как же почему. Мне миллион не надо, долгов у меня (мне)</t>
  </si>
  <si>
    <t>с отроду я никогда, я жила по доходу вела свой расход и никогда не занимала, один раз заняла в шестьдесят в семидесятом году надо было, ну тогда заработки были маленькие, сорок шестьдесят рублей, ну как бы мы с хозяином, собираешь всегда деньги, и не хватило, мне надо было двести сорок рублей, мне не хватило сто двадцать, сто двадцать было, и я заняла, я заняла там у старухи у одной бабки, а потом, когда стала получать, я почти все деньги отдала, а за эту сто двадцать рублей, там заработки небольшие, я сказала, за этим всё хватит (хватить), крест. Я никогда не занимала, ни у кого, я никому не должна, сказала, всё. У меня (мне) долгов никаких нету, и н = не должно быть. Ну а и = им что делать, им надо что - то говорить же.</t>
  </si>
  <si>
    <t>Тогда ладно &lt; нрзб &gt; этим ещё, сейчас он не звонит, наверное, неделю. Тогда звонит опять, я, ну я беру всегда трубку, мало думаю &lt; нрзб &gt; такое надо, ну пока у меня (мне) мозги (мозга) работают (раюотають), я беру &lt; нрзб &gt;, значит, у вас большие долги, у вас, мы вам закроем все долги, опять слушаю, вам опять надо нажать на такую - то кнопку, вам большое спасибо, что закрываете, опять &lt; нрзб &gt;, я не связываюсь с таким. Если уже как сказали, это нажми на какую - то кнопку, это уже, я уже таким я их уже понимаю, у меня (мне) же пока мозги (мозга) работа =, я не понимаю как же почему. Мне миллион не надо, долгов у меня (мне) с</t>
  </si>
  <si>
    <t>отроду я никогда, я жила по доходу вела свой расход и никогда не занимала, один раз заняла в шестьдесят в семидесятом году надо было, ну тогда заработки были маленькие, сорок шестьдесят рублей, ну как бы мы с хозяином, собираешь всегда деньги, и не хватило, мне надо было двести сорок рублей, мне не хватило сто двадцать, сто двадцать было, и я заняла, я заняла там у старухи у одной бабки, а потом, когда стала получать, я почти все деньги отдала, а за эту сто двадцать рублей, там заработки небольшие, я сказала, за этим всё хватит (хватить), крест. Я никогда не занимала, ни у кого, я никому не должна, сказала, всё. У меня (мне) долгов никаких нету, и н = не должно быть. Ну а и = им что делать, им надо что - то говорить же.</t>
  </si>
  <si>
    <t>Тогда ладно &lt; нрзб &gt; этим ещё, сейчас он не звонит, наверное, неделю. Тогда звонит опять, я, ну я беру всегда трубку, мало думаю &lt; нрзб &gt; такое надо, ну пока у меня (мне) мозги (мозга) работают (раюотають), я беру &lt; нрзб &gt;, значит, у вас большие долги, у вас, мы вам закроем все долги, опять слушаю, вам опять надо нажать на такую - то кнопку, вам большое спасибо, что закрываете, опять &lt; нрзб &gt;, я не связываюсь с таким. Если уже как сказали, это нажми на какую - то кнопку, это уже, я уже таким я их уже понимаю, у меня (мне) же пока мозги (мозга) работа =, я не понимаю как же почему. Мне миллион не надо, долгов у меня (мне) с с отроду я никогда, я жила по доходу вела свой расход и никогда не занимала, один раз заняла в шестьдесят в семидесятом году надо было, ну тогда заработки были маленькие, сорок шестьдесят рублей, ну как бы мы</t>
  </si>
  <si>
    <t>хозяином, собираешь всегда деньги, и не хватило, мне надо было двести сорок рублей, мне не хватило сто двадцать, сто двадцать было, и я заняла, я заняла там у старухи у одной бабки, а потом, когда стала получать, я почти все деньги отдала, а за эту сто двадцать рублей, там заработки небольшие, я сказала, за этим всё хватит (хватить), крест. Я никогда не занимала, ни у кого, я никому не должна, сказала, всё. У меня (мне) долгов никаких нету, и н = не должно быть. Ну а и = им что делать, им надо что - то говорить же.</t>
  </si>
  <si>
    <t>Не не слышно, ничего не знаю, детка, не могу сказать, ничего, раньше цыгане ходили, ну цыгане они так как бы не обманывали, ну они просто носили товар, ну просили, чтобы погадать, ну если инет = интересно тебе, значит, ты гадай, а если не интересно, и не связывайся, так, не. Это всё в своих руках, это такое дело, а если работает (работаеть) голова, значит (значить), я на связывалась не</t>
  </si>
  <si>
    <t>цыганами (цыганям) ни с кем.</t>
  </si>
  <si>
    <t>Не не слышно, ничего не знаю, детка, не могу сказать, ничего, раньше цыгане ходили, ну цыгане они так как бы не обманывали, ну они просто носили товар, ну просили, чтобы погадать, ну если инет = интересно тебе, значит, ты гадай, а если не интересно, и не связывайся, так, не. Это всё в своих руках, это такое дело, а если работает (работаеть) голова, значит (значить), я на связывалась не с цыганами (цыганям) ни</t>
  </si>
  <si>
    <t>кем.</t>
  </si>
  <si>
    <t>Ну ходили цыгане раньше в пятидесятых годах вроде ходили, да, и цыгане</t>
  </si>
  <si>
    <t>ребятами (ребятам) ходили, помню, ну тогда работали в колхозах за палки, приходит, помню, цыганка красивая такая, все цыгане красивые, и двое ребят маленьких, она сразу их вперёд, сама идёт задом, зубы все, ну как бы мы не понимаем, как по - на = как по - нашему всё золотые, как раз отец был дома, и она сказала, вы дайте, что у вас есть что - нибудь или ну хлеба или там картошки, что, мол цыганята, а папа сказал, вот я всё войну прошёл, он две войны прошёл, Финскую и Отечественную, у меня золотых зубов нету, а у вас золотые зубы, а чего же ты золотые зубы вставляешь, а ребят не кормишь, ну всё равно давали, всё равно давали, хоть что было, то давали. Ну картошки там, хлеба кусок, ну у кого что есть. Ну просили сала, бывало, с = скажет, дайте сала к чаю, а отец, бывало, скажет (скажеть), какое сало, если я её сам не ем, у меня (мне) нет. Тогда плохо жили &lt; нрзб &gt; в пятидесятых годах слабо совсем, плохо жили, это вот в пятьдесят восьмом году, как в совхоз его взяли, тогда да, ну а так. А так уже начинали вроде по чуть - чуть как бы с пятьдесят пятого года по чуть - чуть началось как бы чуть - чуть по = получше, но это чуть - чуть, наверное, незаметно, ну а когда уже взяли нас сюда, конечно, мы стали за деньги, пусть они и не большие деньги, ну они живые деньги, по тридцать рублей получали, ну всё равно &lt; нрзб &gt; за эти деньги можно было хлеба купить и песка и, я думаю, что - то, ну к своему (своёму), что есть в хозяйстве, прибавка.</t>
  </si>
  <si>
    <t>Ну ходили цыгане раньше в пятидесятых годах вроде ходили, да, и цыгане с ребятами (ребятам) ходили, помню, ну тогда работали в колхозах за палки, приходит, помню, цыганка красивая такая, все цыгане красивые, и двое ребят маленьких, она сразу их вперёд, сама идёт задом, зубы все, ну как бы мы не понимаем, как по - на = как по - нашему всё золотые, как раз отец был дома, и она сказала, вы дайте, что у вас есть что - нибудь или ну хлеба или там картошки, что, мол цыганята, а папа сказал, вот я всё войну прошёл, он две войны прошёл, Финскую и Отечественную, у меня золотых зубов нету, а у вас золотые зубы, а чего же ты золотые зубы вставляешь, а ребят не кормишь, ну всё равно давали, всё равно давали, хоть что было, то давали. Ну картошки там, хлеба кусок, ну у кого что есть. Ну просили сала, бывало,</t>
  </si>
  <si>
    <t>Ну ходили цыгане раньше в пятидесятых годах вроде ходили, да, и цыгане с ребятами (ребятам) ходили, помню, ну тогда работали в колхозах за палки, приходит, помню, цыганка красивая такая, все цыгане красивые, и двое ребят маленьких, она сразу их вперёд, сама идёт задом, зубы все, ну как бы мы не понимаем, как по - на = как по - нашему всё золотые, как раз отец был дома, и она сказала, вы дайте, что у вас есть что - нибудь или ну хлеба или там картошки, что, мол цыганята, а папа сказал, вот я всё войну прошёл, он две войны прошёл, Финскую и Отечественную, у меня золотых зубов нету, а у вас золотые зубы, а чего же ты золотые зубы вставляешь, а ребят не кормишь, ну всё равно давали, всё равно давали, хоть что было, то давали. Ну картошки там, хлеба кусок, ну у кого что есть. Ну просили сала, бывало, с = скажет, дайте сала к чаю, а отец, бывало, скажет (скажеть), какое сало, если я её сам не ем, у меня (мне) нет. Тогда плохо жили &lt; нрзб &gt; в пятидесятых годах слабо совсем, плохо жили, это вот в пятьдесят восьмом году, как в совхоз его взяли, тогда да, ну а так. А так уже начинали вроде по чуть - чуть как бы</t>
  </si>
  <si>
    <t>пятьдесят пятого года по чуть - чуть началось как бы чуть - чуть по = получше, но это чуть - чуть, наверное, незаметно, ну а когда уже взяли нас сюда, конечно, мы стали за деньги, пусть они и не большие деньги, ну они живые деньги, по тридцать рублей получали, ну всё равно &lt; нрзб &gt; за эти деньги можно было хлеба купить и песка и, я думаю, что - то, ну к своему (своёму), что есть в хозяйстве, прибавка.</t>
  </si>
  <si>
    <t>Тепло, а я только</t>
  </si>
  <si>
    <t>Да, а это мой дедок рядышком, ну... Это моя мамочка, вот</t>
  </si>
  <si>
    <t>воротничок. Это папочка, который в Финскую войну погиб, я его больше не видела. Это братик. Ну а там сборные дети. А тут внучки. Они говорят: " Это всё некрасиво. Надо снимать. ". Я говорю: " Пока я жива, не снимайте. Уйду я - что хотите делайте. " " Альбомы на то есть. ". " Я альбомы ваши не смотрю каждый раз ". А я сяду и посмотрю. Ну а это внучки. Вот тут жучки, внучки. Все = все......</t>
  </si>
  <si>
    <t>Вот две внучки. Это сам, который разговаривал. Это второй сын</t>
  </si>
  <si>
    <t>женой, так вот так. Это сделано мне, чтобы доступно было брать. А это поздравление. На = надо убрать. Что оно висит мне?! Ну, с праздником поздравляют, с = с маем, ну пожилых людей. Приходят ученики, да вот такие дела. Ой Госоподи! Не знаю, хорошо или плохо, так и живём, прожили. Ну садитесь, где место найдёте.</t>
  </si>
  <si>
    <t>Вот две внучки. Это сам, который разговаривал. Это второй сын с женой, так вот так. Это сделано мне, чтобы доступно было брать. А это поздравление. На = надо убрать. Что оно висит мне?! Ну,</t>
  </si>
  <si>
    <t>праздником поздравляют, с = с маем, ну пожилых людей. Приходят ученики, да вот такие дела. Ой Госоподи! Не знаю, хорошо или плохо, так и живём, прожили. Ну садитесь, где место найдёте.</t>
  </si>
  <si>
    <t>Вот две внучки. Это сам, который разговаривал. Это второй сын с женой, так вот так. Это сделано мне, чтобы доступно было брать. А это поздравление. На = надо убрать. Что оно висит мне?! Ну, с праздником поздравляют,</t>
  </si>
  <si>
    <t>Вот две внучки. Это сам, который разговаривал. Это второй сын с женой, так вот так. Это сделано мне, чтобы доступно было брать. А это поздравление. На = надо убрать. Что оно висит мне?! Ну, с праздником поздравляют, с =</t>
  </si>
  <si>
    <t>маем, ну пожилых людей. Приходят ученики, да вот такие дела. Ой Госоподи! Не знаю, хорошо или плохо, так и живём, прожили. Ну садитесь, где место найдёте.</t>
  </si>
  <si>
    <t>Ну, наверное... Наверное,</t>
  </si>
  <si>
    <t>шестьдесят восьмого года. Мы... Да... Или шестьдесят седьмого она.</t>
  </si>
  <si>
    <t>Да, хо = агитируют ходят это... Приходят, и вы = ходим голосовать сюда на медпункт</t>
  </si>
  <si>
    <t>другой стороны вот. Не, приезжают и при = приносят эти билютени такие, что, за кого голосовать. Приходят - приходят, чего. Ой...</t>
  </si>
  <si>
    <t>А я и не знаю сама как = И не знаю, в какой он части был. Ну служил, служил два года в армии вот. Не, не знаю, в каких войсках был ту. Я не понимаю этого. Я не знаю, в каких войсках мои дети</t>
  </si>
  <si>
    <t>Работала, и всё. А ему было много и благодарностей, и две медали дали ему за труд, за = за труд. Так что, это есть (есь) у него, и лежат ещё, храню. Ребятам показываю и вот внучкам показывала, вот, что у вас дедушка трудился, вот. Хорошо работал, в почёте. Муравьёв может рассказать про него (его) больше даже, если хотите знать. Он у него...</t>
  </si>
  <si>
    <t>ним вместе работал, и он руководил, так что Муравьёв знает. А вы = попали вы к нему вчера?</t>
  </si>
  <si>
    <t>Да, Фо = в этом Фофаново ходила в школу. В школу я ходила в Фофаново. А теперь после, как я уехала, даже хочется сходить туда, посмотреть, что там творится. Говорят, всё москвичи построились, застроились теперь. Не была ни разу. Прое = Когда бываешь, церковь проедешь мимо на автобусе. Автобус же ходил из Западной до Пятиусова. Проедешь, и всё. Так что в тех краях я даже и не была что - то. Конечно, говорят, там школы уже нет</t>
  </si>
  <si>
    <t>... Это в каком году, Господи?! Уже столько лет прошло. Там и постройки большие, говорят, у москвичей (w москвичах) построены. Везде москвичи застроились, что они (оны)? А теперь дома не хотят покупать. Что там они покупают? Ну теперь хотят покупать со всеми удобствами, чтоб было всё, удобства... Не хотят же теперь молодые так, чтобы... И вода, чтобы проно = выте = пропротекала и вытекала, а у нас этого нет. Вот.</t>
  </si>
  <si>
    <t>Семь. Раньше и было семь. Спасибо, хоть что семь по = отходила. Семь. Семь. В Фофаново училась я. Ну а</t>
  </si>
  <si>
    <t>самоповтор</t>
  </si>
  <si>
    <t>Семь. Раньше и было семь. Спасибо, хоть что семь по = отходила. Семь. Семь. В Фофаново училась я. Ну а с = с Ануфриево или</t>
  </si>
  <si>
    <t>Семь. Раньше и было семь. Спасибо, хоть что семь по = отходила. Семь. Семь. В Фофаново училась я. Ну а с = с Ануфриево или с = с Ануфриево Фофаново, там одинаковое там расстояние, ходила на работу. Я к восьми часам... Вот видишь, у меня было... Я сюда приехала в двадцать лет, а там было восемнадцать - девятнадцать. В таком возрасте пять - шесть километров ходила пешком на работу. Ну и</t>
  </si>
  <si>
    <t>работы приходишь, а потом ходили в понедельник, среду и пятницу ходили на курсы медицинских сестёр. Учились после пяти, к семи часам. В два часа приходили домой, а к восьми опять на работу. Так что придёшь... Всякое было. Хорошего не было, ну и что? Сейчас, говорят, тяжело, ну и раньше было тоже не легко. Ну с = самое страшное, девочки милые, чтобы не было войны. Жить можно, картошину постную можно есть (есь), траву есть (есь), чтобы тихо было. Не... Чтобы не было войны. Всё. Я немцев видела, знаю.</t>
  </si>
  <si>
    <t>Семь. Раньше и было семь. Спасибо, хоть что семь по = отходила. Семь. Семь. В Фофаново училась я. Ну а с = с Ануфриево или с = с Ануфриево Фофаново, там одинаковое там расстояние, ходила на работу. Я к восьми часам... Вот видишь, у меня было... Я сюда приехала в двадцать лет, а там было восемнадцать - девятнадцать. В таком возрасте пять - шесть километров ходила пешком на работу. Ну и с работы приходишь, а потом ходили в понедельник, среду и пятницу ходили на курсы медицинских сестёр. Учились после пяти, к семи часам. В два часа приходили домой, а к восьми опять на работу. Так что придёшь... Всякое было. Хорошего не было, ну и что? Сейчас, говорят, тяжело, ну и раньше было тоже не легко. Ну</t>
  </si>
  <si>
    <t>А они были кру = В деревне пос = поселивши, потом такие дворы у нас там были поселивши, были. И наши русские всё стреляли в озеро, там озеро. Бомбы к нам не летели в деревню. Всё озеро... Но появились, да собра = собрали всех - всех, это как помню, честное слово. Собрали всех - всех - больших и маленьких, и де = и детей. Такой двор, здесь держали скот, а там поляна такая была, а сейчас теперь там дома построены. Сказали: " Если кто придёт незнакомый русский, сообщите нам ". Вот. Чтобы их поймать там, то сё. Это так не говорили слова " Чтоб поймать ", но, чтоб сообщили. Ну и что ж? Были. Появились у нас после этого партизаны. Партизаны осенью ползли по картошнику. Ну вот так на горочке у нас дом жил, был бабушкин. мы</t>
  </si>
  <si>
    <t>бабушкой жили вместе. Они по картошнику и во вдворы зашли и смотрели, где расположены немцы. И после этих партизан полетели бомбы на нашу деревню. Значит, летели в озеро, а потом бомбы. Значит, они &lt; нрзб &gt;. Вот этим партизанам нас отправляли носить хлебушко, какой ел, картошку, что сварят. Кусты, там такие кусты, мох, если б было б, я вам всё показала теперь всё. И носили мы туда еду немножко партизанам. Вот. Ну всё же, выгнали, выгнали немцев. Вот. Выгнали. Как бы не было, победили. Как жалко молодёжи, сколько она погибает. Всё.</t>
  </si>
  <si>
    <t>Да, и в дома, и у = у нас лошадь убили. А у нас какие - то окопы были. Вот я не поня = вот это я не могу сказать. И в окопах была у нас чугунка. Мы как - то трубы &lt; нрзб &gt; готовились к этому. Трубы были выведены, и мы жили в этой, в этом окопе. А в окопе была солома, на соломе на этой мы и спали, спали на этой соломе. Вот ну, чем хорошо было, что у нас была корова. Но корову - то немцы отобрали, хотели резать её. А потом откуда - то немецкий. как он по - русски говорил, а, может (може) это и наш, приказал вернуть корову. Может (може), и наши были также у немцев (в немцах) - и хорошие и плохие, может быть. Они, может быть, всё высматривали. Как говорят, шпионы бывают же русские немцы. Корову нам эту вернули. Ну как корову вернули, немцы ушли, конечно, на = жизнь у нас получшела. Мы вы = и выжили ради молока. Вот это примерно мои родители держали корову. А я потом после войны тут стали, есть - то &lt; нрзб &gt; нечего, молоко. Моя мама работала на скотном дворе. Там овечкам давали мякину овсяную. Вы. может (може), предлагаете это овсяное. Она перемелена. Вот она по = принесёт в кармане пястку, если б пой = если б поймали б, то осудили бы. Осудили б за это. Раньше судили. И потом, а я щавеля нарву, потом это</t>
  </si>
  <si>
    <t>щавелем перемесят (перемесют) и пекли лепёшки. А = и = бросим молока нальют. Мы молоко, а они только кверху. Это строточки проверяются. А мы хлыщем - хлыщем, хлыщем - хлыщем. В общем, выжили. Выжили, конечно. Ну а некоторые погибли так же, как и сейчас, вот.</t>
  </si>
  <si>
    <t>Не, они у нас не брали коней. Нет - нет, у нас их не было... коней. У нас были ск = коровы, овечки</t>
  </si>
  <si>
    <t>Нас... Нас выгнали с деревни</t>
  </si>
  <si>
    <t>этой, чтобы нем = первые это... Чтобы немцам этим жить.</t>
  </si>
  <si>
    <t>Мы поехали, а одна женщина очень спорила</t>
  </si>
  <si>
    <t>ними ну что - то. А я помню, у меня кукла была. Ну кукла тряпочная сделана. Раньше куклы тряпочные - заворачивали вот так, вот так, связывали и тут глазки сделаем, ротик, носик и играли. Это щас куклы. Такие куклы были. Я свою куклу... Так с куклой и ехала. А эта женщина очень с = что - то с = ссорилась с немцем, я не могу сказать, а он её даже плёткой ударил. Ударил на глазах, это было. Ну а так я больше не помню ничего, уехали и опять заехали, их прогнали, а мы в свою деревню приехали. Так и жили. И родители жили, пока вот так, пока не () умерли. Ну а я сюда попала в этот, в Пятиусово.</t>
  </si>
  <si>
    <t>Мы поехали, а одна женщина очень спорила с ними ну что - то. А я помню, у меня кукла была. Ну кукла тряпочная сделана. Раньше куклы тряпочные - заворачивали вот так, вот так, связывали и тут глазки сделаем, ротик, носик и играли. Это щас куклы. Такие куклы были. Я свою куклу... Так</t>
  </si>
  <si>
    <t>куклой и ехала. А эта женщина очень с = что - то с = ссорилась с немцем, я не могу сказать, а он её даже плёткой ударил. Ударил на глазах, это было. Ну а так я больше не помню ничего, уехали и опять заехали, их прогнали, а мы в свою деревню приехали. Так и жили. И родители жили, пока вот так, пока не () умерли. Ну а я сюда попала в этот, в Пятиусово.</t>
  </si>
  <si>
    <t>Мы поехали, а одна женщина очень спорила с ними ну что - то. А я помню, у меня кукла была. Ну кукла тряпочная сделана. Раньше куклы тряпочные - заворачивали вот так, вот так, связывали и тут глазки сделаем, ротик, носик и играли. Это щас куклы. Такие куклы были. Я свою куклу... Так с куклой и ехала. А эта женщина очень</t>
  </si>
  <si>
    <t>Мы поехали, а одна женщина очень спорила с ними ну что - то. А я помню, у меня кукла была. Ну кукла тряпочная сделана. Раньше куклы тряпочные - заворачивали вот так, вот так, связывали и тут глазки сделаем, ротик, носик и играли. Это щас куклы. Такие куклы были. Я свою куклу... Так с куклой и ехала. А эта женщина очень с = что - то</t>
  </si>
  <si>
    <t>Мы поехали, а одна женщина очень спорила с ними ну что - то. А я помню, у меня кукла была. Ну кукла тряпочная сделана. Раньше куклы тряпочные - заворачивали вот так, вот так, связывали и тут глазки сделаем, ротик, носик и играли. Это щас куклы. Такие куклы были. Я свою куклу... Так с куклой и ехала. А эта женщина очень с = что - то с = ссорилась</t>
  </si>
  <si>
    <t>немцем, я не могу сказать, а он её даже плёткой ударил. Ударил на глазах, это было. Ну а так я больше не помню ничего, уехали и опять заехали, их прогнали, а мы в свою деревню приехали. Так и жили. И родители жили, пока вот так, пока не () умерли. Ну а я сюда попала в этот, в Пятиусово.</t>
  </si>
  <si>
    <t>Вот так и жили. Всё и жизнь прошла. И всё, больше нечего рассказывать. И сейчас живём, работаем, что можем в огороде, делаем. Что сделаю, то не доделаю. По - всякому. Я рада, хоть что плиту топлю и что - то, что - то готовлю немножко - и то хорошо. Остальное как - нибудь. Приедут невестки, сделают, и внучки приедут помо = что - нибудь помогут, сделают. Так. А что они приедут? Приедут со своими ребятками. Им &lt; нрзб &gt; ребят смотреть свих, конечно. Вон тут - то пруд (прутки), то что рядом, то машина пройдёт.</t>
  </si>
  <si>
    <t>детьми приезжают. Спасибо, что ездят (ездют) проведывать. Хотя и за это спасибо.</t>
  </si>
  <si>
    <t>Приезжают. А когда не были замужем, до замужества, они полностью у меня, школу... Каникулы полностью жили летом у нас, ещё мы</t>
  </si>
  <si>
    <t>дедом жили, полносью. Этак два месяца. Сколько... чтоб полностью жили у нас они... Чо мы к их... Хорошо, корову держали, мясо у нас было. Чо им, пускай, внучки живут, с Богом жи... Вот такие дела.</t>
  </si>
  <si>
    <t>Приезжают. А когда не были замужем, до замужества, они полностью у меня, школу... Каникулы полностью жили летом у нас, ещё мы с дедом жили, полносью. Этак два месяца. Сколько... чтоб полностью жили у нас они... Чо мы к их... Хорошо, корову держали, мясо у нас было. Чо им, пускай, внучки живут,</t>
  </si>
  <si>
    <t>Богом жи... Вот такие дела.</t>
  </si>
  <si>
    <t>Они у меня все приучены на молоке</t>
  </si>
  <si>
    <t>детства. Мы деражли корову. А что готовить быстро? Я было батона куплю или пряников, они накрошат (накрошут) в молоко. Это тюрка. Не слышали такое слово?</t>
  </si>
  <si>
    <t>Тюрка. Тюрка. Ну тюрку делали в молоко и</t>
  </si>
  <si>
    <t>молоком... Она размякнет булка или бат = или пряники, и сытые. Ну.</t>
  </si>
  <si>
    <t>ну а колбасы сначала не было, мы ж ездили в Москву за колбасой. Вот примерно я отправляла его в армию, здесь не было ничего купить. Ездила к = з = в Москву за покупками, за продуктами. А в = в армию отправляли, вечера большие справляли праздники. Вот. Это сейчас, правда, так не делают. Это справляли. Ну находили место</t>
  </si>
  <si>
    <t>ну а колбасы сначала не было, мы ж ездили в Москву за колбасой. Вот примерно я отправляла его в армию, здесь не было ничего купить. Ездила к = з = в Москву за покупками, за продуктами. А в = в армию отправляли, вечера большие справляли праздники. Вот. Это сейчас, правда, так не делают. Это справляли. Ну находили место с =</t>
  </si>
  <si>
    <t>Дайте я вас (вам) блинами (блинам) угощу. Может (може) вам я когда - то, Муравьёву уйдёт. А</t>
  </si>
  <si>
    <t>чем вы будете блины есть (ись)? У меня сметаны нет. Если только с чаем или кофе.</t>
  </si>
  <si>
    <t>Дайте я вас (вам) блинами (блинам) угощу. Может (може) вам я когда - то, Муравьёву уйдёт. А с чем вы будете блины есть (ись)? У меня сметаны нет. Если только</t>
  </si>
  <si>
    <t>чаем или кофе.</t>
  </si>
  <si>
    <t>Чай,</t>
  </si>
  <si>
    <t>чаем, чай могу, я скипячу.</t>
  </si>
  <si>
    <t>Сейчас немножко. Так. Ну я могу вам блинов дать (дам) со =</t>
  </si>
  <si>
    <t>мёдом, если хотите.</t>
  </si>
  <si>
    <t>Какие</t>
  </si>
  <si>
    <t>на = из (с) нас вообще хозяева теперь? Не знаю.</t>
  </si>
  <si>
    <t>Какие с на = из (</t>
  </si>
  <si>
    <t>) нас вообще хозяева теперь? Не знаю.</t>
  </si>
  <si>
    <t>Не пьёте вы чай</t>
  </si>
  <si>
    <t>травой?</t>
  </si>
  <si>
    <t>А то у меня заварка есть</t>
  </si>
  <si>
    <t>травой.</t>
  </si>
  <si>
    <t>мёдом вам или...</t>
  </si>
  <si>
    <t>И можете</t>
  </si>
  <si>
    <t>песком.</t>
  </si>
  <si>
    <t>Ставьте, может (може)</t>
  </si>
  <si>
    <t>песком будете пить.</t>
  </si>
  <si>
    <t>А? Нет - нет, я не буду,</t>
  </si>
  <si>
    <t>вами (вам)  де = милые мои.</t>
  </si>
  <si>
    <t>трубой. Не по - чёрному, нет - нет.</t>
  </si>
  <si>
    <t>Не знаю, ла = как вы будете м =</t>
  </si>
  <si>
    <t>мёдом пить?</t>
  </si>
  <si>
    <t>Мёд накладывайте, как вы будете пить, какая? Хоть</t>
  </si>
  <si>
    <t>песком, как хотите.</t>
  </si>
  <si>
    <t>Я вам блюдечки дам или как? На = на мёд. Или</t>
  </si>
  <si>
    <t>л =, берите с ложкой сразу их, как хотите, как вам удобно.</t>
  </si>
  <si>
    <t>Я вам блюдечки дам или как? На = на мёд. Или с л =, берите</t>
  </si>
  <si>
    <t>ложкой сразу их, как хотите, как вам удобно.</t>
  </si>
  <si>
    <t>Да</t>
  </si>
  <si>
    <t>Нате хоть это... Как хочет ложите - - или на блюдечко, или</t>
  </si>
  <si>
    <t>Хорошо бегать</t>
  </si>
  <si>
    <t>яичками.</t>
  </si>
  <si>
    <t>И эту, запеканку картофельную делали</t>
  </si>
  <si>
    <t>яичком, в печку ставили. Раньше так на плите так не готовили, плит у нас не было там в деревне.</t>
  </si>
  <si>
    <t>Как его зовут,</t>
  </si>
  <si>
    <t>Ре = дети</t>
  </si>
  <si>
    <t>этими (этым) бутылками, всё бутылки стоят, когда приезжают, эти напитки.</t>
  </si>
  <si>
    <t>Ну, да,</t>
  </si>
  <si>
    <t>эты =, с этим (этым) хорошо печь блины.</t>
  </si>
  <si>
    <t>Ну, да, с эты =,</t>
  </si>
  <si>
    <t>этим (этым) хорошо печь блины.</t>
  </si>
  <si>
    <t>Такая же = жёлтая,</t>
  </si>
  <si>
    <t>пеночкой.</t>
  </si>
  <si>
    <t>Набью, наготовлю, москвичи приедут,</t>
  </si>
  <si>
    <t>собой берут. Это всё было.</t>
  </si>
  <si>
    <t>А я... У () меня (мне)</t>
  </si>
  <si>
    <t>Вот видишь, не знаю, когда она со = выйдет со =</t>
  </si>
  <si>
    <t>этого, с больничного.</t>
  </si>
  <si>
    <t>Вот видишь, не знаю, когда она со = выйдет со = с этого,</t>
  </si>
  <si>
    <t>больничного.</t>
  </si>
  <si>
    <t>Вот столько лет</t>
  </si>
  <si>
    <t>Ну, а мы на улице</t>
  </si>
  <si>
    <t>(с) своим дедом, хозяином дрова резали, вот так...</t>
  </si>
  <si>
    <t>мной поговорить, ну, я оденусь немного.</t>
  </si>
  <si>
    <t>Он обстоятельно</t>
  </si>
  <si>
    <t>мной побеседовал.</t>
  </si>
  <si>
    <t>А наши вчера внучка приходила</t>
  </si>
  <si>
    <t>своими правнуками, кислые, нос...</t>
  </si>
  <si>
    <t>Один остался, ну сейчас я... Конечно, она мне, Люба, говорила тогда, ты, говорит, брось, не ищи больше женщин, говорит, я помру, мол, сходись</t>
  </si>
  <si>
    <t>своей Галей.</t>
  </si>
  <si>
    <t>А я не такой:</t>
  </si>
  <si>
    <t>мной можно договориться, но не с позиции силы.</t>
  </si>
  <si>
    <t>Я в Западную за хлебом, и вот</t>
  </si>
  <si>
    <t>своей женой познакомился там, вот.</t>
  </si>
  <si>
    <t>Вот я ш = хлеб возить поехал и вот</t>
  </si>
  <si>
    <t>своей будущей супругой познакомился.</t>
  </si>
  <si>
    <t>А я же говорил, что</t>
  </si>
  <si>
    <t>мной с позиции силы нельзя разговаривать, со мной можно договориться, вот.</t>
  </si>
  <si>
    <t>А я же говорил, что со мной с позиции силы нельзя разговаривать,</t>
  </si>
  <si>
    <t>мной можно договориться, вот.</t>
  </si>
  <si>
    <t>Если Москва не поможет борщевик убрать, то мы и ничего... Средства не дадут, то мы ничего не сделаем. Мы деревня</t>
  </si>
  <si>
    <t>временем сократится, и не будет ничего. Пустая будет.</t>
  </si>
  <si>
    <t>Вот. И нынче Лена ходила, и с маленьким</t>
  </si>
  <si>
    <t>своим ходили в лес - - Сашка водил.</t>
  </si>
  <si>
    <t>второй Мария Ивановна.</t>
  </si>
  <si>
    <t>Если мало, допустим с =</t>
  </si>
  <si>
    <t>св = за огородом мало площади (площадь), они где - то на поле разработают и берут.</t>
  </si>
  <si>
    <t>Бывало привозят</t>
  </si>
  <si>
    <t>струками (струкам) с этим.</t>
  </si>
  <si>
    <t>Мы идём с ягод, и они идут (идуть). Вот Нина идёт</t>
  </si>
  <si>
    <t>своим хозяином.</t>
  </si>
  <si>
    <t>Мы даже не дружили</t>
  </si>
  <si>
    <t>своим дедом.</t>
  </si>
  <si>
    <t>Дом</t>
  </si>
  <si>
    <t>всеми (всем) удобствами (удобствам), всё, и перебрано, всё.</t>
  </si>
  <si>
    <t>И говорят</t>
  </si>
  <si>
    <t>всеми (всем) удобствами (удобствам). Так что, девочки, может отдыхать и вам надо будет.</t>
  </si>
  <si>
    <t>временем, со временем, как жизнь покажет (покажеть).</t>
  </si>
  <si>
    <t>Со временем,</t>
  </si>
  <si>
    <t>временем, как жизнь покажет (покажеть).</t>
  </si>
  <si>
    <t>временем, если не будет ничего, ну, через двадцать лет, ничего не будет, считай так, а если кто будет, такие, как я, по восемьдесят лет, так уже, какая работа, с нас никакой как = я какую работу могу делать, да никакую, так.</t>
  </si>
  <si>
    <t>Ну и у каждого телефон, то есть детям... То теперь же в каждом доме у () молодых же это всё нажмёшь на кнопку - там видятся, смотрятся (смотрются) всё. Ну</t>
  </si>
  <si>
    <t>своим (своими) всё.</t>
  </si>
  <si>
    <t>Она живёт на втором. Тоже</t>
  </si>
  <si>
    <t>всеми (всем) удобствами (удобствам), всё.</t>
  </si>
  <si>
    <t>Ну не хочешь</t>
  </si>
  <si>
    <t>мной жить, я тебя (тебе) отдельно поселю. Квартиру снимем и будешь жить.</t>
  </si>
  <si>
    <t>Всем</t>
  </si>
  <si>
    <t>всеми (всем) удобствами (удобствам).</t>
  </si>
  <si>
    <t>Мы сразу её не в () подполье... Раньше, когда поздно копали, мы сразу в подполье сыпали. Я помню, в шестидесятые годы мы сразу... Свекровь (свекрова)</t>
  </si>
  <si>
    <t>мной, мы жили вместе, тогда и та (тая) свекровь (свекрова) жила.</t>
  </si>
  <si>
    <t>Он учился во Ржеве на техника - механика, но потом он закон =, он учился от совхоза, тогда было от совхоза, тогда техникум был, и учился там, он закончил четыре года, потом пошёл в армию. Уч = служил на Байконуре, ну вот потом домой пришёл, познакомился</t>
  </si>
  <si>
    <t>своей хозяйкой, она работала у нас медиком тут (тута), ну и так уже сорок лет живут вместе.</t>
  </si>
  <si>
    <t>Да, Казанская там, ещё какие - то возможно, ну у нас ещё праздновали в Каськово двадцатого января, да, двадцатого января, это Иваны назывались, в Иваны праздновали, ну а так, как Крещение, ну как бы в Крещение все бани топили, ну холодец варили, ой все молодые были, холодец как бы готовили всё равно к празднику к Иванам, а если там созо =</t>
  </si>
  <si>
    <t>ДА, она в Старой Торопе (Торопы) живёт, да. Она одна живёт, да и мужа нет, тоже умер десять лет тому назад, ему было восемьдесят два года, когда он умер, ну вот она живёт одна, а сын &lt; нрзб &gt; дом, у неё сын один, у неё (ней) сын о =, сын один у неё (ней), потому что она заболела, болела и в двадцать пять лет вынута (вынята) почка одна, одн = с одной почкой жил = жила и живёт, доживает, одна почка, поэтому ей не разрешали рожать больше. Врач сказал, когда оперировал, сказал, вы, да, вы компания любите, он спросил, в Твери делали. Она сказала, я не хожу, ну в деревне мы и не ходили никуда, у нас нет такого компании там, она сказала нет, я и, а можете выпить, она сказала, не, я не пью, мы не пьём ни она, ни сестра, никто не пьёт. Ну если в компании будете, красное вино не потребляйте, только если гранку белого, ну она никуда не ходила, и мы не пьём ни она, ни я, и ей рожать, рожать, сказал, желательно не надо, вот так вот. Ну и почка одна, вот она в двадцать пять лет ей делали, вот ей сейчас восемьдесят пятый год и ничего, живёт нормально, ну поостерегалась работать, она жила там тоже в Каськове жила там, где вот Лавренов Сергей жил, вы не знаете его, Ромка знает, там (тама) это их (ихный) дом, потом они уехали после операции в Торопу, там она работала на складу, потом им дали квартиру,</t>
  </si>
  <si>
    <t>всем удобствами, там живёт.</t>
  </si>
  <si>
    <t>До школы? А школа у нас вот тут (тутово) последняя, во, во последний асфальт кончается школа, это школа, её, как называют, допотопная, там родители мои учились, учились мы, дети мои учились и внуки учились, столько поколений учились, ну а мы, я нянчила, у нас только сестра была, я нянчила сестру, мне большая часть задания было, я даже не знаю, чем она, сестра занималась, не могу даже, сейчас не припомню, мне давали сестру нянчить эту, потом меня два сезона в няньки отправляли &lt; нрзб &gt; к тётке их, раз у директора в школе я нянчила, в Даниловском, таком, у нас есть, в пятом классе, перешла и нянчила там лето. Мне не я не знаю, как что сестра делала, я не понимаю, не могу ничего сказать, но она после школы, она слабенько училась, мы все слабовато учились тогда, и она не стала ходить в пятый класс, год походила, бросила, и она пошла на работу. Р = работать раньше была борьба какая - то борьба, снег очищали где - то от линии, в общем она пошла на работу, с тех пор она потом в Кунье работала, и пока, тогда колхоз был, пока нас не приняли в совхоз, деньги вот &lt; нрзб &gt; совхоз работал на деньгах тогда, они небольшие деньги, но всё - таки деньги были, вот тогда она перешла и работала на птичнике</t>
  </si>
  <si>
    <t>мной, пока замуж вышла. Замуж вышла, она года два пожила и уехали в Старую Торопу, так вот.</t>
  </si>
  <si>
    <t>Когда училась я, ле = летом не ра = у нас летом, мы, когда я училась, не было &lt; нрзб &gt;, когда кончила, мне пятнадцать лет, то я работала уже, в пятнадцать лет я работала, а когда на каникулы вых =, на каникулах работали только дома дети, ну вот я говорю, я &lt; нрзб &gt; нянчила, сестра у меня с сорок девятого года была, нянчила. Ну в поле гоняли (гонялись)</t>
  </si>
  <si>
    <t>своим, скот был свой личный, по очереди гоняли (гонялись) в поле, бывало, мне это, я гоняла (гонялась) в поле там с бабушкой там с этим, бывало, команду дают. Ну ну в деревне всё равно держали же корову держали и поросёнок, хоть &lt; нрзб &gt; был, маленький, всё равно держали, надо было травы нарубить, этой, родители на работу от зари до зари, а эта работа, она и для тех и в то время, всё оно тоже бывало. Трав надо было нарубить, и бывало, и курам добавляли мокрицу, ну &lt; нрзб &gt;.</t>
  </si>
  <si>
    <t>Вообще, воду не люблю. Я тонула в четыре года или в три, когда жила в Каськове, да, то есть, в Каськове, в этом, в Спиридове, там у нас пруд есть, вот около (кол) это на краю деревни, а там старик жил</t>
  </si>
  <si>
    <t>старухой, ну тоже они уже в преклонном возрасте, ну лет может (може) по семьдесят было им, и там (тама) у них вырыт был пруд, у них девочка, внучка приезжала и мы с сестрой, ну а как раньше на = дома - то не особо они большие были, нас в = говорит, идите на улицу и гуляйте ну и мы пошли к этому пруду (прудке), и я сидела, и болтали, я помню сейчас, что мы болтали ногами (ногам), раньше всё ходили босиком, обуви не было, ходили босиком. Ну и болтали, болтали, до чего доболталась и шалык туда и всё, и там и в воде (воды) ну и, а это хорошо, что там бабка одна была на поле, картошку вроде что - то полола или что она. Она закричала, Дуська её звали, баба Дуся, Зинка утонула, вот баба скорее прибежала (прибегла) вот меня за платье швырнула, матери сообщили, она сказала, я тебя через плечо перекинула, пока, говорит (говорить), рвота всё там оттуда не вынесла, тогда жива стала. Я поэтому воды... это не моё.</t>
  </si>
  <si>
    <t>Ну у</t>
  </si>
  <si>
    <t>Да, Фо = в этом Фофаново ходила в школу. В школу я ходила в Фофаново. А теперь после, как я уехала, даже хочется сходить туда, посмотреть, что там творится. Говорят, всё москвичи построились, застроились теперь. Не была ни разу. Прое = Когда бываешь, церковь проедешь мимо на автобусе. Автобус же ходил из Западной до Пятиусова. Проедешь, и всё. Так что в тех краях я даже и не была что - то. Конечно, говорят, там школы уже нет с... Это в каком году, Господи?! Уже столько лет прошло. Там и постройки большие, говорят, у москвичей (w москвичах) построены. Везде москвичи застроились, что они (оны)? А теперь дома не хотят покупать. Что там они покупают? Ну теперь хотят покупать</t>
  </si>
  <si>
    <t>всеми удобствами, чтоб было всё, удобства... Не хотят же теперь молодые так, чтобы... И вода, чтобы проно = выте = пропротекала и вытекала, а у нас этого нет. Вот.</t>
  </si>
  <si>
    <t>Вот так и жили. Всё и жизнь прошла. И всё, больше нечего рассказывать. И сейчас живём, работаем, что можем в огороде, делаем. Что сделаю, то не доделаю. По - всякому. Я рада, хоть что плиту топлю и что - то, что - то готовлю немножко - и то хорошо. Остальное как - нибудь. Приедут невестки, сделают, и внучки приедут помо = что - нибудь помогут, сделают. Так. А что они приедут? Приедут</t>
  </si>
  <si>
    <t>своими ребятками. Им &lt; нрзб &gt; ребят смотреть свих, конечно. Вон тут - то пруд (прутки), то что рядом, то машина пройдёт. С детьми приезжают. Спасибо, что ездят (ездют) проведывать. Хотя и за это спасибо.</t>
  </si>
  <si>
    <t>Сейчас немножко. Так. Ну я могу вам блинов дать (дам)</t>
  </si>
  <si>
    <t>У () меня (мне) внучки люби =</t>
  </si>
  <si>
    <t>сгущёнкой.</t>
  </si>
  <si>
    <t>Приедут, от = купят (купют), откроют, потом она стоит - стоит, даже засахарится, и уедут и не доедят. Сгущёнку покупают, блины едят (</t>
  </si>
  <si>
    <t>) сгущёнкой.</t>
  </si>
  <si>
    <t>Лучше блины если только</t>
  </si>
  <si>
    <t>сметаной.</t>
  </si>
  <si>
    <t>Вот видишь, не знаю, когда она</t>
  </si>
  <si>
    <t>Вот видишь, не знаю, когда она со = выйдет</t>
  </si>
  <si>
    <t>Семь. Раньше и было семь. Спасибо, хоть что семь по = отходила. Семь. Семь. В Фофаново училась я. Ну а с = с Ануфриево или с =</t>
  </si>
  <si>
    <t>Ануфриево Фофаново, там одинаковое там расстояние, ходила на работу. Я к восьми часам... Вот видишь, у меня было... Я сюда приехала в двадцать лет, а там было восемнадцать - девятнадцать. В таком возрасте пять - шесть километров ходила пешком на работу. Ну и с работы приходишь, а потом ходили в понедельник, среду и пятницу ходили на курсы медицинских сестёр. Учились после пяти, к семи часам. В два часа приходили домой, а к восьми опять на работу. Так что придёшь... Всякое было. Хорошего не было, ну и что? Сейчас, говорят, тяжело, ну и раньше было тоже не легко. Ну с = самое страшное, девочки милые, чтобы не было войны. Жить можно, картошину постную можно есть (есь), траву есть (есь), чтобы тихо было. Не... Чтобы не было войны. Всё. Я немцев видела, знаю.</t>
  </si>
  <si>
    <t>Сразу</t>
  </si>
  <si>
    <t>магазина, нет, вот с магазина по одной линии, вон мага = магазин, там тут (тута) он живёт, тут магазин, вот.</t>
  </si>
  <si>
    <t>И шли оттуда, где Лавреновы жили,</t>
  </si>
  <si>
    <t>той стороны. А кто, что - то они делали там (тама).</t>
  </si>
  <si>
    <t>А сразу, как едешь с Пахново,</t>
  </si>
  <si>
    <t>Пахново едешь так она...</t>
  </si>
  <si>
    <t>Нет, нет, они не написали, а объяснили, что тяжелая. Я</t>
  </si>
  <si>
    <t>давлением была сто шестьдесят.</t>
  </si>
  <si>
    <t>осени тогда уже будешь знать, куда вот Витька со своей сажает этой сажалкой.</t>
  </si>
  <si>
    <t>Что одна ножка короче. Мальца два раза в Москве (Москвы) делали операцию, ломали мальца, что ни делали - бесполезно. И</t>
  </si>
  <si>
    <t>операцием (операциями)</t>
  </si>
  <si>
    <t>Мне вот что, как что пишут там,</t>
  </si>
  <si>
    <t>той стороны, форточка, чтобы тепло шло туда, я никогда не открываю её.</t>
  </si>
  <si>
    <t>Да. Это на Щелкине, где я жила, там русская большая печь, сам хозяин клал</t>
  </si>
  <si>
    <t>братом, большая, хорошая печка.</t>
  </si>
  <si>
    <t>Идёшь</t>
  </si>
  <si>
    <t>работы, бывало всем классом кончишь, идёшь летом не гуляешь, а работаешь в колхозе.</t>
  </si>
  <si>
    <t>Да, идешь домой</t>
  </si>
  <si>
    <t>работы...</t>
  </si>
  <si>
    <t>песнем (песней) туда, только гулы по лесу раздаются, и оттуда.</t>
  </si>
  <si>
    <t>поросёнка снимашь это куски такие большие.</t>
  </si>
  <si>
    <t>этим с колоколом, с этим звонком едет лошадь на санях. Мы зимой, у меня первого февраля была свадьба.</t>
  </si>
  <si>
    <t>С этим</t>
  </si>
  <si>
    <t>колоколом, с этим звонком едет лошадь на санях. Мы зимой, у меня первого февраля была свадьба.</t>
  </si>
  <si>
    <t>С этим с колоколом,</t>
  </si>
  <si>
    <t>этим звонком едет лошадь на санях. Мы зимой, у меня первого февраля была свадьба.</t>
  </si>
  <si>
    <t>Вот. Была жердина, ноги связывают, три</t>
  </si>
  <si>
    <t>одного боку, три - с другого, седьмой горячком (?) всё этого обмотает всё.</t>
  </si>
  <si>
    <t>Вот. Была жердина, ноги связывают, три с одного боку, три -</t>
  </si>
  <si>
    <t>другого, седьмой горячком (?) всё этого обмотает всё.</t>
  </si>
  <si>
    <t>Чистишь, надуваешь их (йих). В любое время они высохнут. В любое время бери</t>
  </si>
  <si>
    <t>фаршем, обжаривай.</t>
  </si>
  <si>
    <t>Бывало где по площинам соберешь на своих плечах,</t>
  </si>
  <si>
    <t>огорода что там соберешь, и всё в осень придут, обмерят, посмотрят, сколько ты... у тебя в сарае.</t>
  </si>
  <si>
    <t>Ааа, Лёшка работает</t>
  </si>
  <si>
    <t>машиной. Машины ремонтирует. Легковые, вот такие.</t>
  </si>
  <si>
    <t>Там по знакомству его взяли туда. А Ваня тоже же в этой... щас, где Лёшка, только он</t>
  </si>
  <si>
    <t>компьютером там что - то на складу, на складу, где запчасти, вон там это на складу.</t>
  </si>
  <si>
    <t>Мы ж ездили втроем в Москву</t>
  </si>
  <si>
    <t>рюкзаками (рюкзакам). Набираем фрукты, колбасы - всё. Колбасы возили с Москвы. Вот. Раньше ж не было этого.</t>
  </si>
  <si>
    <t>Туда</t>
  </si>
  <si>
    <t>песнями (песням), оттуда с песнями (песням). Только гулы раздавались. Там все зверьё спугаются, народу ж - то много бывало идёт.</t>
  </si>
  <si>
    <t>Туда с песнями (песням), оттуда</t>
  </si>
  <si>
    <t>песнями (песням). Только гулы раздавались. Там все зверьё спугаются, народу ж - то много бывало идёт.</t>
  </si>
  <si>
    <t>творогом делали, и с изюмом, и с этой... с муки (муке) делали. Бывало такое... на сковороды (сковороде) большую разрисуешь, сверху яичком сладким с песком расколотишь, с.. об... ам.. смажешь. И всё.</t>
  </si>
  <si>
    <t>И с творогом делали, и</t>
  </si>
  <si>
    <t>изюмом, и с этой... с муки (муке) делали. Бывало такое... на сковороды (сковороде) большую разрисуешь, сверху яичком сладким с песком расколотишь, с.. об... ам.. смажешь. И всё.</t>
  </si>
  <si>
    <t>И с творогом делали, и с изюмом, и с этой... с муки (муке) делали. Бывало такое... на сковороды (сковороде) большую разрисуешь, сверху яичком сладким</t>
  </si>
  <si>
    <t>песком расколотишь, с.. об... ам.. смажешь. И всё.</t>
  </si>
  <si>
    <t>И с творогом делали, и с изюмом, и с этой... с муки (муке) делали. Бывало такое... на сковороды (сковороде) большую разрисуешь, сверху яичком сладким с песком расколотишь,</t>
  </si>
  <si>
    <t>.. об... ам.. смажешь. И всё.</t>
  </si>
  <si>
    <t>Ну потом сколько прошло времени (время), и он приехал</t>
  </si>
  <si>
    <t>мамкой договариваться насчет этой тёлочки.</t>
  </si>
  <si>
    <t>Грейдер прошел, на = на их (ихний) поровнял тоже ещё. И вот уже опять о лесовоз ещё недавно</t>
  </si>
  <si>
    <t>лесом.</t>
  </si>
  <si>
    <t>Ну всё делали, всё. Варенье варили чернич =</t>
  </si>
  <si>
    <t>черникой (черницей), а с клюквой я не варила.</t>
  </si>
  <si>
    <t>Ну всё делали, всё. Варенье варили чернич = с черникой (черницей), а</t>
  </si>
  <si>
    <t>клюквой я не варила.</t>
  </si>
  <si>
    <t>этих варили всё.</t>
  </si>
  <si>
    <t>Как</t>
  </si>
  <si>
    <t>ржаной мукой?</t>
  </si>
  <si>
    <t>Тётя Зина жила такая, они жили сначала в Копае, потом в трехкомнатную квартиру в Пушкино, я на свадьбу - то ездил, Пушкино, когда ж</t>
  </si>
  <si>
    <t>Тамаркой жил.</t>
  </si>
  <si>
    <t>Бляха, как мне сейчас не запомнить сейчас,</t>
  </si>
  <si>
    <t>этого, с Волоколамска мы ездили срубы ставить, ещё, бляха, сейчас, на языке вертится...</t>
  </si>
  <si>
    <t>Когда</t>
  </si>
  <si>
    <t>хозяйкой, она у меня три года как Тамарка умерла, ну какое хозяйство большое держала, а сейчас расскажу.</t>
  </si>
  <si>
    <t>Было это здание стоит, где садик был, там мой зять живёт. а тут напротив тоже Володька, зять. работал. Я тоже всю жизнь в лесу работал, и</t>
  </si>
  <si>
    <t>соседом работал, со Славиком, в лесу.</t>
  </si>
  <si>
    <t>Вот я строился,</t>
  </si>
  <si>
    <t>Тамаркой (Тамарка) перешёл сюда жить, а всё сам доставал – и пилорамы были, и всё, так, поговорить. Так, зайди сейчас, посмотри на эту ферму – нет ничего, никого.</t>
  </si>
  <si>
    <t>Я вот сколько тоже, сколько</t>
  </si>
  <si>
    <t>= работал, начальник этот, Михаилыч, в охотхозяйстве, за Юрика дежурил, а, как - то не захотел.</t>
  </si>
  <si>
    <t>Там ещё вот сейчас это здание как мост проедете, вот, это здание от Москвы всё построено, москвичи, они сейчас и</t>
  </si>
  <si>
    <t>зерном и всё, и зверей и всё, и лосей разводят здесь.</t>
  </si>
  <si>
    <t>Ну а что, мама жила тоже та = без родителей, родителей не было у неё (ей), жила</t>
  </si>
  <si>
    <t>дядей.</t>
  </si>
  <si>
    <t>Мамка, говорит, рано умерла, папа тоже умер, вот так она и жила</t>
  </si>
  <si>
    <t>Вот, там вот Осташково деревня, там ещё Кондратово, они там жили на хуторе, за Осташковом, её дядя взял так, она и жила</t>
  </si>
  <si>
    <t>папкой.</t>
  </si>
  <si>
    <t>С =</t>
  </si>
  <si>
    <t>поля боя.</t>
  </si>
  <si>
    <t>Американцы встречались</t>
  </si>
  <si>
    <t>нашими.</t>
  </si>
  <si>
    <t>Платили, и</t>
  </si>
  <si>
    <t>= мясо сдавали государству, и молоко сдавали, и яички сдавали, картошку сдавали, всё.</t>
  </si>
  <si>
    <t>Девять душ, семь ребят и папка</t>
  </si>
  <si>
    <t>мамкой.</t>
  </si>
  <si>
    <t>Плохо было, а были все дома</t>
  </si>
  <si>
    <t>Плохого чтоб</t>
  </si>
  <si>
    <t>народом, кур у нас, правда, всех перебили, что были.</t>
  </si>
  <si>
    <t>вечера спать ложимся...</t>
  </si>
  <si>
    <t>Бывало,</t>
  </si>
  <si>
    <t>работы приедешь, вечером пол помыть надо, белье постирать, выходных не было, вот, наш бригадир жил в этом доме, бывало говорю: " Саш, дай сегодня останусь дома ". " Быть только чтоб никто не видел тебя, никуда ", – вот.</t>
  </si>
  <si>
    <t>четырнадцати лет.</t>
  </si>
  <si>
    <t>А мы её возим</t>
  </si>
  <si>
    <t>собой, вот уже я третий раз приехала, и она с нами, приехали на улицу, машину открыла дверку, и она ходом, и пошла сюда в сени.</t>
  </si>
  <si>
    <t>А мы её возим с собой, вот уже я третий раз приехала, и она</t>
  </si>
  <si>
    <t>нами, приехали на улицу, машину открыла дверку, и она ходом, и пошла сюда в сени.</t>
  </si>
  <si>
    <t>Мой тоже правнук сегодня прилетает</t>
  </si>
  <si>
    <t>этого...</t>
  </si>
  <si>
    <t>Та (Тая) старше меня,</t>
  </si>
  <si>
    <t>тридцатого года.</t>
  </si>
  <si>
    <t>Вот она старше меня,</t>
  </si>
  <si>
    <t>тридцатого году.</t>
  </si>
  <si>
    <t>У меня сестра была</t>
  </si>
  <si>
    <t>тридцатого года, померши.</t>
  </si>
  <si>
    <t>сердцем.</t>
  </si>
  <si>
    <t>Ещё говорят, сколько зайца не корми – а в лес</t>
  </si>
  <si>
    <t>= смотрит, так и нас, мы сколько хочешь живи в людях, а домой хотим.</t>
  </si>
  <si>
    <t>Пить</t>
  </si>
  <si>
    <t>чем воду.</t>
  </si>
  <si>
    <t>И тоже такая гроза была, всё, мы коров пасли, а там парень пас овец, и гроза. Стали, сарай был, он</t>
  </si>
  <si>
    <t>одной стороны стал, мы с другой...</t>
  </si>
  <si>
    <t>И тоже такая гроза была, всё, мы коров пасли, а там парень пас овец, и гроза. Стали, сарай был, он с одной стороны стал, мы</t>
  </si>
  <si>
    <t>другой...</t>
  </si>
  <si>
    <t>И вот этого мальчика, что</t>
  </si>
  <si>
    <t>этой стороны был, и убило.</t>
  </si>
  <si>
    <t>Ему семь лет было, так ударила молния, и так головка на земле осталась, вот так, место такое,</t>
  </si>
  <si>
    <t>тех пор боюсь грозы, всё.</t>
  </si>
  <si>
    <t>Раньше присылали вот на тракториста, в колхозы разных, учились где - то на трактор, и присылали - вот сестра моя (у сестры моей) тоже был приехадчи</t>
  </si>
  <si>
    <t>этой, с этой, с Осетии.</t>
  </si>
  <si>
    <t>Раньше присылали вот на тракториста, в колхозы разных, учились где - то на трактор, и присылали - вот сестра моя (у сестры моей) тоже был приехадчи с этой,</t>
  </si>
  <si>
    <t>этой, с Осетии.</t>
  </si>
  <si>
    <t>Тут варила Люба, мне говорит, дай немножко, кашель такая была, говорит, пожгу</t>
  </si>
  <si>
    <t>сахаром.</t>
  </si>
  <si>
    <t>Как уволили</t>
  </si>
  <si>
    <t>работы – так не пьет.</t>
  </si>
  <si>
    <t>И у Любы тоже там в квартире прямо солнце</t>
  </si>
  <si>
    <t>этой стороны и с этой стороны, с этой и с этой, тоже жарко.</t>
  </si>
  <si>
    <t>И у Любы тоже там в квартире прямо солнце с этой стороны и</t>
  </si>
  <si>
    <t>этой стороны, с этой и с этой, тоже жарко.</t>
  </si>
  <si>
    <t>И у Любы тоже там в квартире прямо солнце с этой стороны и с этой стороны,</t>
  </si>
  <si>
    <t>этой и с этой, тоже жарко.</t>
  </si>
  <si>
    <t>И у Любы тоже там в квартире прямо солнце с этой стороны и с этой стороны, с этой и</t>
  </si>
  <si>
    <t>этой, тоже жарко.</t>
  </si>
  <si>
    <t>А я одна, пока зять приедет</t>
  </si>
  <si>
    <t>рыбой.</t>
  </si>
  <si>
    <t>Ну на газу... ну и в печку поставишь,</t>
  </si>
  <si>
    <t>духом всё зато сварится, стушится, вот.</t>
  </si>
  <si>
    <t>Гуляют</t>
  </si>
  <si>
    <t>собачками, есть и большие, есть маленькие.</t>
  </si>
  <si>
    <t>Тут москвич, это Света живет, а Виталика нет, помер. Кот был, ходил, так дрались</t>
  </si>
  <si>
    <t>ним всё.</t>
  </si>
  <si>
    <t>Детки, давайте,</t>
  </si>
  <si>
    <t>Богом, счастливо доехать.</t>
  </si>
  <si>
    <t>Давайте,</t>
  </si>
  <si>
    <t>Богом, ага.</t>
  </si>
  <si>
    <t>Богом, с Богом.</t>
  </si>
  <si>
    <t>Давайте, с Богом,</t>
  </si>
  <si>
    <t>Богом.</t>
  </si>
  <si>
    <t>Ну он</t>
  </si>
  <si>
    <t>одн =... С матерью всё время жил. Мать потом умерла, остался один...</t>
  </si>
  <si>
    <t>Ну он с одн =...</t>
  </si>
  <si>
    <t>матерью всё время жил. Мать потом умерла, остался один...</t>
  </si>
  <si>
    <t>Там... Москвич вот там такой живёт,</t>
  </si>
  <si>
    <t>ребятами (ребятам). У него взято на это... На воспитание. Опекуны.</t>
  </si>
  <si>
    <t>Так они</t>
  </si>
  <si>
    <t>дерева. Ну и с... Палка такая... Палка вот. Обыконовенная палка.</t>
  </si>
  <si>
    <t>Так они с дерева. Ну и</t>
  </si>
  <si>
    <t>... Палка такая... Палка вот. Обыконовенная палка.</t>
  </si>
  <si>
    <t>Квадратики, делишь их вот так на... На три части... Баночка такая, у нас баночка была</t>
  </si>
  <si>
    <t>под этой... Гуталин раньше был. Чистить эту...</t>
  </si>
  <si>
    <t>составной предлог</t>
  </si>
  <si>
    <t>Мы не ходили... Санки каталися</t>
  </si>
  <si>
    <t>горки, горка там была вот в соседней деревне большая, с горки катались.</t>
  </si>
  <si>
    <t>Мы не ходили... Санки каталися с горки, горка там была вот в соседней деревне большая,</t>
  </si>
  <si>
    <t>горки катались.</t>
  </si>
  <si>
    <t>девяти уроки начиналися.</t>
  </si>
  <si>
    <t>= сделаны и так, и вы =... На этих санях они ездили. На лошади. А я раз села так вот... Хотела к ним сесть... А в санях вот такой был клин...</t>
  </si>
  <si>
    <t>И денег не было, и</t>
  </si>
  <si>
    <t>собой дать...</t>
  </si>
  <si>
    <t>А у нас же и не было раньше света. Лампа была. Мы же</t>
  </si>
  <si>
    <t>лампой учили уроки и всё.</t>
  </si>
  <si>
    <t>Перо было, чернильница стояла</t>
  </si>
  <si>
    <t>чернилами (чернилам). Макали.</t>
  </si>
  <si>
    <t>лампой. Вот придешь, в шесть часов уже на улице темно. Встаёшь утром.</t>
  </si>
  <si>
    <t>лампой справлялись. Одеваешься (одеёшься), надо одеваться, обуваться, лампу зажигаешь.</t>
  </si>
  <si>
    <t>лампой. Телевизоров же раньше не было. Помню, у нас появился... У опе = первых приёмник такой.</t>
  </si>
  <si>
    <t>Почта</t>
  </si>
  <si>
    <t>той стороны, да.</t>
  </si>
  <si>
    <t>Ой не было... Мы, бывало,</t>
  </si>
  <si>
    <t>подружкой...</t>
  </si>
  <si>
    <t>Бежим</t>
  </si>
  <si>
    <t>этой подружкой сюда в магазин, петушки были на палочке... Ой...</t>
  </si>
  <si>
    <t>Так. Хлеб был чёрный</t>
  </si>
  <si>
    <t>собой только, ничего не было ещё.</t>
  </si>
  <si>
    <t>Ну он пошёл, но он не</t>
  </si>
  <si>
    <t>желанием учился, не...</t>
  </si>
  <si>
    <t>Он... Не</t>
  </si>
  <si>
    <t>желанием. Он это се =... Говорит: " Ой, лучше бы я вот шёл на механика ".</t>
  </si>
  <si>
    <t>А где ж такая девочка была ещё, помните, приехадчи, высокая такая. Она в футбол ездила</t>
  </si>
  <si>
    <t>ребятами...</t>
  </si>
  <si>
    <t>А не... Я теперь забыла, что мы делали... Это же давно, дочь, было, это же прошло... Считай, наверное, пятьдесят</t>
  </si>
  <si>
    <t>Она до цыганки пешком идет, пять километров. А</t>
  </si>
  <si>
    <t>Она до цыганки пешком идет, пять километров. А с =</t>
  </si>
  <si>
    <t>цыганки автобус.</t>
  </si>
  <si>
    <t>Бабушка в церковь ходила, в один раз, помнить, бабушка... Меня (мне)</t>
  </si>
  <si>
    <t>собой брала. Мы там ночевали, там...</t>
  </si>
  <si>
    <t>Есть вот тут вот. Батюшка и в Старой Торопе, и в это самое, в Торопце, это, брат</t>
  </si>
  <si>
    <t>братом.</t>
  </si>
  <si>
    <t>Ну есть же вот, показывают</t>
  </si>
  <si>
    <t>телевидения, показывают.</t>
  </si>
  <si>
    <t>Ну вот ему сказали немцы, что вот надо примерно пять человек</t>
  </si>
  <si>
    <t>лошадей, отправить вот вещи.</t>
  </si>
  <si>
    <t>Говорит, - работали один с Орловской области и еще какой - то</t>
  </si>
  <si>
    <t>ним были в немцах там.</t>
  </si>
  <si>
    <t>передовой отдохнули сколько и еще девятнадцать суток.</t>
  </si>
  <si>
    <t>той стороны козелок вышел, машина, вышли люди, взорвали.</t>
  </si>
  <si>
    <t>Та (Тая) старшая,</t>
  </si>
  <si>
    <t>тридцатого года, Та (Тая) пять классов окончила.</t>
  </si>
  <si>
    <t>&lt; нрзб &gt;</t>
  </si>
  <si>
    <t>шестьдесят девятого году.</t>
  </si>
  <si>
    <t>этой ка...</t>
  </si>
  <si>
    <t>На тракторах.</t>
  </si>
  <si>
    <t>разных...</t>
  </si>
  <si>
    <t>тридцатого году вот и эта...</t>
  </si>
  <si>
    <t>тридцать второго, сестра вот помершая с тридцать...</t>
  </si>
  <si>
    <t>Я с тридцать второго, сестра вот помершая</t>
  </si>
  <si>
    <t>тридцать...</t>
  </si>
  <si>
    <t>тридцать шестого померши.</t>
  </si>
  <si>
    <t>Как немцы отогнали с района</t>
  </si>
  <si>
    <t>нашего, так школа открылась.</t>
  </si>
  <si>
    <t>И этот брат был</t>
  </si>
  <si>
    <t>Больше дома рожали. Да, я рожала</t>
  </si>
  <si>
    <t>...</t>
  </si>
  <si>
    <t>И девку дома</t>
  </si>
  <si>
    <t>свекровью (свекровой).</t>
  </si>
  <si>
    <t>Далёко. Вот это в Антоново</t>
  </si>
  <si>
    <t>моста съедешь...</t>
  </si>
  <si>
    <t>Да, я не знаю</t>
  </si>
  <si>
    <t>чего и на что он прёт.</t>
  </si>
  <si>
    <t>Немного - то я прожила</t>
  </si>
  <si>
    <t>ней. Двенадцать лет только.</t>
  </si>
  <si>
    <t>Ну мы</t>
  </si>
  <si>
    <t>ней не ругались.</t>
  </si>
  <si>
    <t>А один</t>
  </si>
  <si>
    <t>этой. Куда она их? Конечно - то с нами была.</t>
  </si>
  <si>
    <t>А один с этой. Куда она их? Конечно - то</t>
  </si>
  <si>
    <t>нами была.</t>
  </si>
  <si>
    <t>Я вообще ни</t>
  </si>
  <si>
    <t>кем в той деревне = ни с кем...</t>
  </si>
  <si>
    <t>Я вообще ни с кем в той деревне = ни</t>
  </si>
  <si>
    <t>кем...</t>
  </si>
  <si>
    <t>Ни</t>
  </si>
  <si>
    <t>кем не ругалась.</t>
  </si>
  <si>
    <t>Пришедши</t>
  </si>
  <si>
    <t>работы, придёшь или надо хозяйство это.</t>
  </si>
  <si>
    <t>ним ругались.</t>
  </si>
  <si>
    <t>Я никак =</t>
  </si>
  <si>
    <t>ним только Манька жила.</t>
  </si>
  <si>
    <t>дочкой две недели.</t>
  </si>
  <si>
    <t>Приехадчи со своей по =</t>
  </si>
  <si>
    <t>девушкой.</t>
  </si>
  <si>
    <t>А мы вот раз</t>
  </si>
  <si>
    <t>Любой в отпуск.</t>
  </si>
  <si>
    <t>Она была</t>
  </si>
  <si>
    <t>тридцать первого году.</t>
  </si>
  <si>
    <t>которыми мы ладили вот только...</t>
  </si>
  <si>
    <t>Маней с его.</t>
  </si>
  <si>
    <t>С Маней</t>
  </si>
  <si>
    <t>его.</t>
  </si>
  <si>
    <t>семьей.</t>
  </si>
  <si>
    <t>Невестка.</t>
  </si>
  <si>
    <t>невесткой не ладил.</t>
  </si>
  <si>
    <t>Дружил бы. Мирно жили бы</t>
  </si>
  <si>
    <t>невесткой. &lt; нрзб &gt; какой.</t>
  </si>
  <si>
    <t>Ладил бы</t>
  </si>
  <si>
    <t>невесткой.</t>
  </si>
  <si>
    <t>Манькой ладили.</t>
  </si>
  <si>
    <t>Катаемся. Поехали</t>
  </si>
  <si>
    <t>этой горы. И врезалися в сосну.</t>
  </si>
  <si>
    <t>Ну идите, девочки, идите.</t>
  </si>
  <si>
    <t>А сама достала ведёрко, кое - как мучила, мучила, и то не смучила как надо. А контейнер ещё на литра два стоит</t>
  </si>
  <si>
    <t>клубникой в морозиловке.</t>
  </si>
  <si>
    <t>Хорошо, и чашки были, даже с чашек ели</t>
  </si>
  <si>
    <t>гнильных (глиняных), была специально у этих</t>
  </si>
  <si>
    <t>Сын ловил</t>
  </si>
  <si>
    <t>Тёмой (Тёмом) сетки ставили</t>
  </si>
  <si>
    <t>Ну вот а Витька дружил</t>
  </si>
  <si>
    <t>этим вот, с Лёшкой (Лёшком)</t>
  </si>
  <si>
    <t>Ну вот а Витька дружил с этим вот,</t>
  </si>
  <si>
    <t>Лёшкой (Лёшком)</t>
  </si>
  <si>
    <t>Привезли его, приехали</t>
  </si>
  <si>
    <t>Витькой (с Витьком) сюда, он так, было не загорожено там, он так обошёл вокруг, сюда пришёл вот так сюда, на дорогу, говорим, ну что?</t>
  </si>
  <si>
    <t>Привезли его, приехали с Витькой (</t>
  </si>
  <si>
    <t>Витьком) сюда, он так, было не загорожено там, он так обошёл вокруг, сюда пришёл вот так сюда, на дорогу, говорим, ну что?</t>
  </si>
  <si>
    <t>Ну а у меня что были, а этот Лёшк = Витька говорит, договорился</t>
  </si>
  <si>
    <t>Лёшкой (Лёшком) &lt; нрзб &gt; мне только за баню</t>
  </si>
  <si>
    <t>Ну я вот подала этому вот Витьке, они поехали в Западную, я говорю, что мне</t>
  </si>
  <si>
    <t>этой приватизации, документы у меня на приватизацию, надо же твоё имя</t>
  </si>
  <si>
    <t>мая, вон сколько он прожил, посмотревши</t>
  </si>
  <si>
    <t>- под Лук, у него (его) не было тоже родителей, про это ничего не могу сказать</t>
  </si>
  <si>
    <t>Знаю, он как - то кузнецом работал вот в этом колхозе где - то</t>
  </si>
  <si>
    <t>- под Лук</t>
  </si>
  <si>
    <t>Теперь рядом</t>
  </si>
  <si>
    <t>Москвой тоже полно деревень, везде всё</t>
  </si>
  <si>
    <t>Ой, сейчас кодировка. Не боятся и пьют</t>
  </si>
  <si>
    <t>кодировкой... ту.</t>
  </si>
  <si>
    <t>Зачем его пить? Болеть</t>
  </si>
  <si>
    <t>ним только. Её и так хватает без вина этого.</t>
  </si>
  <si>
    <t>=...</t>
  </si>
  <si>
    <t>Камень на камень такие... Такие были большие, они</t>
  </si>
  <si>
    <t>дыркой (дырком), специально сделанные. Палка там такая сделана... Вверху палка, где этот палка торчит конец - и так крутишь.</t>
  </si>
  <si>
    <t>И вот тут сейчас будет двухквартирный сразу, первый вот где виде =. Не первая... не первая дверь, а вторая -</t>
  </si>
  <si>
    <t>той сторону, и тут дочка у них живёт.</t>
  </si>
  <si>
    <t>И откуда такие слова берутся, я не знаю. Хм, как чёрт</t>
  </si>
  <si>
    <t>неба им сыпит.</t>
  </si>
  <si>
    <t>Не, надо</t>
  </si>
  <si>
    <t>маленького учить.</t>
  </si>
  <si>
    <t>Меня (мине) там тоже не учил никто</t>
  </si>
  <si>
    <t>маленького. Когда ж = вышла замуж, я научилась быстро.</t>
  </si>
  <si>
    <t>Всю жизнь не будешь</t>
  </si>
  <si>
    <t>мамкой, с папкой (с папком) жить. Ну.</t>
  </si>
  <si>
    <t>Всю жизнь не будешь с мамкой,</t>
  </si>
  <si>
    <t>папкой (с папком) жить. Ну.</t>
  </si>
  <si>
    <t>Всю жизнь не будешь с мамкой, с папкой (</t>
  </si>
  <si>
    <t>папком) жить. Ну.</t>
  </si>
  <si>
    <t>Не каждый мог, и как</t>
  </si>
  <si>
    <t>чего они его делали, не знаю. А не было, не у всех лапти.</t>
  </si>
  <si>
    <t>А то</t>
  </si>
  <si>
    <t>собой брали маленьких, небольших. Посадят (посодют). Да!</t>
  </si>
  <si>
    <t>Так</t>
  </si>
  <si>
    <t>собой носили.</t>
  </si>
  <si>
    <t>В ла = ходили лозу драли</t>
  </si>
  <si>
    <t>моей подругой. Она умёршая сейчас, моя подружка. Уж в семьдесят шестом году умерла, молодая.</t>
  </si>
  <si>
    <t>Прячемся, ну а кто в сено, кто куда. Всё ходили на ферму, ферма была, там такой был сарай</t>
  </si>
  <si>
    <t>сеном большой.</t>
  </si>
  <si>
    <t>Бабушка моя сторожить ходила вот этот скот на ферму, и я</t>
  </si>
  <si>
    <t>ней ходила.</t>
  </si>
  <si>
    <t>Было</t>
  </si>
  <si>
    <t>вечера в шесть часов идём уже с вечера, и до утра сидеть там.</t>
  </si>
  <si>
    <t>Было с вечера в шесть часов идём уже</t>
  </si>
  <si>
    <t>вечера, и до утра сидеть там.</t>
  </si>
  <si>
    <t>Было она каждую но = ходила смотреть скот ночью (ночь) и я</t>
  </si>
  <si>
    <t>ней. Проверяла что, мало какой хвор придёт и корову уведёт.</t>
  </si>
  <si>
    <t>И я</t>
  </si>
  <si>
    <t>ней.</t>
  </si>
  <si>
    <t>А утром домой идём вместе</t>
  </si>
  <si>
    <t>ней по тропинке.</t>
  </si>
  <si>
    <t>Вот эта корова</t>
  </si>
  <si>
    <t>бараном бывало. Баран такой был большой, такой он бодался (бался). Рога (роги) были такие большие.</t>
  </si>
  <si>
    <t>Или</t>
  </si>
  <si>
    <t>коровой бывало, с лопатой.</t>
  </si>
  <si>
    <t>Или с коровой бывало,</t>
  </si>
  <si>
    <t>лопатой.</t>
  </si>
  <si>
    <t>Бело = бело - к = и красными (красным) пятнами (пятнам), и вот да = давала было хлебцы, и было знала, что я в магазине работала. Она бывало с поля идёт сюда и стоит на крыльце так голову, открыт = дверь открыта (я) и смотрит. И пока я не пойду с магазина домой - её надо привязать на цепь, она не пойдёт ни</t>
  </si>
  <si>
    <t>кем. И вот было я иду, хлеб у меня (мине) в руке, и она за мной. Я её привяжу... Знала всё. Должна была лебёдка у магазина, чтобы я вышла. Знала, где я, потому что я кормила хлебом её, давала хлебца.</t>
  </si>
  <si>
    <t>голоду помирать эт = и = я не могу.</t>
  </si>
  <si>
    <t>Вот нарежу, когда суп редко, но варю. Почищу, нарежу таким ромбичком. И</t>
  </si>
  <si>
    <t>вечера начищу, утром или в обед только суп варю.</t>
  </si>
  <si>
    <t>А что я буду всё так это,</t>
  </si>
  <si>
    <t>голоду сидеть помирать?</t>
  </si>
  <si>
    <t>Это поешь, каша поешь. Чай сладкий же нельзя.</t>
  </si>
  <si>
    <t>чем его?</t>
  </si>
  <si>
    <t>Всё равно печенина овсяную сп = спиваю</t>
  </si>
  <si>
    <t>кружкой чая, овсянное только печенье.</t>
  </si>
  <si>
    <t>Вроде бы ты там немножко</t>
  </si>
  <si>
    <t>=, там галлон этой каши! Там совсем её много, надо есть - там ни как в больнице маленькая порция, кого там! Там вообще, завалишься.</t>
  </si>
  <si>
    <t>Вот так вот. Вот щи сварила, так поела этих щиц. Яйцо когда вот утром, яйцо</t>
  </si>
  <si>
    <t>кашей так чтобы это...</t>
  </si>
  <si>
    <t>огурцом каким, свежим?</t>
  </si>
  <si>
    <t>Я думаю, можно и</t>
  </si>
  <si>
    <t>солёным даже можно с огуречком.</t>
  </si>
  <si>
    <t>Я думаю, можно и с солёным даже можно</t>
  </si>
  <si>
    <t>огуречком.</t>
  </si>
  <si>
    <t>белым хлебом.</t>
  </si>
  <si>
    <t>чёрным, да?</t>
  </si>
  <si>
    <t>Можно, да. Я когда беру, они в пачёчичках, это, несколько пачек беру. Зато</t>
  </si>
  <si>
    <t>Потом я ещё такую травку покупаю, " Стевия " называется. Так её завариваешь, потом</t>
  </si>
  <si>
    <t>= процеживаешь, там, ложку или сколько. Она тоже сладенькая.</t>
  </si>
  <si>
    <t>Я вот горький такой Лариса иной раз привозит, горький, там чтобы было семьдесят, семьдесят пять или семьдесят семь этой, какао, пишет. Вот столечко (столечку) такую вот. Горький, горький, конечно,</t>
  </si>
  <si>
    <t>чаем. Ну долечки маловатые, что долечку, во...</t>
  </si>
  <si>
    <t>А иной раз так хочу</t>
  </si>
  <si>
    <t>чаем попить. Ну возьму одну конфетину, всё равно возьму. Такую вот, которая мне понравится. Вот я кружку побольше сделаю, с этой кружкой этот, эту конфетинку сопью.</t>
  </si>
  <si>
    <t>А иной раз так хочу с чаем попить. Ну возьму одну конфетину, всё равно возьму. Такую вот, которая мне понравится. Вот я кружку побольше сделаю,</t>
  </si>
  <si>
    <t>этой кружкой этот, эту конфетинку сопью.</t>
  </si>
  <si>
    <t>Та = вот было хочу мёду, думаю, сейчас бы намазала мёду и</t>
  </si>
  <si>
    <t>чаем. Так бы напилась, вот такая вот, есть их, нет.</t>
  </si>
  <si>
    <t>А такие были конфеты,</t>
  </si>
  <si>
    <t>черносливом облитые там шоколадом, таким.</t>
  </si>
  <si>
    <t>Да, большие,</t>
  </si>
  <si>
    <t>кунж = с черносливом (черносливых), с курагой (курагов). Бывало возьму одну, с этой те = сопью.</t>
  </si>
  <si>
    <t>Да, большие, с кунж =</t>
  </si>
  <si>
    <t>черносливом (черносливых), с курагой (курагов). Бывало возьму одну, с этой те = сопью.</t>
  </si>
  <si>
    <t>Да, большие, с кунж = с черносливом (черносливых),</t>
  </si>
  <si>
    <t>курагой (курагов). Бывало возьму одну, с этой те = сопью.</t>
  </si>
  <si>
    <t>Да, большие, с кунж = с черносливом (черносливых), с курагой (курагов). Бывало возьму одну,</t>
  </si>
  <si>
    <t>этой те = сопью.</t>
  </si>
  <si>
    <t>Тю, бабушка было даст два яичка, курочки. Раньше принимала магазин тут такой деревянный стоял, принимали яички. Даже по домам ходили, у кого куры, собирали яички раньше так. И было возят петушки, петушок и курочки, там разные, звёздочка. И было мы</t>
  </si>
  <si>
    <t>подружкой, это которая умерши, бежим два яичка, ой. Сколько там нам выходило петушков, я не знаю. И мы до Щ = своей деревни идём только так, посмотрим. А не едим. Домой, говорю, придём, дома, дома будем есть. Во как. Не за что было.</t>
  </si>
  <si>
    <t>Не на что было. Было давали в нагрузку конфеты были вот такие, подушечки. Они были</t>
  </si>
  <si>
    <t>= с как, с ку = такие кофейные, а были такие как - как кофейные и это...</t>
  </si>
  <si>
    <t>Не на что было. Было давали в нагрузку конфеты были вот такие, подушечки. Они были с =</t>
  </si>
  <si>
    <t>как, с ку = такие кофейные, а были такие как - как кофейные и это...</t>
  </si>
  <si>
    <t>Не на что было. Было давали в нагрузку конфеты были вот такие, подушечки. Они были с = с как,</t>
  </si>
  <si>
    <t>ку = такие кофейные, а были такие как - как кофейные и это...</t>
  </si>
  <si>
    <t>детства.</t>
  </si>
  <si>
    <t>Только вот оттуда,</t>
  </si>
  <si>
    <t>это =, от коров</t>
  </si>
  <si>
    <t>Всё пешком (пеший), это</t>
  </si>
  <si>
    <t>ума сойти (сойтись).</t>
  </si>
  <si>
    <t>Ещё? Не хочешь знакомиться</t>
  </si>
  <si>
    <t>девкой?</t>
  </si>
  <si>
    <t>Бывало</t>
  </si>
  <si>
    <t>песнями (песням) ходим с ним по деревне, как раньше.</t>
  </si>
  <si>
    <t>Бывало с песнями (песням) ходим</t>
  </si>
  <si>
    <t>ним по деревне, как раньше.</t>
  </si>
  <si>
    <t>По деревне ходили ещё</t>
  </si>
  <si>
    <t>песнями (песням) раньше.</t>
  </si>
  <si>
    <t>Я пошла</t>
  </si>
  <si>
    <t>ними (ним).</t>
  </si>
  <si>
    <t xml:space="preserve"> Я никогда не забуду, когда ты ходила</t>
  </si>
  <si>
    <t>песнями (песням) .</t>
  </si>
  <si>
    <t>это с Украины =</t>
  </si>
  <si>
    <t>С малины ни разу не пробовала, я потом как стала ходить по этим &lt; нрзб &gt;, хожу, они говорят, я говорю, Господи, где только я не побывала</t>
  </si>
  <si>
    <t>этими ягодами.</t>
  </si>
  <si>
    <t>А из фруктов ничего, ни</t>
  </si>
  <si>
    <t>каких не делала.</t>
  </si>
  <si>
    <t>Чуть соберёшь на какой - то на компот, и думаю, просто ребятам. А так нет такого, чтоб она =, конечно, надо побольше, чтоб на ведро набрать как следует, чтоб</t>
  </si>
  <si>
    <t>= это, с чего б сделать.</t>
  </si>
  <si>
    <t>Чуть соберёшь на какой - то на компот, и думаю, просто ребятам. А так нет такого, чтоб она =, конечно, надо побольше, чтоб на ведро набрать как следует, чтоб с = это,</t>
  </si>
  <si>
    <t>чего б сделать.</t>
  </si>
  <si>
    <t>какой не делала, ни с какой.</t>
  </si>
  <si>
    <t>Ни с какой не делала, ни</t>
  </si>
  <si>
    <t>какой.</t>
  </si>
  <si>
    <t>Вот, что ни делала, то не делала, ни</t>
  </si>
  <si>
    <t>Вот и я говорю, только</t>
  </si>
  <si>
    <t>этим вином наделала, говорю. Ой - ой, что это, чем занимаюсь – вина столько наделываю.</t>
  </si>
  <si>
    <t>Как получится – вот приятное такое, вот</t>
  </si>
  <si>
    <t>этого стала так одну норму делать.</t>
  </si>
  <si>
    <t>Это,</t>
  </si>
  <si>
    <t>самогонкой.</t>
  </si>
  <si>
    <t>Да, и это самое, и пришёл и говорит на мамку, собирались на утро</t>
  </si>
  <si>
    <t>ней идти и снесём было эту самогонку, а он пришёл и говорит: " Ой тетя Рита, поедем ", говорит, " сейчас поеду в Торопу, я тебя и свезу заодно ".</t>
  </si>
  <si>
    <t>Вот я только =</t>
  </si>
  <si>
    <t>завода мамку посадила, привязал = и приедет к с = подъезжает сюда сразу и милиция выходит – ну что ж, попалась мамка.</t>
  </si>
  <si>
    <t>Вот я только = с завода мамку посадила, привязал = и приедет к</t>
  </si>
  <si>
    <t>= подъезжает сюда сразу и милиция выходит – ну что ж, попалась мамка.</t>
  </si>
  <si>
    <t>тех пор было мамка только на дорогу если выйдет – она на дорогу не могла выходить, если я несу самогон я иду: " Мам, ну ты ж не несёшь ".</t>
  </si>
  <si>
    <t>Не ходи больше, говорю, я сама снесу, раз</t>
  </si>
  <si>
    <t>той женщиной мы теперь сговорились с этой женщиной.</t>
  </si>
  <si>
    <t>Не ходи больше, говорю, я сама снесу, раз с той женщиной мы теперь сговорились</t>
  </si>
  <si>
    <t>этой женщиной.</t>
  </si>
  <si>
    <t>Да, дочь, да какие раньше копейки сейчас не было денег отдадут всё, это у нас хорошо папкин это брат = работал в леспромхозе уже = он сразу привез мамке сразу денег и говорит, мамка заплатила и всё. А так сажали – у нас даже у одной женщины почти даже чуть ноги не отнялись, да, там тоже поймали</t>
  </si>
  <si>
    <t>этой самогонкой и всё.</t>
  </si>
  <si>
    <t>И на пирожки ему всегда хватало, бывало сидишь</t>
  </si>
  <si>
    <t>= девчонка со мной ехала с Осташкова, с деревни с этой.</t>
  </si>
  <si>
    <t>И на пирожки ему всегда хватало, бывало сидишь с = девчонка со мной ехала с Осташкова, с деревни</t>
  </si>
  <si>
    <t>этой.</t>
  </si>
  <si>
    <t>И вот он</t>
  </si>
  <si>
    <t>= с ней всегда поделится пополам, этот пирожок, но разделят.</t>
  </si>
  <si>
    <t>И вот он с =</t>
  </si>
  <si>
    <t>ней всегда поделится пополам, этот пирожок, но разделят.</t>
  </si>
  <si>
    <t>А нам было хватает, а я = а мне рубль тридцать даже оставалось, я старше была всех, рубль тридцать мне – мне сколько было, я всё собираю – ой всё, а что</t>
  </si>
  <si>
    <t>три се = на пять рублей было отдавать.</t>
  </si>
  <si>
    <t>понедельнику до субботы, в субботу мы уже уходим домой, идём домой, всё.</t>
  </si>
  <si>
    <t>В воскресенье мы, а что делать – в воскресенье некому ж =</t>
  </si>
  <si>
    <t>воскресенья пойдем сюда через пологи.</t>
  </si>
  <si>
    <t>А с = а там сразу был</t>
  </si>
  <si>
    <t>первого.</t>
  </si>
  <si>
    <t>Ну, далёко ж ходить было в Степаньково, вот попробуй идти на такую даль туда и назад. Это хорошо, что потом папка у меня работал шофёром – он было за нами приезжает в Степаньково – приедет за нами и</t>
  </si>
  <si>
    <t>нами тогда вот едет домой, нас везёт со школы, вот, кого там.</t>
  </si>
  <si>
    <t>Не, пап, ну ты ж зря вёз нас – ну сейчас поедем, всё, сейчас вот. Поговорит</t>
  </si>
  <si>
    <t>нами, стоит на дороге, стоит нам, разговаривает с нам, песни поёт и всё, и мы сидим на машине.</t>
  </si>
  <si>
    <t>Не, пап, ну ты ж зря вёз нас – ну сейчас поедем, всё, сейчас вот. Поговорит с нами, стоит на дороге, стоит нам, разговаривает</t>
  </si>
  <si>
    <t>нам, песни поёт и всё, и мы сидим на машине.</t>
  </si>
  <si>
    <t>Ой, что нам делать говорю, Коль, как, что мы будем делать</t>
  </si>
  <si>
    <t>братом?</t>
  </si>
  <si>
    <t>Я говорю, Коля, а сообразим мы</t>
  </si>
  <si>
    <t>тобой, потому что = плохо умеешь? Говорит поедем, повезём мы с тобой. Поехали, повезли, скорость выскочила только. В Панове там такая горушка есть, скорость выскочила.</t>
  </si>
  <si>
    <t>Я говорю, Коля, а сообразим мы с тобой, потому что = плохо умеешь? Говорит поедем, повезём мы</t>
  </si>
  <si>
    <t>тобой. Поехали, повезли, скорость выскочила только. В Панове там такая горушка есть, скорость выскочила.</t>
  </si>
  <si>
    <t>И они</t>
  </si>
  <si>
    <t>за = вот это шофёр другой был, говорю, был с деревни Ванька тоже такой, они поехали, были уже подпивши, и поехали в Степаньково – там же ж Никола, там еще подопьют.</t>
  </si>
  <si>
    <t>Ну. Был магазин в Степанькове, и в = в Степаньково привозили с пекарен хлеб, такая была</t>
  </si>
  <si>
    <t>= такая будочка была, хлеб возили в этой будочке.</t>
  </si>
  <si>
    <t>Он бы, я не знаю, он бы</t>
  </si>
  <si>
    <t>ума сошёл бы, а если как он = как пиво это пьют.</t>
  </si>
  <si>
    <t>Это я не знаю, он бы</t>
  </si>
  <si>
    <t>ума сошёл.</t>
  </si>
  <si>
    <t>Вот &lt; нрзб &gt; как вся молодежь только была</t>
  </si>
  <si>
    <t>= с полторашкам стоят все, он терпеть - то не мог, говорил, я не знаю. Баб, ты ж сам же, а сам какой ты, ты ж сам какой был?</t>
  </si>
  <si>
    <t>Вот &lt; нрзб &gt; как вся молодежь только была с =</t>
  </si>
  <si>
    <t>полторашкам стоят все, он терпеть - то не мог, говорил, я не знаю. Баб, ты ж сам же, а сам какой ты, ты ж сам какой был?</t>
  </si>
  <si>
    <t>Этот = раз на мотоцикле ехали</t>
  </si>
  <si>
    <t>коляской.</t>
  </si>
  <si>
    <t>Да, это как он не в столб, он столб как - то минул про = столб, он только сбил эту, фару</t>
  </si>
  <si>
    <t>этой стороны или зеркало.</t>
  </si>
  <si>
    <t>А он конечно Бог знает, он ж не думал, что попадет туда, что влетит так это</t>
  </si>
  <si>
    <t>А летом эт = не, Танька протапливает там у неё бывает, пускай это просыхает всё это</t>
  </si>
  <si>
    <t>зимы, а я не топлю её.</t>
  </si>
  <si>
    <t>Ну всё равно</t>
  </si>
  <si>
    <t>= &lt; нрзб &gt; не, когда = ты = ты понимаешь вот придешь не топлено как не топлено зайдешь в дом – вот сразу ж чувствуешь, что вот сырости, всё это всё это сырое, всё сыростью пахнет.</t>
  </si>
  <si>
    <t>этой стройкой, хоть бы когда это я кончу строиться, под старость лет строиться начала.</t>
  </si>
  <si>
    <t>Вот так. А то потом опять</t>
  </si>
  <si>
    <t>этими справками возиться, отстань ты.</t>
  </si>
  <si>
    <t>Ну ещё не кислый никакой &lt; нрзб &gt;, а где он будет теперь, тут яблоня</t>
  </si>
  <si>
    <t>этой стороны стояла, а теперь сук нынче отрезали,</t>
  </si>
  <si>
    <t>а</t>
  </si>
  <si>
    <t>этой стороны фасоль закрыла,</t>
  </si>
  <si>
    <t>траву</t>
  </si>
  <si>
    <t>= как полем, так траву на эту клали.</t>
  </si>
  <si>
    <t>Ну что повкуснее, что там было.</t>
  </si>
  <si>
    <t>первое время как увидишь, ой, ой, макароны есть, что ты...</t>
  </si>
  <si>
    <t>И праздновали, и весело, и все</t>
  </si>
  <si>
    <t>песнями... Одни песни были кругом в деревне.</t>
  </si>
  <si>
    <t>И метали было... Я не знаю, как это, метали сено</t>
  </si>
  <si>
    <t>обеда. Надо же метать его было эти адонки.</t>
  </si>
  <si>
    <t>А если она &lt; нрзб &gt;</t>
  </si>
  <si>
    <t>адонков</t>
  </si>
  <si>
    <t>Мы так</t>
  </si>
  <si>
    <t>братом один год метали, метали с ним, я говорю...</t>
  </si>
  <si>
    <t>Мы так с братом один год метали, метали</t>
  </si>
  <si>
    <t>ним, я говорю...</t>
  </si>
  <si>
    <t>Оставалось... Он может</t>
  </si>
  <si>
    <t>копной выходит. Я туда лезу, давай сейчас. Я... Брось, ну пока ж ты обнесешь это сено всё принесешь...</t>
  </si>
  <si>
    <t>А было</t>
  </si>
  <si>
    <t>гулянок если идем, то прям с гулянок прям на ферму.</t>
  </si>
  <si>
    <t>А было с гулянок если идем, то прям</t>
  </si>
  <si>
    <t>гулянок прям на ферму.</t>
  </si>
  <si>
    <t>Ой, я не знаю даже, господи,</t>
  </si>
  <si>
    <t>один что я как подумаю...</t>
  </si>
  <si>
    <t>И так вот и сами сдали, и всё, и</t>
  </si>
  <si>
    <t>тех пор. Так не стала, и не стала брать больше никого, не привыкнуть никак.</t>
  </si>
  <si>
    <t>А чего ты</t>
  </si>
  <si>
    <t>голыми ногами (голым ногам) даже?</t>
  </si>
  <si>
    <t>Ой...</t>
  </si>
  <si>
    <t>ума сойти... Зачем ходили?</t>
  </si>
  <si>
    <t>Знаешь, что нападают так, как они бегали</t>
  </si>
  <si>
    <t>реки с этой бегали, с прудки.</t>
  </si>
  <si>
    <t>Знаешь, что нападают так, как они бегали с реки</t>
  </si>
  <si>
    <t>этой бегали, с прудки.</t>
  </si>
  <si>
    <t>Знаешь, что нападают так, как они бегали с реки с этой бегали,</t>
  </si>
  <si>
    <t>прудки.</t>
  </si>
  <si>
    <t>Ой, говорит, бабушка, ну все нас заело, мы говорит, не могли там больше быть. Мы в реку, впрудку спустились, а</t>
  </si>
  <si>
    <t>прудки, говорит, вылезли...</t>
  </si>
  <si>
    <t>Всё, побуду немножко</t>
  </si>
  <si>
    <t>ними и назад, Я говорю, не, знаю, говорю, как мне, куда идти, где мы живем.</t>
  </si>
  <si>
    <t>Дождь как &lt; нрзб &gt; пойдет опять, чтоб не было б града. Дождь полбеды, уже чёрт</t>
  </si>
  <si>
    <t>ним, иди он.</t>
  </si>
  <si>
    <t>У них даже знать не знают, они ни</t>
  </si>
  <si>
    <t>кем даже не знаются, что за люди... Как это так!</t>
  </si>
  <si>
    <t>Жить</t>
  </si>
  <si>
    <t>соседом рядом и так не... Про человека не знать.</t>
  </si>
  <si>
    <t>А говорит, а я говорит, не выхожу, я не знаю, говорит, болеет, что</t>
  </si>
  <si>
    <t>ней...</t>
  </si>
  <si>
    <t>Скорее возьмут и уходят, их... Ни</t>
  </si>
  <si>
    <t>кем и там не поговоришь.</t>
  </si>
  <si>
    <t>А там, говорю, все</t>
  </si>
  <si>
    <t>завистью, вот все вот...</t>
  </si>
  <si>
    <t>Богом! Только дай Бог здоровья.</t>
  </si>
  <si>
    <t>Рядом</t>
  </si>
  <si>
    <t>соседом делят, чтобы вот ты именно вот так вот поставил изгородь</t>
  </si>
  <si>
    <t>Жил</t>
  </si>
  <si>
    <t>нами вместе.</t>
  </si>
  <si>
    <t>лица земли снесут, чтоб... Только по ихнему было.</t>
  </si>
  <si>
    <t>Да, Игорь и ветврач. Да, они учились вместе</t>
  </si>
  <si>
    <t>ней в этой, в Осташкове.</t>
  </si>
  <si>
    <t>Вот и все... Чтоб под старость лет придёт и будет сидеть</t>
  </si>
  <si>
    <t>удочкой.</t>
  </si>
  <si>
    <t xml:space="preserve"> Дедушка, – говорит, – ты понимаешь, мы	с	тобой будем делить, ты , – говорит...</t>
  </si>
  <si>
    <t>Я говорю... Я ему говорю: нет. Вот Никита когда приедет, папа</t>
  </si>
  <si>
    <t>мамой, тогда мы тебе, тогда ключи отдадим.</t>
  </si>
  <si>
    <t>А Юлька приехали</t>
  </si>
  <si>
    <t>Денисом, они его уже всё, вот вымыли, всё, спать.</t>
  </si>
  <si>
    <t>Мы отдали уже папе</t>
  </si>
  <si>
    <t>мамой. Ну тогда ладно, теперь я пошел домой, говорит.</t>
  </si>
  <si>
    <t>Я как увидала как она первый год, ну как это еще, ну когда</t>
  </si>
  <si>
    <t>Пашей... Павлович был тогда живой... Ай, как Павловича любила, я не могу...</t>
  </si>
  <si>
    <t>И она, Танька... Гляжу...</t>
  </si>
  <si>
    <t>Дружбой!</t>
  </si>
  <si>
    <t>Поговорить даже, ну... Ну</t>
  </si>
  <si>
    <t>кем, даже поговорить не с кем...</t>
  </si>
  <si>
    <t>Поговорить даже, ну... Ну с кем, даже поговорить не</t>
  </si>
  <si>
    <t>Она тоже как бы приезжает</t>
  </si>
  <si>
    <t>Танькой по = пого =... Я говорю, Тань, &lt; нрзб &gt;, я то знаю, где это Бурцо = Бурцева жила эта, где там до места это все.</t>
  </si>
  <si>
    <t>Я его только сама... Давай</t>
  </si>
  <si>
    <t>тобой съездим... &lt; нрзб &gt;. В этом, это...</t>
  </si>
  <si>
    <t>Хоть там красиво, хорошо, правильно, я</t>
  </si>
  <si>
    <t>тобой согласна.</t>
  </si>
  <si>
    <t>Я... Потому что у нас вот, я тут прожила эти, я тебе говорю самому, мне... Племянник мне вот</t>
  </si>
  <si>
    <t>Мос = с Москвы да, тоже тут ездит, Танин сын.</t>
  </si>
  <si>
    <t>Он это самое, ему было... он мне это сделал, у нас</t>
  </si>
  <si>
    <t>детства он все время был. Каждое лето он был таким маленьким...</t>
  </si>
  <si>
    <t>Зато я люблю народ, все время</t>
  </si>
  <si>
    <t>народом люблю, чтобы мне народ бы был.</t>
  </si>
  <si>
    <t>Всё молодежь была еще где, а пойдемте</t>
  </si>
  <si>
    <t>ребятами собираться, пошли сюда, пошли сюда, все сюда как - то.</t>
  </si>
  <si>
    <t>Да не, да я сильно тоже. Я рос один,</t>
  </si>
  <si>
    <t>матерью.</t>
  </si>
  <si>
    <t>Мужик нормальный, в хороших отношениях</t>
  </si>
  <si>
    <t>ним был..</t>
  </si>
  <si>
    <t>Он все</t>
  </si>
  <si>
    <t>ребятами с теми приезжал, потом уже здесь купил домишко.</t>
  </si>
  <si>
    <t>Он все с ребятами</t>
  </si>
  <si>
    <t>теми приезжал, потом уже здесь купил домишко.</t>
  </si>
  <si>
    <t>вот приехал</t>
  </si>
  <si>
    <t>утра, там, веники готовили,</t>
  </si>
  <si>
    <t>Так много ездило</t>
  </si>
  <si>
    <t>ним</t>
  </si>
  <si>
    <t>Ну Шурик там у нас</t>
  </si>
  <si>
    <t>той стороны, все!</t>
  </si>
  <si>
    <t>И Димка там</t>
  </si>
  <si>
    <t>тетей Таней помоложе, не знаю, на сколько, лет на семь.</t>
  </si>
  <si>
    <t>Лизой.</t>
  </si>
  <si>
    <t>У неё</t>
  </si>
  <si>
    <t>головой что - то не в поря = не в порядке.</t>
  </si>
  <si>
    <t>А эти не пустят, они... Они закрывши, спрятавши, вот что</t>
  </si>
  <si>
    <t>людьми становится.</t>
  </si>
  <si>
    <t>людьми случается.</t>
  </si>
  <si>
    <t>Отец умер, всё, что - то</t>
  </si>
  <si>
    <t>головой стало, женился.</t>
  </si>
  <si>
    <t>все. Вот как</t>
  </si>
  <si>
    <t>людьми что - то случил =, а был всё нормальный такой.</t>
  </si>
  <si>
    <t>этого, с Кремлёвской больницы.</t>
  </si>
  <si>
    <t>Доехал до Зеленограда, Там договорились</t>
  </si>
  <si>
    <t>ним на заправке. Стоим друг напротив друга,</t>
  </si>
  <si>
    <t>И приедет</t>
  </si>
  <si>
    <t>девкой.</t>
  </si>
  <si>
    <t>Уже</t>
  </si>
  <si>
    <t>невестой.</t>
  </si>
  <si>
    <t>печкой - то призатопишь (присутопишь).</t>
  </si>
  <si>
    <t>мужиком. Молодые. Не сказать, чтоб... Шестьдесят лет.</t>
  </si>
  <si>
    <t>Никого нет,</t>
  </si>
  <si>
    <t>которыми тута...</t>
  </si>
  <si>
    <t>Наверное ж судьба. вела нас</t>
  </si>
  <si>
    <t>ним. Видишь. Ну.</t>
  </si>
  <si>
    <t>ним, и всё.</t>
  </si>
  <si>
    <t>Ту её. Это ж такое взято это.</t>
  </si>
  <si>
    <t>этого (этому)...</t>
  </si>
  <si>
    <t>Вот. Сейчас вот... Я тоже ездила... На автобусе. Ну. Но уже, наверно,</t>
  </si>
  <si>
    <t>месяц не езжу (ездию). Ну.</t>
  </si>
  <si>
    <t>мера/приблизительно</t>
  </si>
  <si>
    <t>Она, бывало, говорит: " Тётя Зина, ты туда не... Не = не лезь в контору свою. Я сама разберусь</t>
  </si>
  <si>
    <t>ним (йим). "</t>
  </si>
  <si>
    <t>Она воспитывалась</t>
  </si>
  <si>
    <t>дядей (дядем), родители рано умерли.</t>
  </si>
  <si>
    <t>первой по четвёртую в Шетневе, всё.</t>
  </si>
  <si>
    <t>Екатерина Васильевна учила, потом Василий Никонорович с армии приехал,</t>
  </si>
  <si>
    <t>войны раненый, и учил нас.</t>
  </si>
  <si>
    <t>Они (оны)</t>
  </si>
  <si>
    <t>женой были вдвоём, вот они вели с = у нас уроки: один – одно, другой – другое, первый, второй класс, третий, четвёртый, вот так.</t>
  </si>
  <si>
    <t>Они (оны) с женой были вдвоём, вот они вели</t>
  </si>
  <si>
    <t>= у нас уроки: один – одно, другой – другое, первый, второй класс, третий, четвёртый, вот так.</t>
  </si>
  <si>
    <t>Это сейчас эт = (в) восемнадцать лет по дороге бегают, а мне четырнадцать – я уже ходила</t>
  </si>
  <si>
    <t>косой.</t>
  </si>
  <si>
    <t>А, ну это адонки большие</t>
  </si>
  <si>
    <t>= (сено)...</t>
  </si>
  <si>
    <t>Папка не пошёл и не стал</t>
  </si>
  <si>
    <t>ним (йим).</t>
  </si>
  <si>
    <t>Вот помнишь, один говорил</t>
  </si>
  <si>
    <t>Свердловской областью, другой забыла откуда вот они (оны) уходили.</t>
  </si>
  <si>
    <t>ним (им) = там американцы встречались на Эльбы и они (оны) там встречались, папка там был. Вот.</t>
  </si>
  <si>
    <t>Ну не, вот, папка, он уже в стро = в строевую негож был: у него (его) одна нога была короче, ну, ну, вот поэтому он там, наверное, и возил этих раненых</t>
  </si>
  <si>
    <t>=, вывозил с...</t>
  </si>
  <si>
    <t>Ну не, вот, папка, он уже в стро = в строевую негож был: у него (его) одна нога была короче, ну, ну, вот поэтому он там, наверное, и возил этих раненых с =, вывозил</t>
  </si>
  <si>
    <t>Тоже неправильно Бог рассуждает, надо</t>
  </si>
  <si>
    <t>= помирать старым, а молодым надо жить.</t>
  </si>
  <si>
    <t>Встали б те (тые) люди,</t>
  </si>
  <si>
    <t>ума сошли б, глянули б... как живут.</t>
  </si>
  <si>
    <t>какого я году бросил работать, с восемьдесят пят =.</t>
  </si>
  <si>
    <t>С какого я году бросил работать,</t>
  </si>
  <si>
    <t>восемьдесят пят =.</t>
  </si>
  <si>
    <t>какого года?</t>
  </si>
  <si>
    <t>Антоново, вот</t>
  </si>
  <si>
    <t>ним (им), с ним (им) место.</t>
  </si>
  <si>
    <t>Антоново, вот с ним (им),</t>
  </si>
  <si>
    <t>ним (им) место.</t>
  </si>
  <si>
    <t>А оттуда</t>
  </si>
  <si>
    <t>песнями (со песням) идут домой через лес, а батька, бывало, приедет уже &lt; нрзб &gt; поют песни &lt; нрзб &gt;.</t>
  </si>
  <si>
    <t>прошлого года осталось, было блядь &lt; нрзб &gt; площадь.</t>
  </si>
  <si>
    <t>Подойдёшь (подойдишь), вот так вот стоишь, и небо</t>
  </si>
  <si>
    <t>землёй сводится.</t>
  </si>
  <si>
    <t>Ну оттуда бегом прямо ко мне под ноги</t>
  </si>
  <si>
    <t>визгом.</t>
  </si>
  <si>
    <t>песнями.</t>
  </si>
  <si>
    <t>Ну как часто ты будешь ездить</t>
  </si>
  <si>
    <t>И это, ну так, делали что - нибудь наверху красивое,</t>
  </si>
  <si>
    <t>начинкой.</t>
  </si>
  <si>
    <t>А большинство работало. Я вот, знаете, в магазине отработала, сейчас у нас...</t>
  </si>
  <si>
    <t>девяносто шестого года. Вот сейчас я не работаю, так, хожу к ней когда ей туда надо. Вот двадцать... двадцать с семьдесят шестого, с девяносто шестого двадцать пять лет будет. В магазине, вот в этом ларьке работала. Вот. Двадцать пять.</t>
  </si>
  <si>
    <t>А большинство работало. Я вот, знаете, в магазине отработала, сейчас у нас... с девяносто шестого года. Вот сейчас я не работаю, так, хожу к ней когда ей туда надо. Вот двадцать... двадцать</t>
  </si>
  <si>
    <t>семьдесят шестого, с девяносто шестого двадцать пять лет будет. В магазине, вот в этом ларьке работала. Вот. Двадцать пять.</t>
  </si>
  <si>
    <t>А большинство работало. Я вот, знаете, в магазине отработала, сейчас у нас... с девяносто шестого года. Вот сейчас я не работаю, так, хожу к ней когда ей туда надо. Вот двадцать... двадцать с семьдесят шестого,</t>
  </si>
  <si>
    <t>девяносто шестого двадцать пять лет будет. В магазине, вот в этом ларьке работала. Вот. Двадцать пять.</t>
  </si>
  <si>
    <t>Двадцать пять. А до этого на.. на работала и на это, на библиотеке работала и в (у) клубе работала и почту носила. Почту носила совместно, и тут работала, и почту носила, у нас так почта такая: то Лариса, дочка свезет почту, то вот так менялись (менялися)</t>
  </si>
  <si>
    <t>ней</t>
  </si>
  <si>
    <t>Но помогали</t>
  </si>
  <si>
    <t>сеном дочка с зятем, косили, а убиралась в основном я, это самое.</t>
  </si>
  <si>
    <t>Но помогали с сеном дочка</t>
  </si>
  <si>
    <t>зятем, косили, а убиралась в основном я, это самое.</t>
  </si>
  <si>
    <t>По очереди, какая подходит. По два человека гонялись. Коров было много, по двадцать</t>
  </si>
  <si>
    <t>лишним и больше даже. Своих личных, а колхозных там - то вообще было много.</t>
  </si>
  <si>
    <t>Свои ходили продавцы по деревне, и сами носили, и бывало там дела, с Щелкино деревня за два километра</t>
  </si>
  <si>
    <t>подругой бывало: 'Бабушка, дай два яичка', - и бежим в магазин, чтоб купить петушков на палочке, по два петушка. Вот так, не было сладостей никаких, а сейчас: 'Ой, это невкусные конфеты, это я не буду, ой, не, такие не'. Вот так... А мы были рады хоть какой конфетинке</t>
  </si>
  <si>
    <t>Ой, они были тут, на пять дней приехадчи, там заменились</t>
  </si>
  <si>
    <t>кем - то, поработают, потом они поработают на них, на пять дней были приехадчи, на день города ездили. В воскресенье уехали только.</t>
  </si>
  <si>
    <t>Вот в ту деревню, там жила, Щелкино деревня, вот два километра, мы там жили раньше, и вот тут такой магазин стоял, где вот сейчас будочка (буточка), где ожидают автобус, тут на этом месте стоял магазин такой старенький и принимали вот яички. Было попросим у бабушки, бабушка дам, дай два яичка, то не было, все сдавалося. Бабушка даст, мы бегом</t>
  </si>
  <si>
    <t>моей подружкой, бежим, купим и не кушаем эти (этые) петушки, только посмотрим, до дома добежим, тогда начинаем кушать. Вот так</t>
  </si>
  <si>
    <t>Бабушка даст, мы бегом</t>
  </si>
  <si>
    <t>моей подружкой бежим, купим и не кушаем, петушки только посматриваем, до дома добежим, тогда начинаем кушать, вот так!</t>
  </si>
  <si>
    <t>Печка не, печку как поставишь, это самое,</t>
  </si>
  <si>
    <t>утра, стопишь, и она до вечера всё горячая</t>
  </si>
  <si>
    <t>Ай, у нас в последний раз учитель по физкультуры,</t>
  </si>
  <si>
    <t>это приезжал, так сказать, нам и говорил: 'а мы теперь их не заставляем, это же не нам надо, это же они для себя (себе) делают. Если они не понимают, что им надо учиться, значит, пожалуйста, идите... Идите.</t>
  </si>
  <si>
    <t>Против отец был</t>
  </si>
  <si>
    <t>Раньше мы не знали, что такое день рождения, нам их никогда не отмечали родители, потому что не</t>
  </si>
  <si>
    <t>чего было, не с чего было, и не было так заведено, что их отмечать, а сейчас ой, ой посмотришь, ой у одного день рождения, у другого, у третьего, четвертого, и все дни рождения.</t>
  </si>
  <si>
    <t>Раньше мы не знали, что такое день рождения, нам их никогда не отмечали родители, потому что не с чего было, не</t>
  </si>
  <si>
    <t>чего было, и не было так заведено, что их отмечать, а сейчас ой, ой посмотришь, ой у одного день рождения, у другого, у третьего, четвертого, и все дни рождения.</t>
  </si>
  <si>
    <t>Вот. Под воскресенье. Попали</t>
  </si>
  <si>
    <t>субботу на воскресенье, тогда гуляют, а вот ещё нынче (нонче) в среду. Не знаю, будет что, люди на работе. И на работу надо на другой день идти.</t>
  </si>
  <si>
    <t>Всё. Только придем утром</t>
  </si>
  <si>
    <t>подругой, только спать ложишься, только пригрелся...</t>
  </si>
  <si>
    <t>Там всего</t>
  </si>
  <si>
    <t>москвичами, может, человек шесть - восемь, если есть даже.</t>
  </si>
  <si>
    <t>Ой. как побежали все по деревне: 'Свет дали! Свет дали! ' Я как помню, мы</t>
  </si>
  <si>
    <t>этого конца туда бегом.</t>
  </si>
  <si>
    <t>Наверное, в школу ещё не ходила, потому что в школу я ходила, в начальные классы</t>
  </si>
  <si>
    <t>лампой.</t>
  </si>
  <si>
    <t>Вставали</t>
  </si>
  <si>
    <t>лампы в школу.</t>
  </si>
  <si>
    <t>вечера, с шести часов же тёмно на улице, в зимой.</t>
  </si>
  <si>
    <t>С вечера,</t>
  </si>
  <si>
    <t>шести часов же тёмно на улице, в зимой.</t>
  </si>
  <si>
    <t>Вот он сейчас в отпуске до августа уже.</t>
  </si>
  <si>
    <t>ию = С июля месяца, с первого пошел. И до августа он не будет.</t>
  </si>
  <si>
    <t>Вот он сейчас в отпуске до августа уже. С ию =</t>
  </si>
  <si>
    <t>июля месяца, с первого пошел. И до августа он не будет.</t>
  </si>
  <si>
    <t>Вот он сейчас в отпуске до августа уже. С ию = С июля месяца,</t>
  </si>
  <si>
    <t>первого пошел. И до августа он не будет.</t>
  </si>
  <si>
    <t>А мы</t>
  </si>
  <si>
    <t>чаем пьём.</t>
  </si>
  <si>
    <t>Алкаш звонит... Не хочу разговаривать</t>
  </si>
  <si>
    <t>Кашку манненькую и кормили</t>
  </si>
  <si>
    <t>ложечки. Уже когда была побольше, не говорю, уже такая.</t>
  </si>
  <si>
    <t>Поесть хлеба белого</t>
  </si>
  <si>
    <t>молоком или с чаем, у бабушки чай обварено мятой. Мята по всему дому, запах обалденно вкусно так пахнет мятой.</t>
  </si>
  <si>
    <t>Поесть хлеба белого с молоком или</t>
  </si>
  <si>
    <t>чаем, у бабушки чай обварено мятой. Мята по всему дому, запах обалденно вкусно так пахнет мятой.</t>
  </si>
  <si>
    <t>Да, у меня насушено ещё</t>
  </si>
  <si>
    <t>прошлого года, я сушу лист смороды...</t>
  </si>
  <si>
    <t>Туда молочка ещё сгущёного ложечку,</t>
  </si>
  <si>
    <t>батончиком.</t>
  </si>
  <si>
    <t>Срывали,</t>
  </si>
  <si>
    <t>сольцей. Молока бутылка...</t>
  </si>
  <si>
    <t>завернешь, он пропитается все мед,</t>
  </si>
  <si>
    <t>молочком поишь, и всё на этом.</t>
  </si>
  <si>
    <t>И потом холодный со сметаной,</t>
  </si>
  <si>
    <t>огурцом ели. Вот такая еда была.</t>
  </si>
  <si>
    <t>супом сметана, ну вкусно. Свежий, с огурцом, сметанка.</t>
  </si>
  <si>
    <t>Да, с супом сметана, ну вкусно. Свежий,</t>
  </si>
  <si>
    <t>огурцом, сметанка.</t>
  </si>
  <si>
    <t>И так она у меня стоит, ну печка топится</t>
  </si>
  <si>
    <t>утра, до обеда она стоит у печки, вытянешь печ =, менка жирная, молоко шоколадное.</t>
  </si>
  <si>
    <t>А всё. Топлёное</t>
  </si>
  <si>
    <t>хлебом, с кашей, с творожком, всё.</t>
  </si>
  <si>
    <t>А всё. Топлёное с хлебом,</t>
  </si>
  <si>
    <t>кашей, с творожком, всё.</t>
  </si>
  <si>
    <t>А всё. Топлёное с хлебом, с кашей,</t>
  </si>
  <si>
    <t>творожком, всё.</t>
  </si>
  <si>
    <t>Молотили его, потом стлали, тягали, тягала я</t>
  </si>
  <si>
    <t>= ходила с мамкой помогала, в поле тягали (в) ручную.</t>
  </si>
  <si>
    <t>Молотили его, потом стлали, тягали, тягала я с = ходила</t>
  </si>
  <si>
    <t>мамкой помогала, в поле тягали (в) ручную.</t>
  </si>
  <si>
    <t>Ту, наглые шли бабы и несли, карманы несли все полные такие, халаты большие</t>
  </si>
  <si>
    <t>карманами это, корзинка на плече, и баба такая у нас одна была - корзина большая, так она висит на шее, она впивши сама, вот так согнувши - тяжело!</t>
  </si>
  <si>
    <t>А компот же как делаем – тоже</t>
  </si>
  <si>
    <t>косточками (косточкам).</t>
  </si>
  <si>
    <t>с смороды чёрной и красной, когда сморода чёрная – и</t>
  </si>
  <si>
    <t>черникой вместе.</t>
  </si>
  <si>
    <t>На второй день, полный день, и</t>
  </si>
  <si>
    <t>собой берите, всё берите.</t>
  </si>
  <si>
    <t>Не = и</t>
  </si>
  <si>
    <t>курицей делает, и с грибами она делает.</t>
  </si>
  <si>
    <t>Не = и с курицей делает, и</t>
  </si>
  <si>
    <t>грибами она делает.</t>
  </si>
  <si>
    <t>Ой, ууу, укусит сразу, такой был строгий. Потом он, начальник поставила, мыши появились на почте, откуда – не знаю, она принесла с дому потравить, тушенка там</t>
  </si>
  <si>
    <t>чем - то у неё было, а я - то не знала. Мы пришли на почту, он шалык а он это съел, это всё. И как ему потом плохо, он всё, пил всё время, и потом он умёр, отравился.</t>
  </si>
  <si>
    <t>И он поехал, там</t>
  </si>
  <si>
    <t>каким - то с нашим, кто - то из наших был.</t>
  </si>
  <si>
    <t>И он поехал, там с каким - то</t>
  </si>
  <si>
    <t>нашим, кто - то из наших был.</t>
  </si>
  <si>
    <t>сестрой мы ей возили, помню, мясо.</t>
  </si>
  <si>
    <t>Оп, туда вот так, до шеи (шею) пускали и вон, пускали вон и,</t>
  </si>
  <si>
    <t>тех пор я...</t>
  </si>
  <si>
    <t>Ему наверно восемьдесят</t>
  </si>
  <si>
    <t>чем - то.</t>
  </si>
  <si>
    <t>Тут (тута) был, вот тут (тута) где сейчас тут построено дом, такие</t>
  </si>
  <si>
    <t>= такие большая эта свалка земле, у такая, как копёшка такая, тут клуб стоял у нас, деревянный был клуб.</t>
  </si>
  <si>
    <t>Машины приходят</t>
  </si>
  <si>
    <t>этого, пожарные тушат, так ты не затушишь.</t>
  </si>
  <si>
    <t>По деревьям лазят (лазиют), я один год пошла в эту самую, в клюкву пошли</t>
  </si>
  <si>
    <t>этим, с мужика моего племянник, он уже порядочный был...</t>
  </si>
  <si>
    <t>По деревьям лазят (лазиют), я один год пошла в эту самую, в клюкву пошли с этим,</t>
  </si>
  <si>
    <t>мужика моего племянник, он уже порядочный был...</t>
  </si>
  <si>
    <t>Там мужик один делал, он в кузнице работал, а такие санки, а мы</t>
  </si>
  <si>
    <t>горки ходили просили у них каждый день: " Дай покататься! ".</t>
  </si>
  <si>
    <t>По очереди, ну, заняты всё были санки, они такие как, знаешь, как в (у) картинках пока = в (у) книжках показывают такие,</t>
  </si>
  <si>
    <t>таким вот...</t>
  </si>
  <si>
    <t>И шли так хорошо</t>
  </si>
  <si>
    <t>горы, кататься на них было - ой...</t>
  </si>
  <si>
    <t>И мы</t>
  </si>
  <si>
    <t>= ходили со школы = в школу ходили со Щелкино в (у) Шетнево и брали с собой саночки, саночки такие торговые.</t>
  </si>
  <si>
    <t>И мы с = ходили со школы = в школу ходили со Щелкино в (у) Шетнево и брали</t>
  </si>
  <si>
    <t>собой саночки, саночки такие торговые.</t>
  </si>
  <si>
    <t>И вот там такая у нас гора крутая, и</t>
  </si>
  <si>
    <t>этой горы со школы санки бросали и с этой горы катались (каталися).</t>
  </si>
  <si>
    <t>И вот там такая у нас гора крутая, и с этой горы со школы санки бросали и</t>
  </si>
  <si>
    <t>этой горы катались (каталися).</t>
  </si>
  <si>
    <t>Крятки такие, два колеса из дерева, вырезанные</t>
  </si>
  <si>
    <t>Всё! Затянула б машина б туда тебя, может даже</t>
  </si>
  <si>
    <t>плечом вместе.</t>
  </si>
  <si>
    <t>Да, туфель не было, помню</t>
  </si>
  <si>
    <t>подругой: что делать, туфель нету!</t>
  </si>
  <si>
    <t>Поехали мы</t>
  </si>
  <si>
    <t>ней, купили туфли по красным</t>
  </si>
  <si>
    <t>Купили всё - таки мы</t>
  </si>
  <si>
    <t>ней, съездили, туфли себе: " завтра в клуб пойдём, оденем туфли эти. "</t>
  </si>
  <si>
    <t>Она</t>
  </si>
  <si>
    <t>собаками, я не знаю она... лучше человека собаки едят у неё, ой, такая собачница. " Тань, – я говорю, – я не могу, я б их быстро выгнала. "</t>
  </si>
  <si>
    <t>А мы жили вот там внизу, старенький дом, жили у его (егонных) родителей, ну а как</t>
  </si>
  <si>
    <t>родителями - родители, знаешь, всякие бывают.</t>
  </si>
  <si>
    <t>И свекрова</t>
  </si>
  <si>
    <t>председателем как - то ладила сильно, попросила его.</t>
  </si>
  <si>
    <t>Уже такой бывало большой, идёшь, а</t>
  </si>
  <si>
    <t>тобой забежит наперёд – на ручки!</t>
  </si>
  <si>
    <t>Чтоб стенка она б = холодная делается, обложку одеялом, положу ребёнка, сама</t>
  </si>
  <si>
    <t>краю,</t>
  </si>
  <si>
    <t>То</t>
  </si>
  <si>
    <t>машинами вот там было много, там было их и плю = игрушек эти все мягкие накуплено, там было игрушек, они побогаче, а у этих не за что было покупать,</t>
  </si>
  <si>
    <t>Ну спите, мне жалко, они</t>
  </si>
  <si>
    <t>дороги, ребёнок...</t>
  </si>
  <si>
    <t>Встречаюсь (встречаюся), говорит, сейчас я</t>
  </si>
  <si>
    <t>ними, бывает</t>
  </si>
  <si>
    <t>Потеряла одну просто, а другая - без одной же не будешь ходить</t>
  </si>
  <si>
    <t>одной.</t>
  </si>
  <si>
    <t>Я по чуть - чуть, да,</t>
  </si>
  <si>
    <t>чайком так, по капельке.</t>
  </si>
  <si>
    <t>Ешьте, вот так,</t>
  </si>
  <si>
    <t>собой заберёте (уберёте).</t>
  </si>
  <si>
    <t>Да, град был большой. Ну небольшой, ну такой, как сказать,</t>
  </si>
  <si>
    <t>горошину с хорошую.</t>
  </si>
  <si>
    <t>Да, град был большой. Ну небольшой, ну такой, как сказать, с горошину</t>
  </si>
  <si>
    <t>хорошую.</t>
  </si>
  <si>
    <t>У нас один год такой ураган был, ой, деревья повал = у нас давно была, деревья</t>
  </si>
  <si>
    <t>корнями всё были вырыто.</t>
  </si>
  <si>
    <t>Деревья вырывало</t>
  </si>
  <si>
    <t>корнями.</t>
  </si>
  <si>
    <t>Ну вот эт = к этой бабке нас мамка, она = я и рожала = мамка меня и рожала</t>
  </si>
  <si>
    <t>ней, она и роды принимала.</t>
  </si>
  <si>
    <t>Мама моя</t>
  </si>
  <si>
    <t>двадцать восьмого года была рождения, папка с двадцать второго.</t>
  </si>
  <si>
    <t>Мама моя с двадцать восьмого года была рождения, папка</t>
  </si>
  <si>
    <t>двадцать второго.</t>
  </si>
  <si>
    <t>Сейчас огурцов нету, я то их не сажала нонче, а у меня (мне) сейчас ещё</t>
  </si>
  <si>
    <t>прошлого года есть.</t>
  </si>
  <si>
    <t>укропчик. Опять всё это</t>
  </si>
  <si>
    <t>солью мешаешь и в кадушку.</t>
  </si>
  <si>
    <t>Такая, чем - то палка такая,</t>
  </si>
  <si>
    <t>чего там она, протыкаешь - дырки делаешь, чтоб выходил газ этот, там такой газ капустный будет, неприятный он конечно по запаху (запах), эта вся выходит горечь.</t>
  </si>
  <si>
    <t>картошечкой, ой.</t>
  </si>
  <si>
    <t>бабушкой ходили на посиделки, ходили вечером в деревню.</t>
  </si>
  <si>
    <t>А в школу ходили, а</t>
  </si>
  <si>
    <t>подругой лежим у бабушки, у бабушки в зале кровать стоит, а в кровати постельник такой и набито соломой.</t>
  </si>
  <si>
    <t>Говорит Западная Двина, говорит Западная Двина: "</t>
  </si>
  <si>
    <t>первого по такой - то класс занятия в школе отменяются - мороз ". Ой, радушки мы радушки, и ждём каждый день, когда будут передавать это, когда в школу не идти (итить).</t>
  </si>
  <si>
    <t>Ну на рыбалку ходили. Я помню мы</t>
  </si>
  <si>
    <t>братом (в) поле погнались...</t>
  </si>
  <si>
    <t>Ну погнались что - то по очереди</t>
  </si>
  <si>
    <t>коровами (коровам) с колхозными (колхозным)</t>
  </si>
  <si>
    <t>Ну погнались что - то по очереди с коровами (коровам)</t>
  </si>
  <si>
    <t>колхозными (колхозным)</t>
  </si>
  <si>
    <t>собой удочку забрал.</t>
  </si>
  <si>
    <t>девяносто шестого года.</t>
  </si>
  <si>
    <t>Ну а потом она... я уже</t>
  </si>
  <si>
    <t>А тут платим (плотим) мы два</t>
  </si>
  <si>
    <t>чем - то, два девяносто девять, а в магазине девять - а почему не знаю, что это, свет разный что ли?</t>
  </si>
  <si>
    <t>Ну.</t>
  </si>
  <si>
    <t>кровати. Вот</t>
  </si>
  <si>
    <t>Тут, бывало, приезжают</t>
  </si>
  <si>
    <t>завода.</t>
  </si>
  <si>
    <t>А, ну вот не знаю,</t>
  </si>
  <si>
    <t>чего берут такие клички, я не знаю.</t>
  </si>
  <si>
    <t>Ветка! Помню моя Ветка идёт</t>
  </si>
  <si>
    <t>поля, а Лёшка был внук маленький, вот у тебя гоню (гну) корову с поля. Ва = " Мам! " - на Лариску, - " бабин куст пошёл! ". Забыл, что Ветка, " бабин куст пошёл ".</t>
  </si>
  <si>
    <t>Бело = бело - к = и красными (красным) пятнами (пятнам), и вот да = давала было хлебцы, и было знала, что я в магазине работала. Она бывало с поля идёт сюда и стоит на крыльце так голову, открыт = дверь открыта (я) и смотрит. И пока я не пойду</t>
  </si>
  <si>
    <t>магазина домой - её надо привязать на цепь, она не пойдёт ни с кем. И вот было я иду, хлеб у меня (мине) в руке, и она за мной. Я её привяжу... Знала всё. Должна была лебёдка у магазина, чтобы я вышла. Знала, где я, потому что я кормила хлебом её, давала хлебца.</t>
  </si>
  <si>
    <t>Западной.</t>
  </si>
  <si>
    <t>И один</t>
  </si>
  <si>
    <t>Лук брал, по - моему, говорит.</t>
  </si>
  <si>
    <t>Заберёмся, шмыгаем все оттуда,</t>
  </si>
  <si>
    <t>этого сена. Сами все в сене, коров помогали доить. Раньше были такие фонари, свету не было, такие большие фонари, так переплетённые стёкла, чтобы они не разбились.</t>
  </si>
  <si>
    <t>И с творогом делали, и с изюмом, и</t>
  </si>
  <si>
    <t>этой... с муки (муке) делали. Бывало такое... на сковороды (сковороде) большую разрисуешь, сверху яичком сладким с песком расколотишь, с.. об... ам.. смажешь. И всё.</t>
  </si>
  <si>
    <t>Раньше прихожу своей бабушке, там, в соседней</t>
  </si>
  <si>
    <t>Щелкино деревню - то.</t>
  </si>
  <si>
    <t>Ну прослышишь так ка =: " ой, милиция " - тогда можешь куда - то уйти (войти) с =</t>
  </si>
  <si>
    <t>дому, чтобы приехал - замок.   </t>
  </si>
  <si>
    <t>ягод</t>
  </si>
  <si>
    <t>Пригнаться с поля. Пригнаться</t>
  </si>
  <si>
    <t>поля, надо &lt; нрзб &gt; опять доить</t>
  </si>
  <si>
    <t>А потом вот недельку в отпуску доча была Надя и тут</t>
  </si>
  <si>
    <t>мной была. А теперь вот я на зиму нынче если жива буду, на зиму уеду к ним. Зимовать там не буду.</t>
  </si>
  <si>
    <t>Говорит опять на скорой: " Ну что ", - говорит: " будем обманством заниматься</t>
  </si>
  <si>
    <t>скорой? " Да.</t>
  </si>
  <si>
    <t>А что если полить -</t>
  </si>
  <si>
    <t>шлангом. К колонке подключаем шланг, и со шланга полью если что надо.</t>
  </si>
  <si>
    <t>С осени тогда уже будешь знать, куда вот Витька</t>
  </si>
  <si>
    <t>своей сажает этой сажалкой.</t>
  </si>
  <si>
    <t>И ведь па... у неё сейчас ножки</t>
  </si>
  <si>
    <t>струнинки.</t>
  </si>
  <si>
    <t>Она, она меня жалеет, что всё. А ещё вот Надя, которая была</t>
  </si>
  <si>
    <t>мной у неё (ей) первый, первый этаж.</t>
  </si>
  <si>
    <t>Нет,</t>
  </si>
  <si>
    <t>мной свекровь жила.</t>
  </si>
  <si>
    <t>Мамка</t>
  </si>
  <si>
    <t>мной жила.</t>
  </si>
  <si>
    <t>Нет! Перед Пасхой до = домой привезли. В Пасху я была дома. За неделю вот как раз, неделю дочь</t>
  </si>
  <si>
    <t>мной была.</t>
  </si>
  <si>
    <t>Нет, мне свёкра... нет,</t>
  </si>
  <si>
    <t>свёкром не пришлось. Свёкр...</t>
  </si>
  <si>
    <t>Было это здание стоит, где садик был, там мой зять живёт. а тут напротив тоже Володька, зять. работал. Я тоже всю жизнь в лесу работал, и с соседом работал,</t>
  </si>
  <si>
    <t>Славиком, в лесу.</t>
  </si>
  <si>
    <t>А больше там таких и нету. Вот это, Витька Бараканов</t>
  </si>
  <si>
    <t>своей женой. Всё. Раньше была большая деревня, туда в школу ходили.</t>
  </si>
  <si>
    <t>Вот было катаемся, со школы идём, санки... В школу идём, санки бросаем... На этой (этый) горке.</t>
  </si>
  <si>
    <t>школы идём, катаемся.</t>
  </si>
  <si>
    <t>Щел... Раньше я родилась там, в той деревне, со Щелкино. Ходили... Бабушка было даст два яичка...</t>
  </si>
  <si>
    <t>Правда фельдшер</t>
  </si>
  <si>
    <t>мной ехала, и шофёр.</t>
  </si>
  <si>
    <t>своей свекровью.</t>
  </si>
  <si>
    <t>Приехадчи</t>
  </si>
  <si>
    <t>своей по = с девушкой.</t>
  </si>
  <si>
    <t>мной то были у нас.</t>
  </si>
  <si>
    <t>Пацаны тут</t>
  </si>
  <si>
    <t>мной.</t>
  </si>
  <si>
    <t>Я ходила на сено и они</t>
  </si>
  <si>
    <t>Ну и мы так идём со школы: на, ведут эту женщину - под руки, всё плачут, сын</t>
  </si>
  <si>
    <t>школы прибежал (прибег). Что сейчас - в тюрьму сажать.</t>
  </si>
  <si>
    <t>Там - то мы были,</t>
  </si>
  <si>
    <t>светом ходили - брага затёрта.</t>
  </si>
  <si>
    <t>Мужики, которые работали</t>
  </si>
  <si>
    <t>мной на ферме (фермы)...</t>
  </si>
  <si>
    <t>С малины, конечно, вкусная. Вкусная - вкусная.</t>
  </si>
  <si>
    <t>всего такого сделаешь с ягод – везде всё вкусное.</t>
  </si>
  <si>
    <t>Я буду сама приносить и всё что хочешь, ты не ходи ты</t>
  </si>
  <si>
    <t>И на пирожки ему всегда хватало, бывало сидишь с = девчонка</t>
  </si>
  <si>
    <t>мной ехала с Осташкова, с деревни с этой.</t>
  </si>
  <si>
    <t>А он конечно Бог знает, он ж не думал, что попадет туда, что влетит так это с =</t>
  </si>
  <si>
    <t>всей скорости.</t>
  </si>
  <si>
    <t>Тогда еще туда - сюда, ещё хоть там немножко пройдёшь, а это = тыркали всего, а завались – всё</t>
  </si>
  <si>
    <t>мной сразу, по бревну сюда &lt; нрзб &gt;, ногам не повернутся быстро, ой Господи.</t>
  </si>
  <si>
    <t>Ну подою корову, на поле надо</t>
  </si>
  <si>
    <t>своей коровой, очередь подходит.</t>
  </si>
  <si>
    <t>Я вот... Как я думала, что этот па =... Это = этот Сергей... Он бы продал бы ей бы этот... Ну не захотел ты б, ну сам паразит наследство не уступает... И ну зачем... Ну отдал бы ей бы этот... Что она на =...</t>
  </si>
  <si>
    <t>временем рухнет! Что он думает, ну!</t>
  </si>
  <si>
    <t>Всё навели света, тогда же</t>
  </si>
  <si>
    <t>мной случилось это да = давление...</t>
  </si>
  <si>
    <t>И он его всё, папку, уговаривал: " Давай</t>
  </si>
  <si>
    <t>мной работать ". Папка не согласился.</t>
  </si>
  <si>
    <t>А оттуда с песнями (</t>
  </si>
  <si>
    <t>песням) идут домой через лес, а батька, бывало, приедет уже &lt; нрзб &gt; поют песни &lt; нрзб &gt;.</t>
  </si>
  <si>
    <t>Вот пока сосать</t>
  </si>
  <si>
    <t>Вот пока сосать со =</t>
  </si>
  <si>
    <t>Вот пока сосать со = со =</t>
  </si>
  <si>
    <t>Вот пока сосать со = со = со =</t>
  </si>
  <si>
    <t>Даже ходила, я не знаю, теперь не помню... Но порядочная была! Потому что у нас дом строился, а</t>
  </si>
  <si>
    <t>Щелкиным этим плотником, который строили дом, я носила обед. В бидонах (битонах) там мамка наливала в бидоны (битоны), там суп, картошку какую, и я им (йим) носила сюда еду, обед. Помню это. Вот.</t>
  </si>
  <si>
    <t>И потом холодный</t>
  </si>
  <si>
    <t>сметаной, с огурцом ели. Вот такая еда была.</t>
  </si>
  <si>
    <t>Ну сейчас когда свадьбу делают, это надо и конечно интересно смотреть, когда</t>
  </si>
  <si>
    <t>стороны, а когда мы - там свои были собравши, ну.</t>
  </si>
  <si>
    <t>А вот у меня (мене) жила свёкр</t>
  </si>
  <si>
    <t>свекровой, они были однофамильцы.</t>
  </si>
  <si>
    <t>взрослыми, взрослые вон уже по = купаются, а мы сидим на берегу.</t>
  </si>
  <si>
    <t>мной всё спать ходила, было скажу: " Муська! "</t>
  </si>
  <si>
    <t>Она ж небольшенька, идёт. И</t>
  </si>
  <si>
    <t>мной ляжет. Хорошенькая.</t>
  </si>
  <si>
    <t>льна это вот это, когда лён оказался на поле &lt; нрзб &gt;.</t>
  </si>
  <si>
    <t>Не - не, а нам тоже хочется</t>
  </si>
  <si>
    <t>кем - то посидеть. Давайте, девчонки, а</t>
  </si>
  <si>
    <t>иси2010</t>
  </si>
  <si>
    <t>вами побыть.</t>
  </si>
  <si>
    <t>Вон,</t>
  </si>
  <si>
    <t>девчонками не поедешь?</t>
  </si>
  <si>
    <t>Да вон, в Кадникове тоже там</t>
  </si>
  <si>
    <t>Москвой играется вон.</t>
  </si>
  <si>
    <t>чаем.</t>
  </si>
  <si>
    <t>Вон сегодня были</t>
  </si>
  <si>
    <t>дедушкой черники набрали маленько.</t>
  </si>
  <si>
    <t>Со знакомыми - вот</t>
  </si>
  <si>
    <t>мамой чертовщина, и вот.</t>
  </si>
  <si>
    <t>О!</t>
  </si>
  <si>
    <t>детьми с ума сходить.</t>
  </si>
  <si>
    <t>мальчишками! Играть.</t>
  </si>
  <si>
    <t>Они</t>
  </si>
  <si>
    <t>супругом были где, на севере, да?</t>
  </si>
  <si>
    <t>Ой весело,</t>
  </si>
  <si>
    <t>драками.</t>
  </si>
  <si>
    <t>Мы</t>
  </si>
  <si>
    <t>братом там всё проверяли.</t>
  </si>
  <si>
    <t>Это, солнце... Вот это у него сделано из щуки из большой, двенадцать</t>
  </si>
  <si>
    <t>половиной килограмм или двенадцать шестьсот...</t>
  </si>
  <si>
    <t>Выиграл.</t>
  </si>
  <si>
    <t>Казанью они, с латышами, Казань.</t>
  </si>
  <si>
    <t>Выиграл. С Казанью они,</t>
  </si>
  <si>
    <t>латышами, Казань.</t>
  </si>
  <si>
    <t>А когда... Нынче он и, говорят, вот мой брат рядом</t>
  </si>
  <si>
    <t>речкой живёт, то он не трещал. Вот он &lt; где же это самое &gt;...</t>
  </si>
  <si>
    <t>Кто знает, кто</t>
  </si>
  <si>
    <t>какими, например... Например, моя мама обратилась к ней с ногами.</t>
  </si>
  <si>
    <t>Кто знает, кто с какими, например... Например, моя мама обратилась к ней</t>
  </si>
  <si>
    <t>ногами.</t>
  </si>
  <si>
    <t>детьми приезжали.</t>
  </si>
  <si>
    <t>Не, вот, а эта, Ирка Сидорович, вот</t>
  </si>
  <si>
    <t>бабой Зиной она в Кадникове рядом жила, сейчас она умерла.</t>
  </si>
  <si>
    <t>Вот я</t>
  </si>
  <si>
    <t>ним ходила, вот вот это могу рассказать.</t>
  </si>
  <si>
    <t>А у него была первая жена, вот он</t>
  </si>
  <si>
    <t>ней поделился этим = этим заговором, и она вперёд его умерла.</t>
  </si>
  <si>
    <t>Потом он</t>
  </si>
  <si>
    <t>чем - то, помню Бабуля варила, с маслом сливочным.</t>
  </si>
  <si>
    <t>Потом он с чем - то, помню Бабуля варила,</t>
  </si>
  <si>
    <t>маслом сливочным.</t>
  </si>
  <si>
    <t>Мы вначале в Емельянцеве семьёй жили, а потом тут, дед</t>
  </si>
  <si>
    <t>бабкой здесь умерли, сюда мы переехали.</t>
  </si>
  <si>
    <t>А дядька жил вот в начале в Барабанах там</t>
  </si>
  <si>
    <t>матерью, с отцом, потом себе в Белках дом построил.</t>
  </si>
  <si>
    <t>А дядька жил вот в начале в Барабанах там с матерью,</t>
  </si>
  <si>
    <t>отцом, потом себе в Белках дом построил.</t>
  </si>
  <si>
    <t>О! С детьми</t>
  </si>
  <si>
    <t>ума сходить.</t>
  </si>
  <si>
    <t>А он чёрненький, мы его</t>
  </si>
  <si>
    <t>детства так и прозвали. Цыган - цыган.</t>
  </si>
  <si>
    <t>временное значение</t>
  </si>
  <si>
    <t>А это их дети уже остались, они уже я не знаю</t>
  </si>
  <si>
    <t>каких пор здесь.</t>
  </si>
  <si>
    <t>Не, родились они, по - моему, не здесь, но</t>
  </si>
  <si>
    <t>детства они здесь... находятся.</t>
  </si>
  <si>
    <t>Много в общем там построено было, и вот</t>
  </si>
  <si>
    <t>каждого предприятия давали вот эти путёвки детям.</t>
  </si>
  <si>
    <t>Где мы жили, это всё снесено</t>
  </si>
  <si>
    <t>брёвен.</t>
  </si>
  <si>
    <t>Привезли... С амбара со старинного...</t>
  </si>
  <si>
    <t>Да где что я = со = состоит, вы что, &lt; осталось &gt;</t>
  </si>
  <si>
    <t>тех временем, всё обваливается.</t>
  </si>
  <si>
    <t>Это потом стали вот у нас сверху сделали вот</t>
  </si>
  <si>
    <t>улицы отсюда можно... бросать.</t>
  </si>
  <si>
    <t>Ну это ещё и моя мама тут не работала</t>
  </si>
  <si>
    <t>отцом, когда Красное Серово, это сразу после войны как - то были.</t>
  </si>
  <si>
    <t>Но она уже ткала</t>
  </si>
  <si>
    <t>таких... Как бы сказать...</t>
  </si>
  <si>
    <t>как =, с тряпочек, вот, такие делали...</t>
  </si>
  <si>
    <t>этих с болот собирали, в машины вот эти специальные торф, сушили, привозили машинами.</t>
  </si>
  <si>
    <t>Двенадцать</t>
  </si>
  <si>
    <t>половиной.</t>
  </si>
  <si>
    <t>Какие там, горшок на горшок как - то, корыто такое &lt;</t>
  </si>
  <si>
    <t>ручкой &gt;. И гнали.</t>
  </si>
  <si>
    <t>Когда, вот раньше старики пост соблюдали, то они ели, знаешь, вот эту,</t>
  </si>
  <si>
    <t>маслом растительным уже, они никогда это...</t>
  </si>
  <si>
    <t>Ну кутью обыкновенно</t>
  </si>
  <si>
    <t>рисом, там могли вот пшено де = это, не пшено, а пшеницу.</t>
  </si>
  <si>
    <t>пшеницей варили вот ещё.</t>
  </si>
  <si>
    <t>Ну вот тут, как говорили, молитву читают перед киселём. Когда вот кисель поели, из - за стола тогда готовь,</t>
  </si>
  <si>
    <t>поминок.</t>
  </si>
  <si>
    <t>Вот выделили деньги,</t>
  </si>
  <si>
    <t>этого, сколько - то с прихода дали...</t>
  </si>
  <si>
    <t>Вот выделили деньги, с этого, сколько - то</t>
  </si>
  <si>
    <t>прихода дали...</t>
  </si>
  <si>
    <t>С Опочки,</t>
  </si>
  <si>
    <t>профтехучилища.</t>
  </si>
  <si>
    <t>Женщина,</t>
  </si>
  <si>
    <t>мас = с ребятами с этих, с училищ, они вот штукатуры - маляры, вот это всё они, кое - что они подрабатывали на эти деньги.</t>
  </si>
  <si>
    <t>Женщина, с мас =</t>
  </si>
  <si>
    <t>ребятами с этих, с училищ, они вот штукатуры - маляры, вот это всё они, кое - что они подрабатывали на эти деньги.</t>
  </si>
  <si>
    <t>Женщина, с мас = с ребятами</t>
  </si>
  <si>
    <t>этих, с училищ, они вот штукатуры - маляры, вот это всё они, кое - что они подрабатывали на эти деньги.</t>
  </si>
  <si>
    <t>= да - да - да - да, славянском, на славянском вот этом языке.</t>
  </si>
  <si>
    <t>Чере = зачем через лес, по асфальту и там наверное два</t>
  </si>
  <si>
    <t>половиной километра до Матюшкино.</t>
  </si>
  <si>
    <t>Конечно.</t>
  </si>
  <si>
    <t>поворота вот...</t>
  </si>
  <si>
    <t>&lt; В начале - то ездят. &gt; Автобус, когда школьников нет,</t>
  </si>
  <si>
    <t>поворота два с половиной километра.</t>
  </si>
  <si>
    <t>&lt; В начале - то ездят. &gt; Автобус, когда школьников нет, с поворота два</t>
  </si>
  <si>
    <t>половиной километра.</t>
  </si>
  <si>
    <t>Да, вот</t>
  </si>
  <si>
    <t>переносным ящиком мы приехали и голосуют.</t>
  </si>
  <si>
    <t>По Пушкиногорской дороге вот там Порядино, Коровкино, это тоже восемь</t>
  </si>
  <si>
    <t>ли = (лишним) девять километров.</t>
  </si>
  <si>
    <t>Там Валера этот, как его, он бывший офицер вот тут приехал</t>
  </si>
  <si>
    <t>женой здесь, в этот, в (нрзб), тоже только так вот...</t>
  </si>
  <si>
    <t>Где - то он... И там он и жил, он буква = он недавно сюда переехали</t>
  </si>
  <si>
    <t>женой, жена теперь умерла.</t>
  </si>
  <si>
    <t>Ну вот есть люди как</t>
  </si>
  <si>
    <t>сурдопереводом, вот им больше, они вот что - то говорят, есть в них речь, а нужно им больше показывать на пальцах.</t>
  </si>
  <si>
    <t>А сейчас там дачи вдоль речки</t>
  </si>
  <si>
    <t>той стороны.</t>
  </si>
  <si>
    <t>Ну &lt; нрзб &gt;: уезжай с Ленинграда, езжай,</t>
  </si>
  <si>
    <t>астмой своей уезжай.</t>
  </si>
  <si>
    <t>Я уехал, вот уже двадцать</t>
  </si>
  <si>
    <t>лишним лет здесь живу.</t>
  </si>
  <si>
    <t>Мы здесь</t>
  </si>
  <si>
    <t>женой жили, жена умерла вот у меня... в пятнадцатом году.</t>
  </si>
  <si>
    <t>(нрзб)</t>
  </si>
  <si>
    <t>(?) той, я не знаю, я не клал, я не знаю, ну вот. Я знаю, что (нрзб), здесь тепло идёт.</t>
  </si>
  <si>
    <t>Потихонечку, как</t>
  </si>
  <si>
    <t>(нрзб), как заняться спортом называется.</t>
  </si>
  <si>
    <t>Но она вот... Так</t>
  </si>
  <si>
    <t>неё дети (нрзб), поди сыновья (нрзб)</t>
  </si>
  <si>
    <t>кем?</t>
  </si>
  <si>
    <t>Две</t>
  </si>
  <si>
    <t>поло = две с половиной тысячи отсюда.</t>
  </si>
  <si>
    <t>Две с поло = две</t>
  </si>
  <si>
    <t>половиной тысячи отсюда.</t>
  </si>
  <si>
    <t>Она живёт</t>
  </si>
  <si>
    <t>Ну, как... Гуляли люди</t>
  </si>
  <si>
    <t>Поговорите</t>
  </si>
  <si>
    <t>ней тут, давайте.</t>
  </si>
  <si>
    <t>Нет памяти нисколько, даже</t>
  </si>
  <si>
    <t>= соседей забыла, как звать.</t>
  </si>
  <si>
    <t>работой эдак так,</t>
  </si>
  <si>
    <t>Помню только, там,</t>
  </si>
  <si>
    <t>братом, в окопах,</t>
  </si>
  <si>
    <t>Приходят они (йаны)</t>
  </si>
  <si>
    <t>работы, а нас дома нет, ну так, папа с мамой тогда нам... нас ловят.</t>
  </si>
  <si>
    <t>Приходят они (йаны) с работы, а нас дома нет, ну так, папа</t>
  </si>
  <si>
    <t>мамой тогда нам... нас ловят.</t>
  </si>
  <si>
    <t>мужем рас = познакомились?</t>
  </si>
  <si>
    <t>И мальчишки придут</t>
  </si>
  <si>
    <t>бо =, вот, с бо = с большого, со взрослых</t>
  </si>
  <si>
    <t>И мальчишки придут с бо =, вот,</t>
  </si>
  <si>
    <t>бо = с большого, со взрослых</t>
  </si>
  <si>
    <t>И мальчишки придут с бо =, вот, с бо =</t>
  </si>
  <si>
    <t>большого, со взрослых</t>
  </si>
  <si>
    <t>что мы - то вот, девочки</t>
  </si>
  <si>
    <t>девочкою, и мальчиков нету никого.</t>
  </si>
  <si>
    <t>Не</t>
  </si>
  <si>
    <t>чего было справлять свадьбу, это теперь друг перед другом</t>
  </si>
  <si>
    <t>Ну что</t>
  </si>
  <si>
    <t>этого?</t>
  </si>
  <si>
    <t>Нет, не надо, не - не - не, мой хороший, не - не - не, это тоже, я только - только приехала с магазина и чай купила, и вот это, я прям с Опочки,</t>
  </si>
  <si>
    <t>этого.</t>
  </si>
  <si>
    <t>Ну вот,</t>
  </si>
  <si>
    <t>ней, да,</t>
  </si>
  <si>
    <t>Милые, это вот она приехавши</t>
  </si>
  <si>
    <t>= у меня с Ленинграда, а так она б жила в Ленинграде.</t>
  </si>
  <si>
    <t>вот, в</t>
  </si>
  <si>
    <t>Кто в</t>
  </si>
  <si>
    <t>=</t>
  </si>
  <si>
    <t>В землю</t>
  </si>
  <si>
    <t>лопатой не полезет.</t>
  </si>
  <si>
    <t>сестрой - то я по = постарше же.</t>
  </si>
  <si>
    <t>пошла косить вместе</t>
  </si>
  <si>
    <t>людьми.</t>
  </si>
  <si>
    <t>и я пошла</t>
  </si>
  <si>
    <t>ними (йим) опять косить.</t>
  </si>
  <si>
    <t>И всю жизнь</t>
  </si>
  <si>
    <t>Их</t>
  </si>
  <si>
    <t>зерном в Опочку возила, государство отправляло по семь мешков.</t>
  </si>
  <si>
    <t>свесите</t>
  </si>
  <si>
    <t>м =</t>
  </si>
  <si>
    <t>по трапу полезла</t>
  </si>
  <si>
    <t>мешком, а сама с мешок.</t>
  </si>
  <si>
    <t>по трапу полезла с мешком, а сама</t>
  </si>
  <si>
    <t>мешок.</t>
  </si>
  <si>
    <t>мера/сопоставление</t>
  </si>
  <si>
    <t>на тележку, тележку</t>
  </si>
  <si>
    <t>конём свешивай ".</t>
  </si>
  <si>
    <t>кто навяжет маленькие такие, эти,</t>
  </si>
  <si>
    <t>килограмм с полтора,</t>
  </si>
  <si>
    <t>кто навяжет маленькие такие, эти, с килограмм</t>
  </si>
  <si>
    <t>полтора,</t>
  </si>
  <si>
    <t>и</t>
  </si>
  <si>
    <t>самой течёт - течёт всё как вот с воды вылезши.</t>
  </si>
  <si>
    <t>тебя за стол</t>
  </si>
  <si>
    <t>ними (йих)</t>
  </si>
  <si>
    <t>Вот эта, которая приезжала, она</t>
  </si>
  <si>
    <t>нашего</t>
  </si>
  <si>
    <t>ним (йим) приехали ".</t>
  </si>
  <si>
    <t>Опочкой.</t>
  </si>
  <si>
    <t>А я - то</t>
  </si>
  <si>
    <t>мамой.</t>
  </si>
  <si>
    <t>А папа и</t>
  </si>
  <si>
    <t>печки не слез,</t>
  </si>
  <si>
    <t>повели меня к Матюшкино</t>
  </si>
  <si>
    <t>&lt; нрзб &gt;.</t>
  </si>
  <si>
    <t>Все &lt; держим &gt;, все держим - как</t>
  </si>
  <si>
    <t>ума сошёл,</t>
  </si>
  <si>
    <t>Поеду к врачам</t>
  </si>
  <si>
    <t>поговорю, говорит: " Он может задавиться ".</t>
  </si>
  <si>
    <t>Раю - то пое =</t>
  </si>
  <si>
    <t>И стоит он на верё =</t>
  </si>
  <si>
    <t>верёвкою.</t>
  </si>
  <si>
    <t>Можно мне</t>
  </si>
  <si>
    <t>вами поговорить тоже?</t>
  </si>
  <si>
    <t>Рассказываю, как</t>
  </si>
  <si>
    <t>= отец твой вас на вилы, в</t>
  </si>
  <si>
    <t>Ну она такая дешёвенькая была,</t>
  </si>
  <si>
    <t>... яблочные всякие, там, и с красной, и это...</t>
  </si>
  <si>
    <t>Ну она такая дешёвенькая была, с... яблочные всякие, там, и</t>
  </si>
  <si>
    <t>красной, и это...</t>
  </si>
  <si>
    <t>Холо = холодным кипятком наливают, а потом этот хлеб, вот, чёрный, &lt;</t>
  </si>
  <si>
    <t>солодового &gt;.</t>
  </si>
  <si>
    <t>С песку &lt; нрзб &gt;,</t>
  </si>
  <si>
    <t>песку делают квасы.</t>
  </si>
  <si>
    <t>Добавятся</t>
  </si>
  <si>
    <t>песочком, вот и квас.</t>
  </si>
  <si>
    <t>Не ес = забыла даже ж, никого не помню, никого, &lt; нрзб &gt; вот так вот</t>
  </si>
  <si>
    <t>вами...</t>
  </si>
  <si>
    <t>не м = не</t>
  </si>
  <si>
    <t>= хороший т =</t>
  </si>
  <si>
    <t>Идите, идите, детки, задерживаю вас. Мне вот интересно тоже</t>
  </si>
  <si>
    <t>вами поговорить.</t>
  </si>
  <si>
    <t>помоложе, расскажут, поговорят</t>
  </si>
  <si>
    <t>колоде =</t>
  </si>
  <si>
    <t>- под одеяла,</t>
  </si>
  <si>
    <t>Мокрая, о как, она как на экзамене сидела</t>
  </si>
  <si>
    <t>А девочка та где, которая</t>
  </si>
  <si>
    <t>косичкой?</t>
  </si>
  <si>
    <t>У меня муж есть... Ну я</t>
  </si>
  <si>
    <t>русским живу. А... его (евоный) батька...</t>
  </si>
  <si>
    <t>Все, буквально, (нрзб) по дороге идёте, все сидят</t>
  </si>
  <si>
    <t>Конечно, а как. У нас сегодня варенье уже сварила, когда не продала вчера. Три дня ходила</t>
  </si>
  <si>
    <t>этой земляникой, не продать было на дороге.</t>
  </si>
  <si>
    <t>Практически народа не... Днём не найдёшь</t>
  </si>
  <si>
    <t>огнём!</t>
  </si>
  <si>
    <t>Да, у всех на крещение, вот у меня</t>
  </si>
  <si>
    <t>той двери, с той стороны, тут это не, а с той стороны да.</t>
  </si>
  <si>
    <t>Да, у всех на крещение, вот у меня с той двери,</t>
  </si>
  <si>
    <t>той стороны, тут это не, а с той стороны да.</t>
  </si>
  <si>
    <t>Да, у всех на крещение, вот у меня с той двери, с той стороны, тут это не, а</t>
  </si>
  <si>
    <t>той стороны да.</t>
  </si>
  <si>
    <t>Он там заболел даже, бедный. Вот, ну отсюда он взят, да,</t>
  </si>
  <si>
    <t>земли.</t>
  </si>
  <si>
    <t>Я наоборот с города его притаскивала</t>
  </si>
  <si>
    <t>клещами, с Ленинграда.</t>
  </si>
  <si>
    <t>У нас как - то простой язык, скажи. Вон водишься</t>
  </si>
  <si>
    <t>девчонками, да растёшь вон вместе со школы...</t>
  </si>
  <si>
    <t>И они вместе</t>
  </si>
  <si>
    <t>нами вырастают и понимают наш язык. Они спросят, как вот это, как вот это, мы учим их.</t>
  </si>
  <si>
    <t>Вот я тут (?) когда по Ленинграду</t>
  </si>
  <si>
    <t>ней ходила выгуливать, я по - цыгански тихонько шепчу. А там же многие гуляют с собачками.</t>
  </si>
  <si>
    <t>Вот я тут (?) когда по Ленинграду с ней ходила выгуливать, я по - цыгански тихонько шепчу. А там же многие гуляют</t>
  </si>
  <si>
    <t>собачками.</t>
  </si>
  <si>
    <t>(нрзб). Никто у нас нигде ничего. Вон мы детей и то ругаем, когда что - то дети вон бегают</t>
  </si>
  <si>
    <t>чем - то. А у них палки, у этого топорик дедов взят, видишь, бегают тут.</t>
  </si>
  <si>
    <t>Ваши, городс = вот городские &lt; дела прошлого &gt;, вот сколько я работала</t>
  </si>
  <si>
    <t>девчонками, и всё равно наши выживают, народ наш выживает.</t>
  </si>
  <si>
    <t>Да, да, да, вот сколько я</t>
  </si>
  <si>
    <t>девчонками работала, и там предприятия всякие, и на заводах вот я работала, и в порту я работала в Автово вот...</t>
  </si>
  <si>
    <t>Сажаем, видишь, оно же перегниёт</t>
  </si>
  <si>
    <t>листов даже.</t>
  </si>
  <si>
    <t>Ходили. И там</t>
  </si>
  <si>
    <t>девчонками ездили за Ленинград.</t>
  </si>
  <si>
    <t>Всяких разных</t>
  </si>
  <si>
    <t>них, с этого скидывают.</t>
  </si>
  <si>
    <t>Всяких разных с них,</t>
  </si>
  <si>
    <t>этого скидывают.</t>
  </si>
  <si>
    <t>Как - то гуляли</t>
  </si>
  <si>
    <t>девчонками.</t>
  </si>
  <si>
    <t>девчонками пробрались, маленько щельку так проделали, смотрим. Там котики с двумя головами, собачки с двумя головами.</t>
  </si>
  <si>
    <t>Мы с девчонками пробрались, маленько щельку так проделали, смотрим. Там котики</t>
  </si>
  <si>
    <t>двумя головами, собачки с двумя головами.</t>
  </si>
  <si>
    <t>Мы с девчонками пробрались, маленько щельку так проделали, смотрим. Там котики с двумя головами, собачки</t>
  </si>
  <si>
    <t>двумя головами.</t>
  </si>
  <si>
    <t>Ну ребята</t>
  </si>
  <si>
    <t>миноискателем вон ходят.</t>
  </si>
  <si>
    <t>И мелкие, они есть и маленькие, всякие разные же бегают</t>
  </si>
  <si>
    <t>этими миноискателями. Конечно находят.</t>
  </si>
  <si>
    <t>Чипиком.</t>
  </si>
  <si>
    <t>Дай повытягивать</t>
  </si>
  <si>
    <t>тебя вот так вот.</t>
  </si>
  <si>
    <t>этих. Как это говоришь...</t>
  </si>
  <si>
    <t>Ну давай вот так поделаю, ой как хорошо тебе. Ну поленька, ты видишь, сколько</t>
  </si>
  <si>
    <t>тебя лезет?</t>
  </si>
  <si>
    <t>Они - то кроме граблей и вил - то и... Может ещё какие - то охотники выживали, они умели</t>
  </si>
  <si>
    <t>... А здесь как бы мои - то не были никогда охотниками ничего.</t>
  </si>
  <si>
    <t>сорок первого по сорок четвёртый в оккупации практически был до лета.</t>
  </si>
  <si>
    <t>Интересного такие вещи о нас</t>
  </si>
  <si>
    <t>мамкой – тётя Люся – у нас как бы, в этом самом, в доме живёт, она – вот ей восемьдесят лет буквально на этой неделе исполнилось – она тоже рассказывала, как вот в колхозе работали, как всё, как за эти трудодни,</t>
  </si>
  <si>
    <t>Не, она не отсюда. Она</t>
  </si>
  <si>
    <t>этого самого... тоже за Макушино туда, где папкина родина.</t>
  </si>
  <si>
    <t>А раньше было</t>
  </si>
  <si>
    <t>травой здесь вообще, да сейчас бурьян, всё заросло.</t>
  </si>
  <si>
    <t>мамка</t>
  </si>
  <si>
    <t>батькой в порядовку,</t>
  </si>
  <si>
    <t>Вот... Это всё, наверно,</t>
  </si>
  <si>
    <t>тех времён, когда хозяйство своё держали и за каждую голову надо было налог заплатить:</t>
  </si>
  <si>
    <t>Или дерево у тебя ни</t>
  </si>
  <si>
    <t>того ни сего засохнет, что, как говорится, налоговая база.</t>
  </si>
  <si>
    <t>Всё, за каждое. Вот, что делали.</t>
  </si>
  <si>
    <t>утра в спозаранку мамка бидончик в город, часов в пять молоко продала, чтобы деньги было.</t>
  </si>
  <si>
    <t>Так, так пробуешь и, грубо говоря,</t>
  </si>
  <si>
    <t>ними – это же живые – с ними очень интересно, вот.</t>
  </si>
  <si>
    <t>Так, так пробуешь и, грубо говоря, с ними – это же живые –</t>
  </si>
  <si>
    <t>ними очень интересно, вот.</t>
  </si>
  <si>
    <t>Там подсадил, вроде как там... ну,</t>
  </si>
  <si>
    <t>другой сто = не понравилась она. Дикие лучше даже сеют: засев сплошной, а там - то такими пятаками, – как - то посмотрел. Ну, не знаю, может не на месте, может ещё что - то. Они же тоже зависят: вот на этом месте они будут работать, а перенесёшь на метр – не будут.</t>
  </si>
  <si>
    <t>так бы,</t>
  </si>
  <si>
    <t>одной стороны, не хозяйство, может, куда - нибудь и уехал бы, как вот сейчас все: " Миграция ", " Где = где хлеб где, там и родина ", – говорят.</t>
  </si>
  <si>
    <t>Эту барду в больших бочках на " Тэ – сто пятьдесят " он возил, и была накопительная ёмкость такая. Он завозили, потом оттуда откачивали и возили тоже там в этот, в Есенники, в Глубокое и тыды и тыпы – дофига чего где. Вот я</t>
  </si>
  <si>
    <t>ним покатался тоже много</t>
  </si>
  <si>
    <t>Ну да. Вроде как нынче и лицензию выиграли. Сейчас</t>
  </si>
  <si>
    <t>охотой стала напряжёнка.</t>
  </si>
  <si>
    <t>Думаю, оно везде охотхозяйство есть. Вышел</t>
  </si>
  <si>
    <t>= на улицу – вот тебе и охотхозяйство, вот.</t>
  </si>
  <si>
    <t>Дядька тоже пострадал: лесную отрасль развалили, конечно, он был заслуженным лесоводом. Вот он</t>
  </si>
  <si>
    <t>крёстным – там вот фотография его.</t>
  </si>
  <si>
    <t>Не, здесь, наверно, нет. У меня, наверно,</t>
  </si>
  <si>
    <t>собой забрано книга там.</t>
  </si>
  <si>
    <t>Ой да! Ну а что. Молодёжи деваться некуда. Если так, то как говорится,</t>
  </si>
  <si>
    <t>волками жить – по - волчьи выть.</t>
  </si>
  <si>
    <t>Пацаны</t>
  </si>
  <si>
    <t>этого самого, с города сетку [привозили], девчонки приходили, гуляли там, волейбол играли – интересно было, вот – общались.</t>
  </si>
  <si>
    <t>Вот. Вообще жизнь - то</t>
  </si>
  <si>
    <t>какого? Семьдесят шестого или семьдесят восьмого, когда училище здесь было, зенитно - ракетное. Вот, нынче ему сколько? Пятьдесят лет будет или сколько - то...</t>
  </si>
  <si>
    <t>А памятник в виде надгробной плиты. Он - то из гранита сделан, [говорю, говорят], все говорят, сравнивают</t>
  </si>
  <si>
    <t>надгробной плитой, ну, я говорю: " Ну что, Днепропетровске и в этом похоронили ".</t>
  </si>
  <si>
    <t>Жизнь кипела в Опочке. Местные бились</t>
  </si>
  <si>
    <t>этими самыми, что те девок отбивали. Тут жизнь кипела капитально.</t>
  </si>
  <si>
    <t>Такого чтоб приехать здесь отдохнуть там, на этом самом, нет. Приехал, отбатрачил, уехал. Приехал, отбатрачил, уехал. Поэтому деревня здесь ассоциируется нифига</t>
  </si>
  <si>
    <t>= не с зоной отдыха, а здесь вот именно с работой, с работой, с работой...</t>
  </si>
  <si>
    <t>Такого чтоб приехать здесь отдохнуть там, на этом самом, нет. Приехал, отбатрачил, уехал. Приехал, отбатрачил, уехал. Поэтому деревня здесь ассоциируется нифига с = не</t>
  </si>
  <si>
    <t>зоной отдыха, а здесь вот именно с работой, с работой, с работой...</t>
  </si>
  <si>
    <t>Такого чтоб приехать здесь отдохнуть там, на этом самом, нет. Приехал, отбатрачил, уехал. Приехал, отбатрачил, уехал. Поэтому деревня здесь ассоциируется нифига с = не с зоной отдыха, а здесь вот именно</t>
  </si>
  <si>
    <t>работой, с работой, с работой...</t>
  </si>
  <si>
    <t>Такого чтоб приехать здесь отдохнуть там, на этом самом, нет. Приехал, отбатрачил, уехал. Приехал, отбатрачил, уехал. Поэтому деревня здесь ассоциируется нифига с = не с зоной отдыха, а здесь вот именно с работой,</t>
  </si>
  <si>
    <t>работой, с работой...</t>
  </si>
  <si>
    <t>Такого чтоб приехать здесь отдохнуть там, на этом самом, нет. Приехал, отбатрачил, уехал. Приехал, отбатрачил, уехал. Поэтому деревня здесь ассоциируется нифига с = не с зоной отдыха, а здесь вот именно с работой, с работой,</t>
  </si>
  <si>
    <t>работой...</t>
  </si>
  <si>
    <t>Вот опять же картошку надо посадить, потом выполоть, потом окучить, потом опять её окучить, потом опять выполоть, потом выкопать, потом сохранить, сортировать... То есть это вот только</t>
  </si>
  <si>
    <t>одной картошкой, а ещё там что - то ещё посажено, там у Ольги. Огурцы, помидоры в теплице у Ольги там посажено, вот.</t>
  </si>
  <si>
    <t>А уже дальше вы копайтесь, мне вон хватает</t>
  </si>
  <si>
    <t>пчёлами где - то что - то подстукать там, подно = (подновить) подбить, под =</t>
  </si>
  <si>
    <t>Вот... Подновить, грубо говоря. Вот дом тоже на ладан дышит, а</t>
  </si>
  <si>
    <t>другой стороны я не хочу его ничего делать, руки обивать.</t>
  </si>
  <si>
    <t>сядешь на машину и в =</t>
  </si>
  <si>
    <t>ночёвкой куда - нибудь на рыбалку летом. Приезжаешь уставший, но отдохнувший, вот.</t>
  </si>
  <si>
    <t>слева будут пятиэтажки, пятиэтажка кирпичная вот, пятиэтажка будет</t>
  </si>
  <si>
    <t>левой стороны, как вот вошли в город, как бы получается, да?</t>
  </si>
  <si>
    <t>Трансформаторная будка</t>
  </si>
  <si>
    <t>синими дверцами – теперь уже они серебристые, вот. Это улица Раи Гавриловой.</t>
  </si>
  <si>
    <t>Вот, там [тесть</t>
  </si>
  <si>
    <t>тёщей] живут у меня, вот.</t>
  </si>
  <si>
    <t>перейдёте вот такой перекрёсток, такой</t>
  </si>
  <si>
    <t>пешеходным переходом,</t>
  </si>
  <si>
    <t>Что - то у меня там напряжёнка</t>
  </si>
  <si>
    <t>работой, что - то [нрзб].</t>
  </si>
  <si>
    <t>Там их много у Бориса. А</t>
  </si>
  <si>
    <t>Борисом разговаривали, тоже?</t>
  </si>
  <si>
    <t>Ночью. Загорелось</t>
  </si>
  <si>
    <t>, этого самого, с веранды.</t>
  </si>
  <si>
    <t>Ночью. Загорелось с, этого самого,</t>
  </si>
  <si>
    <t>веранды.</t>
  </si>
  <si>
    <t>Его, ну, да, посадили, да. Потом у него, оказалось, что там</t>
  </si>
  <si>
    <t>головой что - то его.</t>
  </si>
  <si>
    <t>И та умерла. И вот он всё, мол, колдует она ей. Он</t>
  </si>
  <si>
    <t>ней рассчитался.</t>
  </si>
  <si>
    <t>Ну, и... У них, они военные тоже, везде побывали. Думаю, что они даже и за границей были</t>
  </si>
  <si>
    <t>мужем.</t>
  </si>
  <si>
    <t>Ну, им уже, и ей - то восемьдесят</t>
  </si>
  <si>
    <t>гаком.</t>
  </si>
  <si>
    <t>Раньше - то баня была... Это, я не помню, как баня... Я думаю, что</t>
  </si>
  <si>
    <t>четве =, не в пятницу, а в субботу, когда я работала в ЖКХ двадцать лет.</t>
  </si>
  <si>
    <t>А потом уже как подорожало все это,</t>
  </si>
  <si>
    <t>часу и дорого, наверное в баню. Даже сто с лишним рублей, наверное?</t>
  </si>
  <si>
    <t>А потом уже как подорожало все это, с часу и дорого, наверное в баню. Даже сто</t>
  </si>
  <si>
    <t>лишним рублей, наверное?</t>
  </si>
  <si>
    <t>Вроде сказали, дорого стало. И там</t>
  </si>
  <si>
    <t>этими, как бы теплотрассы, в общем, прекратили воду. И мы жили так: холодная вода только была.</t>
  </si>
  <si>
    <t>сорока лет. Ну, вот мы разошлись в сорок лет со своим.</t>
  </si>
  <si>
    <t>сорока лет вот жила тут одна с бабушкой.</t>
  </si>
  <si>
    <t>И с сорока лет вот жила тут одна</t>
  </si>
  <si>
    <t>бабушкой.</t>
  </si>
  <si>
    <t>Ну, темно зимой. А, это самое, и</t>
  </si>
  <si>
    <t>работы идешь в пять. До пяти работала. С восьми до пяти.</t>
  </si>
  <si>
    <t>Ну, темно зимой. А, это самое, и с работы идешь в пять. До пяти работала.</t>
  </si>
  <si>
    <t>восьми до пяти.</t>
  </si>
  <si>
    <t>другой, нет, в деревне, дер =. У нас школа была, тоже километра три, наверное. Вот так вот. Это самое.</t>
  </si>
  <si>
    <t>Вот такие сугробы. Я маленькая была всю жизнь (жисть). Так, это самое, идешь, тебя и не видать. Шапка только, может, макушка торчит</t>
  </si>
  <si>
    <t>- под сугроба.</t>
  </si>
  <si>
    <t>Катались... Вот крыша, ну, пониже, например, надворной постройки. И метало так, что снег и</t>
  </si>
  <si>
    <t>крыши... По этому сугробу на крышу и вот так катались, как, это самое, с трамплину.</t>
  </si>
  <si>
    <t>Катались... Вот крыша, ну, пониже, например, надворной постройки. И метало так, что снег и с крыши... По этому сугробу на крышу и вот так катались, как, это самое,</t>
  </si>
  <si>
    <t>трамплину.</t>
  </si>
  <si>
    <t>Женька Павлов, вот который, там помнишь, я говорила, сходите к нему. Они &lt; нрзб &gt;... То он только летом ловит. А так ходят рыбаки</t>
  </si>
  <si>
    <t>бурами своими по реке.</t>
  </si>
  <si>
    <t>Надо набрать травы поросенку к обеду, сходить на это, на... Там на ручей перемыть эту траву, что мокрица, лебеда, такая всякая мелкая</t>
  </si>
  <si>
    <t>грязью.</t>
  </si>
  <si>
    <t>какого перепугу мы пошли... Нас три девчонки с деревни пошли в этот, в себежский техникум на агронома учиться.</t>
  </si>
  <si>
    <t>Значит, я там отжил (отжи'л)</t>
  </si>
  <si>
    <t>пятьдесят шестого года по... семьдесят... семьдесят восьмом, в семьдесят восьмом году переехали, там</t>
  </si>
  <si>
    <t>Пять... пять</t>
  </si>
  <si>
    <t>лишним километров напрямую (напрямая).</t>
  </si>
  <si>
    <t>и, это самое, мой отец, - родные бра =, брат</t>
  </si>
  <si>
    <t>сестрой.</t>
  </si>
  <si>
    <t>а, мужиков тут</t>
  </si>
  <si>
    <t>... с Кадникова ходили, с Глазанова, с Тиханова</t>
  </si>
  <si>
    <t>не</t>
  </si>
  <si>
    <t>пенсией вместе, допустим, пенсия мне восьмого, а эта, условно, там, ч = (числа) в двадцатых числах.</t>
  </si>
  <si>
    <t>узаконено давно, это самое, а то уже пошел в, это самое, больницу,</t>
  </si>
  <si>
    <t>Ольгой,</t>
  </si>
  <si>
    <t>женой - то ездим</t>
  </si>
  <si>
    <t>Я в колхозе</t>
  </si>
  <si>
    <t>восемьдесят третьего, вот, перешёл, дом дали вот этот в восемьдесят третьем году.</t>
  </si>
  <si>
    <t>восемьдесят третьего года я д = (до) до пока рассыпался колхоз работал.</t>
  </si>
  <si>
    <t>опозданием. Работает тут две доярки, скотник и пастух.</t>
  </si>
  <si>
    <t>колокольни машем, разгоняем облака.</t>
  </si>
  <si>
    <t>колокольни чем - то машем...</t>
  </si>
  <si>
    <t>этой деревне туда, в лес, деревня</t>
  </si>
  <si>
    <t>шестнадцати.</t>
  </si>
  <si>
    <t>Я раньше</t>
  </si>
  <si>
    <t>шестнадцати работала с мамой, но на меня не писали: раньше трудодни были,</t>
  </si>
  <si>
    <t>Я раньше с шестнадцати работала</t>
  </si>
  <si>
    <t>мамой, но на меня не писали: раньше трудодни были,</t>
  </si>
  <si>
    <t>Я ходила</t>
  </si>
  <si>
    <t>мамой и лён мотыжить и жать помогать.</t>
  </si>
  <si>
    <t>Помогала аж</t>
  </si>
  <si>
    <t>шестнадцати лет.</t>
  </si>
  <si>
    <t>Так она меня и сняла. И со школы оставила</t>
  </si>
  <si>
    <t>шести лет.</t>
  </si>
  <si>
    <t>Меня старший &lt; был &gt; брат был</t>
  </si>
  <si>
    <t>двадцать третьего года,</t>
  </si>
  <si>
    <t>сестра была, Зоя,</t>
  </si>
  <si>
    <t>двадцать шестого,</t>
  </si>
  <si>
    <t>ещё брат был</t>
  </si>
  <si>
    <t>двадцать восьмого,</t>
  </si>
  <si>
    <t>я вот</t>
  </si>
  <si>
    <t>тридцать второго,</t>
  </si>
  <si>
    <t>километр они живут, недалеко.</t>
  </si>
  <si>
    <t>тридцать второго - в шестидесятом году.</t>
  </si>
  <si>
    <t>Ну вот так</t>
  </si>
  <si>
    <t>ним немножко справляли. А как справляли?</t>
  </si>
  <si>
    <t>холодца наварили, картошку сделали</t>
  </si>
  <si>
    <t>мясом, так мясо сделали.</t>
  </si>
  <si>
    <t>Раньше я</t>
  </si>
  <si>
    <t>ним дружила до армии два года,</t>
  </si>
  <si>
    <t>матерью жила я двенадцать лет, со свекровью.</t>
  </si>
  <si>
    <t>Тут вот всё это, ну тут дачник вот живёт напротив меня</t>
  </si>
  <si>
    <t>женой.</t>
  </si>
  <si>
    <t>и не думала, и не собиралась, вечером мы</t>
  </si>
  <si>
    <t>ней по телефону разговаривали,</t>
  </si>
  <si>
    <t>сердцем &lt; она &gt; таблетки. Мы все теперь на таблетках.</t>
  </si>
  <si>
    <t>Ну, а когда правнук живет, так и хорошо</t>
  </si>
  <si>
    <t>ним, и весело.</t>
  </si>
  <si>
    <t>Живёт</t>
  </si>
  <si>
    <t>отцом, вот, с дедушкой, с бабушкой.</t>
  </si>
  <si>
    <t>Живёт с отцом, вот,</t>
  </si>
  <si>
    <t>дедушкой, с бабушкой.</t>
  </si>
  <si>
    <t>Живёт с отцом, вот, с дедушкой,</t>
  </si>
  <si>
    <t>только сейчас играть ему не</t>
  </si>
  <si>
    <t>Они сильно дружат</t>
  </si>
  <si>
    <t>ней (йей).</t>
  </si>
  <si>
    <t>учителями тоже плохо.</t>
  </si>
  <si>
    <t>этой стороны,</t>
  </si>
  <si>
    <t>Поговорил</t>
  </si>
  <si>
    <t>одним,</t>
  </si>
  <si>
    <t>женщин, пожи = (пожилых) которые</t>
  </si>
  <si>
    <t>детьми,</t>
  </si>
  <si>
    <t>всё - таки они</t>
  </si>
  <si>
    <t>одним договорились,</t>
  </si>
  <si>
    <t>Ну эту, вон ещё</t>
  </si>
  <si>
    <t>ней (йей) доска.</t>
  </si>
  <si>
    <t>Молодёжи, вот мае = мой сын отошёл от нас, мы</t>
  </si>
  <si>
    <t>дедом остались,</t>
  </si>
  <si>
    <t>... вдвоём</t>
  </si>
  <si>
    <t>отучилась пять</t>
  </si>
  <si>
    <t>половиной лет</t>
  </si>
  <si>
    <t>пис = (пятьдесят) она... с восемьдесят четвёртого года она.</t>
  </si>
  <si>
    <t>Она с пис = (пятьдесят) она...</t>
  </si>
  <si>
    <t>восемьдесят четвёртого года она.</t>
  </si>
  <si>
    <t>продуктов.</t>
  </si>
  <si>
    <t>Я говорю: "</t>
  </si>
  <si>
    <t>кем же ты тут будешь сидеть - то?</t>
  </si>
  <si>
    <t>Играть не</t>
  </si>
  <si>
    <t>кем. "</t>
  </si>
  <si>
    <t>Вот раньше земляника поспевала только</t>
  </si>
  <si>
    <t>пятнадцатого</t>
  </si>
  <si>
    <t>наверно,</t>
  </si>
  <si>
    <t>пятого уже начали ходить,</t>
  </si>
  <si>
    <t>Но где</t>
  </si>
  <si>
    <t>сыринкой и в траве,</t>
  </si>
  <si>
    <t>Но сейчас это</t>
  </si>
  <si>
    <t>Это как</t>
  </si>
  <si>
    <t>Шоссейной с дороги идёшь,</t>
  </si>
  <si>
    <t>Это как с Шоссейной</t>
  </si>
  <si>
    <t>дороги идёшь,</t>
  </si>
  <si>
    <t>Светка, видимо, она всегда приезжает</t>
  </si>
  <si>
    <t>детьми.</t>
  </si>
  <si>
    <t>А теперь мы</t>
  </si>
  <si>
    <t>ним (им) вдвоём остались.</t>
  </si>
  <si>
    <t xml:space="preserve"> ты чт = (что)	с	ума сошла .</t>
  </si>
  <si>
    <t>детства уже болеют.</t>
  </si>
  <si>
    <t>А там знакомая наша продавщица</t>
  </si>
  <si>
    <t>наших.... можно... рядом с деревни, она там работает.</t>
  </si>
  <si>
    <t>эти московские. Там сидела</t>
  </si>
  <si>
    <t>ними (йим) на веранде.</t>
  </si>
  <si>
    <t>Так - от я</t>
  </si>
  <si>
    <t>ними (ним) сидела на веранде.</t>
  </si>
  <si>
    <t>а б = Вера... когда я... Вера...</t>
  </si>
  <si>
    <t>Верой разговаривала, Вера сказала, что</t>
  </si>
  <si>
    <t>Говорит, звонил тебе, а я</t>
  </si>
  <si>
    <t>вами (вам) сидела, телефон туда не &lt; взяла &gt;.</t>
  </si>
  <si>
    <t>Я говорю: " Да не, не поливала ", - я говорю, - "</t>
  </si>
  <si>
    <t>девчонками посидела, посидели на веранде ".</t>
  </si>
  <si>
    <t>Она была... она во Пскове кончила</t>
  </si>
  <si>
    <t>этой... с золо = (золотой) с красным дипломом.</t>
  </si>
  <si>
    <t>Она была... она во Пскове кончила с этой...</t>
  </si>
  <si>
    <t>золо = (золотой) с красным дипломом.</t>
  </si>
  <si>
    <t>Она была... она во Пскове кончила с этой... с золо = (золотой)</t>
  </si>
  <si>
    <t>красным дипломом.</t>
  </si>
  <si>
    <t>Ну хоть что - то не</t>
  </si>
  <si>
    <t>= не так, что как.</t>
  </si>
  <si>
    <t>что я</t>
  </si>
  <si>
    <t>ними (йим) разговаривала - а не знаю.</t>
  </si>
  <si>
    <t>А я думаю, вот только</t>
  </si>
  <si>
    <t>улицы (вулицы) я пришла.</t>
  </si>
  <si>
    <t>Папка</t>
  </si>
  <si>
    <t>мамкой получат пенсию, мне дадут, ну, а зачем я буду работать?</t>
  </si>
  <si>
    <t>Жена (жонка) сидит</t>
  </si>
  <si>
    <t>этим ребёнком в этой Испании.</t>
  </si>
  <si>
    <t>утра не приходите.</t>
  </si>
  <si>
    <t>С разных деревень. Староверы -</t>
  </si>
  <si>
    <t>этим = нашим русским. Такой (таки) ж парень, только числятся они староверы.</t>
  </si>
  <si>
    <t>Я смеюсь, это, я говорю,</t>
  </si>
  <si>
    <t>веки = с век веков в гробах хоронили, с век.</t>
  </si>
  <si>
    <t>Я смеюсь, это, я говорю, с веки =</t>
  </si>
  <si>
    <t>век веков в гробах хоронили, с век.</t>
  </si>
  <si>
    <t>Я смеюсь, это, я говорю, с веки = с век веков в гробах хоронили,</t>
  </si>
  <si>
    <t>век.</t>
  </si>
  <si>
    <t>А сжигать не положен. Это</t>
  </si>
  <si>
    <t>веков в века.</t>
  </si>
  <si>
    <t>Ему тоже семьдесят</t>
  </si>
  <si>
    <t>лишним.</t>
  </si>
  <si>
    <t>Бороду.</t>
  </si>
  <si>
    <t>А = вот,</t>
  </si>
  <si>
    <t>этого боку мой, а туда - соседов огород.</t>
  </si>
  <si>
    <t>Воду</t>
  </si>
  <si>
    <t>реки надо привезти.</t>
  </si>
  <si>
    <t>реки возили воду в баню (байню).</t>
  </si>
  <si>
    <t>реки. Попросишь - вот у меня (мя) две бочки стоит. Попросила - привезли воду, слили мне.</t>
  </si>
  <si>
    <t>А я и говорю, это</t>
  </si>
  <si>
    <t>ума надо сойти - за поллитровую банку пятьсот рублей заплатить.</t>
  </si>
  <si>
    <t>куста сорвать.</t>
  </si>
  <si>
    <t>Бог</t>
  </si>
  <si>
    <t>ним (йим), с ягодами.</t>
  </si>
  <si>
    <t>Бог с ним (йим),</t>
  </si>
  <si>
    <t>ягодами.</t>
  </si>
  <si>
    <t>двумя девками.</t>
  </si>
  <si>
    <t>И ещё мужик</t>
  </si>
  <si>
    <t>бабой. И всё по этой горе.</t>
  </si>
  <si>
    <t>Я сейчас не понимаю. Даже не могу...</t>
  </si>
  <si>
    <t>пьяницами не могу разговаривать. Хотя у меня в бригаде были одни пьяницы. Тоже нервы потрепали.</t>
  </si>
  <si>
    <t>Я как глянула на этих два &lt; нрзб &gt; и думаю, кого ж я буду</t>
  </si>
  <si>
    <t>ними делать!</t>
  </si>
  <si>
    <t>Второй...! Прислали на воспитание, а он гад пошел... Я его назначила. Говорю, ладно, корми быков, тут быки стояли, и</t>
  </si>
  <si>
    <t>ними совладать - надо мужиков, корми быков, ходи по утрам. А что, рядом с домом, ребят приглядишь.</t>
  </si>
  <si>
    <t>Второй...! Прислали на воспитание, а он гад пошел... Я его назначила. Говорю, ладно, корми быков, тут быки стояли, и с ними совладать - надо мужиков, корми быков, ходи по утрам. А что, рядом</t>
  </si>
  <si>
    <t>домом, ребят приглядишь.</t>
  </si>
  <si>
    <t>Поеду,</t>
  </si>
  <si>
    <t>рабочими трактора =... По первости мы на лошадях ездили, а потом нам трактора давали уже возить комбикорм. Свиней было много.</t>
  </si>
  <si>
    <t>Не, там дырочка, наверное, осталась. Жало должно - то было вытянуть сразу</t>
  </si>
  <si>
    <t>Мы купили такой, маленько он у нас побыл</t>
  </si>
  <si>
    <t>Ванькой, потом появились цветные. Ну, хочется ж цветной.</t>
  </si>
  <si>
    <t>И кормили скот &lt;</t>
  </si>
  <si>
    <t>хлебом &gt;. Мы даже, это самое, в город ездили.</t>
  </si>
  <si>
    <t>По =... Остановился один раз, едем в город. " Ну, до дома довезти? " Я говорю, довези, Гень, ноги уже не идут. Это,</t>
  </si>
  <si>
    <t>Валькой, с женкой едут они.</t>
  </si>
  <si>
    <t>По =... Остановился один раз, едем в город. " Ну, до дома довезти? " Я говорю, довези, Гень, ноги уже не идут. Это, с Валькой,</t>
  </si>
  <si>
    <t>женкой едут они.</t>
  </si>
  <si>
    <t>И всю ночь</t>
  </si>
  <si>
    <t>ними отбыла. Я говорю, Господи.</t>
  </si>
  <si>
    <t>И все. То каких - нибудь привезет в баню (байню) там мужиков, &lt; нрзб &gt;</t>
  </si>
  <si>
    <t>ними всю ночь валанкается.</t>
  </si>
  <si>
    <t>Вот. Это очень страшно</t>
  </si>
  <si>
    <t>ними работать. Очень опасно.</t>
  </si>
  <si>
    <t>А у него там. У нас агроном такая Зойка была, красивая женщина. Он</t>
  </si>
  <si>
    <t>ней даже &lt; любокал &gt;. Он всем нравился, такой, ну... &lt; Был &gt; такой бесшабашный, такой красивый мужик.</t>
  </si>
  <si>
    <t>Вернее даже</t>
  </si>
  <si>
    <t>охоты пришел. Пришел к дому почти, сел под стог, и ружье, и застрелился.</t>
  </si>
  <si>
    <t>Молодой, сорок лет. Вот как случайная пуля. Всю жизнь (жисть) ходил на охоту</t>
  </si>
  <si>
    <t>Как одна?</t>
  </si>
  <si>
    <t>внуком.</t>
  </si>
  <si>
    <t>внучкой. Со внуком, со внук =... Да, старший внук со мной остается.</t>
  </si>
  <si>
    <t>Много всякие там</t>
  </si>
  <si>
    <t>надписями... Да, какие - нибудь там тумбы такие с крестами. Что - нибудь написано, что - нибудь... Какие - нибудь фотографии, что - нибудь такое.</t>
  </si>
  <si>
    <t>Много всякие там с надписями... Да, какие - нибудь там тумбы такие</t>
  </si>
  <si>
    <t>крестами. Что - нибудь написано, что - нибудь... Какие - нибудь фотографии, что - нибудь такое.</t>
  </si>
  <si>
    <t>А теперь такой парк отгрохали. И фонарики, и детская площадка, и там... И эти, перекидные мостики,</t>
  </si>
  <si>
    <t>фонариками.</t>
  </si>
  <si>
    <t>Я думаю, что... Вы там рядом же</t>
  </si>
  <si>
    <t>Опочкой. Вам там недалеко же. Сходите посмотрите, вот этот парк посмотрите. Пройдитесь. На вал сходите посмотрите.</t>
  </si>
  <si>
    <t>Пройдите, посмотрите. Там же много всяких вот этих, всяких камней пос =</t>
  </si>
  <si>
    <t>надписями, много памятников всяких там, всяких этих.</t>
  </si>
  <si>
    <t>Тридцать? Это</t>
  </si>
  <si>
    <t>той стороны города. Мы с этой живем от Пскова, а это с той, за городом.</t>
  </si>
  <si>
    <t>Тридцать? Это с той стороны города. Мы</t>
  </si>
  <si>
    <t>этой живем от Пскова, а это с той, за городом.</t>
  </si>
  <si>
    <t>Тридцать? Это с той стороны города. Мы с этой живем от Пскова, а это</t>
  </si>
  <si>
    <t>той, за городом.</t>
  </si>
  <si>
    <t>девчонками встретились. Я говорю, а ко мне еще молодые захаживают. И вот что - то они стали расспрашивать про вас. Я говорю, да - да - да.</t>
  </si>
  <si>
    <t>Нет, нет, нет, ничё</t>
  </si>
  <si>
    <t>ней не делали.</t>
  </si>
  <si>
    <t>Вот хотели продать, но его никто не покупает, потому что всё везде обанкротилши вот соединили колхоз</t>
  </si>
  <si>
    <t>, вот здесь было раньше... вот последний был " Колос " вот здесь, колхоз.</t>
  </si>
  <si>
    <t>Соединили его</t>
  </si>
  <si>
    <t>Матююшкиным, с " Красной Зарёй ", один был председатель, вот эта Лазарева...</t>
  </si>
  <si>
    <t>Соединили его с Матююшкиным,</t>
  </si>
  <si>
    <t xml:space="preserve"> Красной Зарёй , один был председатель, вот эта Лазарева...</t>
  </si>
  <si>
    <t>Ну да, так она</t>
  </si>
  <si>
    <t>лежанкой.</t>
  </si>
  <si>
    <t>А ты</t>
  </si>
  <si>
    <t>девками один, да?</t>
  </si>
  <si>
    <t>Ребёнок. Жена (жонка)</t>
  </si>
  <si>
    <t>ребёнком сидела.</t>
  </si>
  <si>
    <t>Только это Коровкино - то</t>
  </si>
  <si>
    <t>шоссе и не видишь - там написан Коровкино, и сворот будет.</t>
  </si>
  <si>
    <t>И там, наверное,</t>
  </si>
  <si>
    <t>километр надо идти пешком.</t>
  </si>
  <si>
    <t>Мужик</t>
  </si>
  <si>
    <t>женой &lt; женкой &gt; ды парень один, и всё.</t>
  </si>
  <si>
    <t>В Емельянцеве там пара жила, мужик</t>
  </si>
  <si>
    <t>женой (жонкой) - они специально как = как сторожа. Вот.</t>
  </si>
  <si>
    <t>А второй дом налево - мужик</t>
  </si>
  <si>
    <t>женой (женкой), Таня - Ваня.</t>
  </si>
  <si>
    <t>Тут он (йон) сразу</t>
  </si>
  <si>
    <t>шоссейной этот (йетот) дом.</t>
  </si>
  <si>
    <t>Для колодца. На одной стороне отец</t>
  </si>
  <si>
    <t>матерью, на второй - он с женой.</t>
  </si>
  <si>
    <t>Для колодца. На одной стороне отец с матерью, на второй - он</t>
  </si>
  <si>
    <t>ним идём по городу, а мужчина говорит: " Сынок, что ты сделал, что тебя с границы отпустили?</t>
  </si>
  <si>
    <t>Мы с ним идём по городу, а мужчина говорит: " Сынок, что ты сделал, что тебя</t>
  </si>
  <si>
    <t>границы отпустили?</t>
  </si>
  <si>
    <t>уголовного розыска он... Жена уехала туда, на север к матери.</t>
  </si>
  <si>
    <t>и, бывало, идёшь</t>
  </si>
  <si>
    <t>ягод,</t>
  </si>
  <si>
    <t>вертолётов.</t>
  </si>
  <si>
    <t>в = приехал. То ли</t>
  </si>
  <si>
    <t>Воркуты они приехали, девки сидят, наверно, с Воркуты, да.</t>
  </si>
  <si>
    <t>в = приехал. То ли с Воркуты они приехали, девки сидят, наверно,</t>
  </si>
  <si>
    <t>Воркуты, да.</t>
  </si>
  <si>
    <t>В семьдесят восьмом году я</t>
  </si>
  <si>
    <t>армии пришёл.</t>
  </si>
  <si>
    <t>Не знаю,</t>
  </si>
  <si>
    <t>мной никто не общался.</t>
  </si>
  <si>
    <t>мной...</t>
  </si>
  <si>
    <t>мной никогда не было.</t>
  </si>
  <si>
    <t>знакомыми...</t>
  </si>
  <si>
    <t>знакомыми - вот с мамой чертовщина, и вот.</t>
  </si>
  <si>
    <t>Нет, он</t>
  </si>
  <si>
    <t>Привезли... С амбара</t>
  </si>
  <si>
    <t>старинного... С...</t>
  </si>
  <si>
    <t>Да где что я =</t>
  </si>
  <si>
    <t>Вот утром проехали, (нрзб) ой такое было деревья там ломало, так а теперь вот там всё вырублено, вот может вы ехали, как</t>
  </si>
  <si>
    <t>стороны Пскова там...</t>
  </si>
  <si>
    <t>сладкой водой, а когда вот эти старики, которые...</t>
  </si>
  <si>
    <t>А я не знала, что он поедет со мной.</t>
  </si>
  <si>
    <t>Не хочешь</t>
  </si>
  <si>
    <t>мной, ух какой ты.</t>
  </si>
  <si>
    <t>старым говорить.</t>
  </si>
  <si>
    <t>Этих собачек так же, вот они, видишь, свободно гуляют, ну там где ты выпустишь чего. Вот это симка был</t>
  </si>
  <si>
    <t>мной в Питере.</t>
  </si>
  <si>
    <t>Кнопка тоже была</t>
  </si>
  <si>
    <t>мной ездила везде.</t>
  </si>
  <si>
    <t>Ты думаешь, я в Ленинграде не ездила за клюквой никогда, там в Ленинграде всё равно ездила за клюквой, девчонок собирала городских тех же самых. " Девчонки, пое = поехали</t>
  </si>
  <si>
    <t>мной на электричке ", я говорю, " в Ленинград за клюквой ".</t>
  </si>
  <si>
    <t>Где деньги заработать? ". Я говорю, да пошли вы нафиг</t>
  </si>
  <si>
    <t>своими шмотками, продавать эти шмотки.</t>
  </si>
  <si>
    <t>К ней приезжали с Ленинграда, с Москвы,</t>
  </si>
  <si>
    <t>всюду, её фотографи = " Бабушка, скажи, где бункер? Ну что тебе, жалко сказать? " " Нет! ".</t>
  </si>
  <si>
    <t>Ещё в автобусе</t>
  </si>
  <si>
    <t>мной везде, со мной как собака.</t>
  </si>
  <si>
    <t>Ещё в автобусе со мной везде,</t>
  </si>
  <si>
    <t>мной как собака.</t>
  </si>
  <si>
    <t>Она тут жила</t>
  </si>
  <si>
    <t>мной. А я на работу ходила.</t>
  </si>
  <si>
    <t>Я с сорока лет. Ну, вот мы разошлись в сорок лет</t>
  </si>
  <si>
    <t>своим.</t>
  </si>
  <si>
    <t>Более менее, тем более, я одна и всё...</t>
  </si>
  <si>
    <t>всем справляюсь и это было завидно.</t>
  </si>
  <si>
    <t>С матерью жила я двенадцать лет,</t>
  </si>
  <si>
    <t>свекровью.</t>
  </si>
  <si>
    <t>мной - то что же ему тут</t>
  </si>
  <si>
    <t>и мы</t>
  </si>
  <si>
    <t>своим хозяином купили оттоманку.</t>
  </si>
  <si>
    <t>вот</t>
  </si>
  <si>
    <t>своей напарницей</t>
  </si>
  <si>
    <t>А, ты хочешь</t>
  </si>
  <si>
    <t>старшим?</t>
  </si>
  <si>
    <t>старшим тут на = считай, никто и не осталши.</t>
  </si>
  <si>
    <t>старовером обязательно надо подраться.</t>
  </si>
  <si>
    <t>зрением не то, и голова болит, и ягод не захочу.</t>
  </si>
  <si>
    <t>С внучкой.</t>
  </si>
  <si>
    <t>внуком, со внук =... Да, старший внук со мной остается.</t>
  </si>
  <si>
    <t>С внучкой. Со внуком,</t>
  </si>
  <si>
    <t>внук =... Да, старший внук со мной остается.</t>
  </si>
  <si>
    <t>С внучкой. Со внуком, со внук =... Да, старший внук</t>
  </si>
  <si>
    <t>мной остается.</t>
  </si>
  <si>
    <t>Собрали</t>
  </si>
  <si>
    <t>всех.</t>
  </si>
  <si>
    <t>Но, в общем, много таких стали... По всем углам города стали ставить.</t>
  </si>
  <si>
    <t>всех сторон.</t>
  </si>
  <si>
    <t>а потом уже же</t>
  </si>
  <si>
    <t>колхоза машину давали.</t>
  </si>
  <si>
    <t>У нас как - то простой язык, скажи. Вон водишься с девчонками, да растёшь вон вместе</t>
  </si>
  <si>
    <t>школы...</t>
  </si>
  <si>
    <t>А они, бывало, тихонечко</t>
  </si>
  <si>
    <t>- под (спод) парты пряничек, конфетку...</t>
  </si>
  <si>
    <t>Вот... На = на вид красива =, ну она - то худая, а мне было двадцать девять лет тут (тута), я была всё время зудая, это сейчас я разъелась</t>
  </si>
  <si>
    <t>... Разъелась как корова...</t>
  </si>
  <si>
    <t>Первая жена умерла, где - то двадцать пять лет уже, как ушла</t>
  </si>
  <si>
    <t>жизни.</t>
  </si>
  <si>
    <t>Она тяжело болела, не так что тяжело, но болела, пользовалась ингалятором, у неё плохо с сердцем было, с дыханием, ушла</t>
  </si>
  <si>
    <t>Тоже с сердцем, два или три, инфаркт или инсульт, ушла</t>
  </si>
  <si>
    <t>Дальше - - больше. Там уже такие проблемы, знаешь,</t>
  </si>
  <si>
    <t>- за пустяка может это всё.</t>
  </si>
  <si>
    <t>И разругались, понимаешь? Вот</t>
  </si>
  <si>
    <t>- за чего разругались? Ещё и как говорят... Да, и билета нету, а они вот деньги деливши разругались. Понимаешь? Так вот жизнь устроен.</t>
  </si>
  <si>
    <t>И вот я семь лет от звонка до звонка отсидел, вот.</t>
  </si>
  <si>
    <t>неё...</t>
  </si>
  <si>
    <t>отсутствие существительного в предложной группе</t>
  </si>
  <si>
    <t>Они теперь ушли уже</t>
  </si>
  <si>
    <t>И они вот переехали</t>
  </si>
  <si>
    <t>И они вот переехали из = из этих домов в один</t>
  </si>
  <si>
    <t>них.</t>
  </si>
  <si>
    <t>А там (тама) на гормошке играли, была площадка сделаная</t>
  </si>
  <si>
    <t>Де = де = держа = держали. Я держала, даже кто - то из ребят</t>
  </si>
  <si>
    <t>ваших приходил, я давала, помню, сало.</t>
  </si>
  <si>
    <t>А она с = ваша родная?</t>
  </si>
  <si>
    <t>Спиридово тоже?</t>
  </si>
  <si>
    <t>вопрос интервьюера</t>
  </si>
  <si>
    <t>И она в одном</t>
  </si>
  <si>
    <t>, в двухквартирном доме жила в одной стороне (стороны) она жила, во второй другие соседи жили. Потом...</t>
  </si>
  <si>
    <t>А все ваши бабушки, дедушки, они тоже</t>
  </si>
  <si>
    <t>Спиридово? Или ещё откуда - то отсюда?</t>
  </si>
  <si>
    <t>Каськ =. Она говорит, что она из Каськова.</t>
  </si>
  <si>
    <t>И у нас печа была большая. Я даже не знаю</t>
  </si>
  <si>
    <t>(с) чего она. Мать сказала, из (с) камней, вроде, сделана была эта. Она сделана ещё до = до войны.</t>
  </si>
  <si>
    <t>Она... С =</t>
  </si>
  <si>
    <t>(с) камней делали. Она большая была тоже.</t>
  </si>
  <si>
    <t>предлог с</t>
  </si>
  <si>
    <t>И была сделана лежанка из дереве =</t>
  </si>
  <si>
    <t>Скажите, а вы сами когда - нибудь</t>
  </si>
  <si>
    <t>деревни уезжали?</t>
  </si>
  <si>
    <t>А в Луки автобус ходит</t>
  </si>
  <si>
    <t>Торопы?</t>
  </si>
  <si>
    <t>В де = в детстве какие вам истории надо, я вам расскажу историю, могу рассказать одну, у нас же дружили, ну я думаю, может кто и рассказывал вам из деревни. Дружил парень с девушкой, уже хотели жениться, ну это это на самом деле такое есть, было, и они, значит, на =, свадьба назначена, точно не могу, по - моему, как на Троицу. Они за два дня Троицы пошли в этом, говорит (говорить) мужик её (еёный), теперь ну парень, назовём его. Говорит (говорить), пойдём искупаемся, пошли к речке купаться напротив кладбища где - то туда, он как разделся, как нырнул, так и не вынырнул, вот такой случай это вот был. И вот она осталась на берегу, и потом она вышла за другого замуж, она сама позже умерла (умёрши), ну а дети в Ленинграде, одна дочка вроде умерла (умерши) уже. Так вот такой сулчай был, но</t>
  </si>
  <si>
    <t>ма = из материного рассказа, ну она рассказывала, что - то, она сказала &lt; нрзб &gt; значит (значить), правильнро как сказать, сейчас скажу. Ну как бы в жизни всяко бывает, и не складывается жизнь. Ну приходит дочка к матери и говорит, говорит (говорить), я не хочу жить, я ну что там (тама) не ладится жизнь то ли &lt; нрзб &gt;, но я не спрашивала, точно не могу сказать, она ей говорит, знаешь, детка, дочь, говорит, вот, если тебе накакают на голову, ты скинь с головы, извините за выражение, и опять живи. Ну что, то это жизнь, говорит, не что - нибудь, вот такое. Ну и потом рассказывала, мужик, значит, ходит к женщине ходит (ходить) и ходит (ходить), она, значит, как лето приходит, так ему надо спать на сеновале, но эта жёнка, она понимает что - то, что да нет, она раз послушала, два послушала людей, говорит, надо мне пос = самой покараулить. Она пошла караулить, караулит (караулить), значит, они полезли на черда = на = на = на хлё = на сарай. Она помокнула в жижу, раньше жижесборники такие за хлёвом были, метлу, и туда на это самое, на хлёв их метлой этой с жижей. Говорит (говорить), вот такой случай был. Но драться никто не дрался, она сказала, не дрались, а вот такой случай был.</t>
  </si>
  <si>
    <t>А так ну мно = много помню, всё</t>
  </si>
  <si>
    <t>детства, я думаю, с трёх годов, с трёх лет я чу всё на свете помню, с трёх, если не раньше. Всё ка = как раньше же не было это самое во время войны мне было в сорок пятом году три года было &lt; нрзб &gt; четвёртый шёл, и ну я думаю, это года два мои, я думаю, мне года два было, и тогда был год ну чего - то такой голодный год был совсем, и вот я не помню только сейчас, не могу ск =, лошади то ли умерли (умёрши были) и к = погибали, наверное, и знаю, что бабушка принесла или кто - то принёс ей, она варила это мясо в печке, печи были, печи, в чугунке, чугунки были, в чугунке варила мясо, это потом с чугунка вытянула, и стол и дом тот сейчас стоит старый, поставила на стол, вытянула она такие лавки раньше были, ничего не было, одни скамейки были. Ну и она разложила меленько, она мясо такое длинное, помню это, она меленько разрезала, вот ешь потихонечку, это помню хорошо.</t>
  </si>
  <si>
    <t>Банку колотишь - колотишь - колотишь ну или кто - то</t>
  </si>
  <si>
    <t>м = з = моих кто - то здесь, вот.</t>
  </si>
  <si>
    <t>Ну а что ж</t>
  </si>
  <si>
    <t>детства?</t>
  </si>
  <si>
    <t>Она тоже из Каськ =. Она говорит, что она</t>
  </si>
  <si>
    <t>Каськова.</t>
  </si>
  <si>
    <t>Аня</t>
  </si>
  <si>
    <t>Горькова.</t>
  </si>
  <si>
    <t>Ну у нас</t>
  </si>
  <si>
    <t>колодца насос.</t>
  </si>
  <si>
    <t>К нам тоже сколько раз приходили &lt;</t>
  </si>
  <si>
    <t>Зимой факел. Делали. Факел</t>
  </si>
  <si>
    <t>такая... Негожая одежда. Её так... В комок делали, связывали. Потом на проволочину, или на палку.</t>
  </si>
  <si>
    <t>Там даже челны делали, это лодку такую самое, и бочечки делал, а то под капусту вот их, селёдка раньше была в бочках, вот была</t>
  </si>
  <si>
    <t>- под селёдки, бочку эту в магазине караулят, кто купит, когда осталась</t>
  </si>
  <si>
    <t>Ну, а у неё сын был, наверное. Вот</t>
  </si>
  <si>
    <t>- за сына, её, я думаю, не посадили. Это уже давно было - теперь же плохо помню.</t>
  </si>
  <si>
    <t>В это, отдыхать тоже на это на море. Ну я поехала,</t>
  </si>
  <si>
    <t>- за ног.</t>
  </si>
  <si>
    <t>Я в то время уже</t>
  </si>
  <si>
    <t>лаптей вышла.</t>
  </si>
  <si>
    <t>неподходяший контекст</t>
  </si>
  <si>
    <t>Конечно. А сейчас</t>
  </si>
  <si>
    <t>торговых – пожалуйста. Раньше эту самогонку как было прятали эту самогонку - господи, не давали ж гнать. Ой, было поймают – сразу штрафу.</t>
  </si>
  <si>
    <t>Да, нитки делали (</t>
  </si>
  <si>
    <t>) со льна.</t>
  </si>
  <si>
    <t>предлог со</t>
  </si>
  <si>
    <t>повтор</t>
  </si>
  <si>
    <t>И он поехал, там с каким - то с нашим, кто - то</t>
  </si>
  <si>
    <t>наших был.</t>
  </si>
  <si>
    <t>глины (с гнилы) делали чашки, жбанки</t>
  </si>
  <si>
    <t>Предлог с</t>
  </si>
  <si>
    <t>глины (с глины) сделанные моло = ну такие по два литра этого, молоко раньше же, всё равно банок так не было, вот это жбанки, бывало, молоко цедили</t>
  </si>
  <si>
    <t>Жбанки ну всякую посуду делала</t>
  </si>
  <si>
    <t>глины (с глины), делают</t>
  </si>
  <si>
    <t>Ну вот тут, как говорили, молитву читают перед киселём. Когда вот кисель поели,</t>
  </si>
  <si>
    <t>- за стола тогда готовь, с поминок.</t>
  </si>
  <si>
    <t>- под низа, который я проехала, назад зерно.</t>
  </si>
  <si>
    <t>Дед воевал. Дед Саня. Он</t>
  </si>
  <si>
    <t>- под оккупации, когда их тут пришли</t>
  </si>
  <si>
    <t>И вот потом они вот вот этот купили. И квартира у них вот в новом в этом доме, когда пере =, когда воинскую часть от нас убрали, а перевели с Эстонии, вот они - то вот построили этот дом последний на Раи Гавриловой три. И вот ей там дали тоже квартиру</t>
  </si>
  <si>
    <t>- за этого дома.</t>
  </si>
  <si>
    <t>Та (тая) деревня страдала</t>
  </si>
  <si>
    <t>- за партизан</t>
  </si>
  <si>
    <t>только что</t>
  </si>
  <si>
    <t>- за этого так.</t>
  </si>
  <si>
    <t>Погоди, как же деревня... всё на языке у меня крутится, и что, вылетело</t>
  </si>
  <si>
    <t>головы...</t>
  </si>
  <si>
    <t>идиомы/фразеологизмы</t>
  </si>
  <si>
    <t>Вылетела</t>
  </si>
  <si>
    <t>головы Макушинская...</t>
  </si>
  <si>
    <t>Это, солнце... Вот это у него сделано из щуки</t>
  </si>
  <si>
    <t>большой, двенадцать с половиной килограмм или двенадцать шестьсот...</t>
  </si>
  <si>
    <t>Сделали...</t>
  </si>
  <si>
    <t>того было, из того и лепили, грубо говоря, то есть...</t>
  </si>
  <si>
    <t>отсутствие лексически выраженного существительного</t>
  </si>
  <si>
    <t>Сделали... из того было,</t>
  </si>
  <si>
    <t>того и лепили, грубо говоря, то есть...</t>
  </si>
  <si>
    <t>О! [</t>
  </si>
  <si>
    <t>] она из Анчинок, вот, вспомнил, Анчинки. Анчинкский мост, анчинкский мост.</t>
  </si>
  <si>
    <t>Да, только баба Зина вот</t>
  </si>
  <si>
    <t>тех, к = которая там проживала, она одна.</t>
  </si>
  <si>
    <t>А получилось, вот, сказала раньше, вот, красный был, &lt; нрзб &gt; у нас тут такие молоденькие, тоже идут, дерутся,</t>
  </si>
  <si>
    <t>подола поднимают</t>
  </si>
  <si>
    <t>Образование у информантов "предлог с"</t>
  </si>
  <si>
    <t>Образование у информантов предлог "из"</t>
  </si>
  <si>
    <t>итого</t>
  </si>
  <si>
    <t>всего</t>
  </si>
  <si>
    <t>заполнено</t>
  </si>
  <si>
    <t>Распределение по возрасту "предлог из"</t>
  </si>
  <si>
    <t>Распределение по возрасту "предлог с"</t>
  </si>
  <si>
    <t>сумма</t>
  </si>
  <si>
    <t>Пятиусово: предлог с</t>
  </si>
  <si>
    <t>Шетнево и Макеево: предлог с</t>
  </si>
  <si>
    <t>Опочка: предлог с</t>
  </si>
  <si>
    <t>Пятиусово: предлог из</t>
  </si>
  <si>
    <t>Шетнево и Макеево: предлог из</t>
  </si>
  <si>
    <t>Опочка: предлог из</t>
  </si>
  <si>
    <t>Пятиусово, год рождения: предлог с</t>
  </si>
  <si>
    <t>Шетнево и Макеево, год рождения: предлог с</t>
  </si>
  <si>
    <t>Опочка, год рождения: предлог с</t>
  </si>
  <si>
    <t>Пятиусово, год рождения: предлог из</t>
  </si>
  <si>
    <t>Шетнево и Макеево, год рождения: предлог из</t>
  </si>
  <si>
    <t>Опочка, год рождения: предлог из</t>
  </si>
  <si>
    <t>Таблица 1. Общее количество примеров по корпусам</t>
  </si>
  <si>
    <t>Таблица 3. Распределение предлога с по семантическим категориям (все корпуса)</t>
  </si>
  <si>
    <t>Всего примеров с с</t>
  </si>
  <si>
    <t>Всего примеров с из</t>
  </si>
  <si>
    <t>Всего релевантных примеров</t>
  </si>
  <si>
    <t>Семантическая категория</t>
  </si>
  <si>
    <t>Количество примеров с с</t>
  </si>
  <si>
    <t>Доля от всех примеров с с (%)</t>
  </si>
  <si>
    <t>Количество примеров с из</t>
  </si>
  <si>
    <t>Доля от всех примеров с из (%)</t>
  </si>
  <si>
    <t>топоним</t>
  </si>
  <si>
    <t>единица атд</t>
  </si>
  <si>
    <t>Объединенные корпуса</t>
  </si>
  <si>
    <t>природные локации</t>
  </si>
  <si>
    <t>Проценты</t>
  </si>
  <si>
    <t>контейнер</t>
  </si>
  <si>
    <t>Таблица 2. Процентное отношение примеров по корпусам</t>
  </si>
  <si>
    <t>армия, тюрьма</t>
  </si>
  <si>
    <t>деньги, заработок</t>
  </si>
  <si>
    <t>Таблица 4. Распределение предлога с по типам конструкций (все корпуса)</t>
  </si>
  <si>
    <t>Есть прайминг из</t>
  </si>
  <si>
    <t>Тип конструкции</t>
  </si>
  <si>
    <t>Нет прайминга из</t>
  </si>
  <si>
    <t>Пространственная (s)</t>
  </si>
  <si>
    <t>Итого</t>
  </si>
  <si>
    <t>Объектная (o)</t>
  </si>
  <si>
    <t>Атрибутивная (a)</t>
  </si>
  <si>
    <t>Прайминг по семантическим категориям</t>
  </si>
  <si>
    <t>Соответствие норме</t>
  </si>
  <si>
    <t>Тип связи (предлог с)</t>
  </si>
  <si>
    <t>проценты с</t>
  </si>
  <si>
    <t>предлог из</t>
  </si>
  <si>
    <t>проценты из</t>
  </si>
  <si>
    <t>пространственная (s)</t>
  </si>
  <si>
    <t>объектная (o)</t>
  </si>
  <si>
    <t>аттрибутивная (a)</t>
  </si>
  <si>
    <t>соотвествует норме</t>
  </si>
  <si>
    <t>именная (n)</t>
  </si>
  <si>
    <t>не соответствует норме</t>
  </si>
  <si>
    <t>глагольная (v)</t>
  </si>
  <si>
    <t>Тип связи (предлог из)</t>
  </si>
  <si>
    <t>Распределение семантических категорий по типам конструкций для предлога с</t>
  </si>
  <si>
    <t>Распределение семантических категорий по типам конструкций для предлога из</t>
  </si>
  <si>
    <t>Распределение семантических категорий по типам конструкций для предлога из с поправкой на прайминг</t>
  </si>
  <si>
    <t>Распределение по семантическим категориям после поправки на прайминг</t>
  </si>
  <si>
    <t>ID</t>
  </si>
  <si>
    <t>пример с предполагаемым праймингом</t>
  </si>
  <si>
    <t>употребление с предлогом с</t>
  </si>
  <si>
    <t>использование из в той же семантической категории без из от интервьюера</t>
  </si>
  <si>
    <t>Да, она родом из Каськова, да.</t>
  </si>
  <si>
    <t>Ну знаю, моя бабушка, по - моему, ж = жила, родом	с Антонова.</t>
  </si>
  <si>
    <t>отсутствует</t>
  </si>
  <si>
    <t>Из молока, которое в хозяйствве, во все времена и даже в пятьдесят восьмом году у нас уже был сепаратор, ещё не замужем была, а нас только приняли в совхоз, совхоз был на деньгах, поэтому нас соединили. И перегоняли, перегон, хочешь на творог перегон, хочешь, держали поросёнка, поросё = поросятам давали и белили, а ну, а молоко, делали масло, творог, ой ели ну такое, своё, ну.</t>
  </si>
  <si>
    <t>Ну ну если у ва = если у вас курица есть, обрежете лопатки все, я как делаю, ну я одна же у вас компания большая, я не знаю, как вы, я делаю этой самой все мякоть, кости эти варю, разрублю и кидаю, а	с мякоти можете хоть котлет (котлетин) изпечь, хоть там что вы делаете, картошку в сделаете как фарш что, что захотите (захочите).</t>
  </si>
  <si>
    <t>Я = яйца, да, и яйца сдавали в совхоз, ну сами са = сами эти (эты) не, я думаю, ни разу, я не помню, чтобы мы сдавали мясо. А вот когда куры были, сдавали, кур было много, и каждый день возили в в ящиках (ящикам) больших (большим) по шестьсот штук в ящике были. Быва = бывало, это яйца, наверное, летом, летом, наверное, по шесть ящиков и даже в день были, ну много было кур и много яи = яиц было, и были большие расклёвы, а = курица курицу может расклевать, потому что не хватает, мяса давали, мяса, если какая - то, там &lt; нрзб &gt; что - то, то резали, там привозили к нам, и мы варили в котлах, в котлах вместе с картошкой с &lt; нрзб &gt; и давали, тогда вроде поменьше клю =, ну если расклёв был, то нас мы заста нас заставляли сразу её резать, ну в кипяток сажали, вычищали, и только голову себе оставляли, ноги потро = потроха, это себе оставляли, а если, а это сдавали. Вот это самое &lt; нрзб &gt; каждый день суп готовили	из	потрохов, вкусно были, боже мой, хорошо, сейчас в магазине возьму курицу, я даже есть её не могу, она чем - то пахнет, не понимаю я, обвариваю, обвариваю кипятком, и как - то не з = не понимаю, что такое раньше, то ли корм может (може) не такой, что, не знаю.</t>
  </si>
  <si>
    <t>Из Стевии ?</t>
  </si>
  <si>
    <t>С шерсти (шерсть). Овец держали, шерсть.</t>
  </si>
  <si>
    <t>Из Москвы?</t>
  </si>
  <si>
    <t>Познакомились? Ну, мы с одной деревни.</t>
  </si>
  <si>
    <t>А из фруктов ничего, ни с каких не делала.</t>
  </si>
  <si>
    <t>С малин тоже делают как хорошо, тоже говорят вкусная.</t>
  </si>
  <si>
    <t>Да и =из шерсти, исподки эти.</t>
  </si>
  <si>
    <t>С овец.</t>
  </si>
  <si>
    <t>Не, из льна мы не делали, увозили куда - то его на машина увозила, наверное, специально на эти...</t>
  </si>
  <si>
    <t>Крятки такие, два колеса из дерева, вырезанные с этого...</t>
  </si>
  <si>
    <t>Из Щелкино, сынок. С той деревни. Она в магазин ходила, потом уже в последнее время она старая, не стала ходить.</t>
  </si>
  <si>
    <t>С той деревни</t>
  </si>
  <si>
    <t>Из города? Ага</t>
  </si>
  <si>
    <t>Предлог из</t>
  </si>
  <si>
    <t>Распределение семантических категорий по пространственной конструкции для предлога с</t>
  </si>
  <si>
    <t>Распределение семантических категорий по пространственной конструкции для предлога из</t>
  </si>
  <si>
    <t>Общее</t>
  </si>
  <si>
    <t>Пятиусово (s)</t>
  </si>
  <si>
    <t>Шетнево (s)</t>
  </si>
  <si>
    <t>Опочка (s)</t>
  </si>
  <si>
    <t>Общее (s)</t>
  </si>
  <si>
    <t>Пятиусово (o)</t>
  </si>
  <si>
    <t>Шетнево (o)</t>
  </si>
  <si>
    <t>Опочка (o)</t>
  </si>
  <si>
    <t>Общее (o)</t>
  </si>
  <si>
    <t>Пятиусово (a)</t>
  </si>
  <si>
    <t>Шетнево (a)</t>
  </si>
  <si>
    <t>Опочка (a)</t>
  </si>
  <si>
    <t>Общее (a)</t>
  </si>
  <si>
    <t>Таблица 4. Распределение предлога из по типам конструкций (все корпуса)</t>
  </si>
  <si>
    <t>Распределение предлога из по семантическим группам с поправкой на прайминг</t>
  </si>
  <si>
    <t>Общая характеристика</t>
  </si>
  <si>
    <t>Распределение предлога с по семантическим категориям (Пятиусово)</t>
  </si>
  <si>
    <t>Предлог</t>
  </si>
  <si>
    <t>Количество примеров</t>
  </si>
  <si>
    <t>Доля от всех примеров (%)</t>
  </si>
  <si>
    <t>Внутреннее процентное соотношение</t>
  </si>
  <si>
    <t>Распределение предлога с по типам конструкций (Пятиусово)</t>
  </si>
  <si>
    <t>предлог_из'!A2:A1000, "Корпус говора деревни Пятиусово"</t>
  </si>
  <si>
    <t>предлог_с'!A2:A1000, "Корпус говора деревни Пятиусово"</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</si>
</sst>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sz val="11.0"/>
      <color theme="1"/>
      <name val="Calibri"/>
    </font>
    <font>
      <color theme="1"/>
      <name val="Arial"/>
      <scheme val="minor"/>
    </font>
    <font>
      <color theme="1"/>
      <name val="Calibri"/>
    </font>
    <font>
      <sz val="12.0"/>
      <color theme="1"/>
      <name val="Arial"/>
      <scheme val="minor"/>
    </font>
    <font/>
    <font>
      <sz val="11.0"/>
      <color theme="1"/>
      <name val="Arial"/>
      <scheme val="minor"/>
    </font>
    <font>
      <sz val="11.0"/>
      <color rgb="FF000000"/>
      <name val="Arial"/>
    </font>
    <font>
      <sz val="11.0"/>
      <color theme="1"/>
      <name val="Arial"/>
    </font>
    <font>
      <i/>
      <color theme="1"/>
      <name val="Arial"/>
      <scheme val="minor"/>
    </font>
  </fonts>
  <fills count="5">
    <fill>
      <patternFill patternType="none"/>
    </fill>
    <fill>
      <patternFill patternType="lightGray"/>
    </fill>
    <fill>
      <patternFill patternType="solid">
        <fgColor rgb="FF93C47D"/>
        <bgColor rgb="FF93C47D"/>
      </patternFill>
    </fill>
    <fill>
      <patternFill patternType="solid">
        <fgColor rgb="FFFFD966"/>
        <bgColor rgb="FFFFD966"/>
      </patternFill>
    </fill>
    <fill>
      <patternFill patternType="solid">
        <fgColor rgb="FF6FA8DC"/>
        <bgColor rgb="FF6FA8D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vertical="bottom"/>
    </xf>
    <xf borderId="0" fillId="2" fontId="1" numFmtId="0" xfId="0" applyAlignment="1" applyFill="1" applyFont="1">
      <alignment horizontal="right" readingOrder="0" vertical="bottom"/>
    </xf>
    <xf borderId="0" fillId="0" fontId="1" numFmtId="0" xfId="0" applyAlignment="1" applyFont="1">
      <alignment horizontal="right" vertical="bottom"/>
    </xf>
    <xf borderId="0" fillId="0" fontId="1" numFmtId="0" xfId="0" applyAlignment="1" applyFont="1">
      <alignment horizontal="right" readingOrder="0" vertical="bottom"/>
    </xf>
    <xf borderId="0" fillId="3" fontId="3" numFmtId="0" xfId="0" applyAlignment="1" applyFill="1" applyFont="1">
      <alignment readingOrder="0"/>
    </xf>
    <xf borderId="0" fillId="0" fontId="2" numFmtId="0" xfId="0" applyAlignment="1" applyFont="1">
      <alignment horizontal="right"/>
    </xf>
    <xf borderId="0" fillId="0" fontId="2" numFmtId="0" xfId="0" applyFont="1"/>
    <xf borderId="0" fillId="0" fontId="2" numFmtId="0" xfId="0" applyAlignment="1" applyFont="1">
      <alignment readingOrder="0"/>
    </xf>
    <xf borderId="0" fillId="0" fontId="2" numFmtId="0" xfId="0" applyAlignment="1" applyFont="1">
      <alignment horizontal="right" readingOrder="0"/>
    </xf>
    <xf borderId="0" fillId="0" fontId="2" numFmtId="0" xfId="0" applyAlignment="1" applyFont="1">
      <alignment horizontal="center"/>
    </xf>
    <xf borderId="0" fillId="4" fontId="3" numFmtId="0" xfId="0" applyAlignment="1" applyFill="1" applyFont="1">
      <alignment readingOrder="0"/>
    </xf>
    <xf borderId="0" fillId="0" fontId="3" numFmtId="0" xfId="0" applyFont="1"/>
    <xf borderId="1" fillId="0" fontId="3" numFmtId="0" xfId="0" applyBorder="1" applyFont="1"/>
    <xf borderId="0" fillId="0" fontId="1" numFmtId="0" xfId="0" applyAlignment="1" applyFont="1">
      <alignment horizontal="center" vertical="bottom"/>
    </xf>
    <xf borderId="0" fillId="3" fontId="2" numFmtId="0" xfId="0" applyFont="1"/>
    <xf borderId="0" fillId="4" fontId="2" numFmtId="0" xfId="0" applyFont="1"/>
    <xf borderId="0" fillId="0" fontId="3" numFmtId="0" xfId="0" applyAlignment="1" applyFont="1">
      <alignment readingOrder="0"/>
    </xf>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horizontal="center" vertical="bottom"/>
    </xf>
    <xf borderId="0" fillId="0" fontId="2" numFmtId="0" xfId="0" applyAlignment="1" applyFont="1">
      <alignment horizontal="right" vertical="bottom"/>
    </xf>
    <xf borderId="0" fillId="0" fontId="5" numFmtId="0" xfId="0" applyFont="1"/>
    <xf borderId="2" fillId="0" fontId="3" numFmtId="0" xfId="0" applyAlignment="1" applyBorder="1" applyFont="1">
      <alignment readingOrder="0"/>
    </xf>
    <xf borderId="3" fillId="0" fontId="6" numFmtId="0" xfId="0" applyBorder="1" applyFont="1"/>
    <xf borderId="4" fillId="0" fontId="6" numFmtId="0" xfId="0" applyBorder="1" applyFont="1"/>
    <xf borderId="1" fillId="0" fontId="3" numFmtId="10" xfId="0" applyBorder="1" applyFont="1" applyNumberFormat="1"/>
    <xf borderId="1" fillId="0" fontId="3" numFmtId="0" xfId="0" applyAlignment="1" applyBorder="1" applyFont="1">
      <alignment readingOrder="0"/>
    </xf>
    <xf borderId="0" fillId="0" fontId="3" numFmtId="10" xfId="0" applyFont="1" applyNumberFormat="1"/>
    <xf borderId="1" fillId="0" fontId="3" numFmtId="0" xfId="0" applyAlignment="1" applyBorder="1" applyFont="1">
      <alignment horizontal="right" readingOrder="0"/>
    </xf>
    <xf borderId="1" fillId="0" fontId="3" numFmtId="0" xfId="0" applyAlignment="1" applyBorder="1" applyFont="1">
      <alignment horizontal="right"/>
    </xf>
    <xf borderId="0" fillId="0" fontId="3" numFmtId="0" xfId="0" applyAlignment="1" applyFont="1">
      <alignment horizontal="center" readingOrder="0"/>
    </xf>
    <xf borderId="0" fillId="0" fontId="1" numFmtId="0" xfId="0" applyAlignment="1" applyFont="1">
      <alignment horizontal="center" readingOrder="0" vertical="bottom"/>
    </xf>
    <xf borderId="1" fillId="0" fontId="1" numFmtId="0" xfId="0" applyAlignment="1" applyBorder="1" applyFont="1">
      <alignment vertical="bottom"/>
    </xf>
    <xf borderId="1" fillId="0" fontId="1" numFmtId="0" xfId="0" applyAlignment="1" applyBorder="1" applyFont="1">
      <alignment readingOrder="0" vertical="bottom"/>
    </xf>
    <xf borderId="1" fillId="2" fontId="1" numFmtId="0" xfId="0" applyAlignment="1" applyBorder="1" applyFont="1">
      <alignment horizontal="left" readingOrder="0" vertical="bottom"/>
    </xf>
    <xf borderId="1" fillId="3" fontId="3" numFmtId="0" xfId="0" applyAlignment="1" applyBorder="1" applyFont="1">
      <alignment readingOrder="0"/>
    </xf>
    <xf borderId="1" fillId="4" fontId="3" numFmtId="0" xfId="0" applyAlignment="1" applyBorder="1" applyFont="1">
      <alignment readingOrder="0"/>
    </xf>
    <xf borderId="1" fillId="0" fontId="3" numFmtId="9" xfId="0" applyAlignment="1" applyBorder="1" applyFont="1" applyNumberFormat="1">
      <alignment readingOrder="0"/>
    </xf>
    <xf borderId="1" fillId="0" fontId="7" numFmtId="0" xfId="0" applyAlignment="1" applyBorder="1" applyFont="1">
      <alignment vertical="bottom"/>
    </xf>
    <xf borderId="1" fillId="0" fontId="3" numFmtId="10" xfId="0" applyAlignment="1" applyBorder="1" applyFont="1" applyNumberFormat="1">
      <alignment readingOrder="0"/>
    </xf>
    <xf borderId="0" fillId="0" fontId="7" numFmtId="0" xfId="0" applyAlignment="1" applyFont="1">
      <alignment vertical="bottom"/>
    </xf>
    <xf borderId="2" fillId="0" fontId="1" numFmtId="0" xfId="0" applyAlignment="1" applyBorder="1" applyFont="1">
      <alignment vertical="bottom"/>
    </xf>
    <xf borderId="1" fillId="0" fontId="1" numFmtId="0" xfId="0" applyAlignment="1" applyBorder="1" applyFont="1">
      <alignment horizontal="right" readingOrder="0" vertical="bottom"/>
    </xf>
    <xf borderId="1" fillId="0" fontId="1" numFmtId="10" xfId="0" applyAlignment="1" applyBorder="1" applyFont="1" applyNumberFormat="1">
      <alignment horizontal="right" vertical="bottom"/>
    </xf>
    <xf borderId="1" fillId="0" fontId="1" numFmtId="0" xfId="0" applyAlignment="1" applyBorder="1" applyFont="1">
      <alignment horizontal="right" vertical="bottom"/>
    </xf>
    <xf borderId="0" fillId="0" fontId="8" numFmtId="0" xfId="0" applyAlignment="1" applyFont="1">
      <alignment readingOrder="0"/>
    </xf>
    <xf borderId="0" fillId="0" fontId="8" numFmtId="0" xfId="0" applyFont="1"/>
    <xf borderId="2" fillId="0" fontId="1" numFmtId="0" xfId="0" applyAlignment="1" applyBorder="1" applyFont="1">
      <alignment readingOrder="0" vertical="bottom"/>
    </xf>
    <xf borderId="1" fillId="0" fontId="1" numFmtId="10" xfId="0" applyAlignment="1" applyBorder="1" applyFont="1" applyNumberFormat="1">
      <alignment readingOrder="0" vertical="bottom"/>
    </xf>
    <xf borderId="1" fillId="0" fontId="9" numFmtId="0" xfId="0" applyAlignment="1" applyBorder="1" applyFont="1">
      <alignment vertical="bottom"/>
    </xf>
    <xf borderId="0" fillId="0" fontId="9" numFmtId="0" xfId="0" applyAlignment="1" applyFont="1">
      <alignment vertical="bottom"/>
    </xf>
    <xf borderId="0" fillId="0" fontId="10" numFmtId="0" xfId="0" applyFont="1"/>
    <xf borderId="1" fillId="0" fontId="1" numFmtId="0" xfId="0" applyAlignment="1" applyBorder="1" applyFont="1">
      <alignment vertical="bottom"/>
    </xf>
    <xf borderId="0" fillId="0" fontId="1" numFmtId="10" xfId="0" applyAlignment="1" applyFont="1" applyNumberFormat="1">
      <alignment horizontal="right" vertical="bottom"/>
    </xf>
    <xf borderId="1" fillId="0" fontId="1" numFmtId="10" xfId="0" applyAlignment="1" applyBorder="1" applyFont="1" applyNumberFormat="1">
      <alignment horizontal="right" readingOrder="0" vertical="bottom"/>
    </xf>
    <xf quotePrefix="1"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'респонденты'!$J$2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Lbls>
            <c:showLegendKey val="0"/>
            <c:showVal val="0"/>
            <c:showCatName val="0"/>
            <c:showSerName val="0"/>
            <c:showPercent val="0"/>
            <c:showBubbleSize val="0"/>
            <c:showLeaderLines val="1"/>
          </c:dLbls>
          <c:cat>
            <c:strRef>
              <c:f>'респонденты'!$I$3:$I$10</c:f>
            </c:strRef>
          </c:cat>
          <c:val>
            <c:numRef>
              <c:f>'респонденты'!$J$3:$J$10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'респонденты'!$B$26</c:f>
            </c:strRef>
          </c:tx>
          <c:spPr>
            <a:solidFill>
              <a:schemeClr val="accent1"/>
            </a:solidFill>
            <a:ln cmpd="sng">
              <a:solidFill>
                <a:srgbClr val="000000"/>
              </a:solidFill>
            </a:ln>
          </c:spPr>
          <c:dPt>
            <c:idx val="12"/>
          </c:dPt>
          <c:cat>
            <c:strRef>
              <c:f>'респонденты'!$A$27:$A$45</c:f>
            </c:strRef>
          </c:cat>
          <c:val>
            <c:numRef>
              <c:f>'респонденты'!$B$27:$B$45</c:f>
              <c:numCache/>
            </c:numRef>
          </c:val>
        </c:ser>
        <c:axId val="737502951"/>
        <c:axId val="909391051"/>
      </c:barChart>
      <c:catAx>
        <c:axId val="7375029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Распределение по возрасту "предлог с"</a:t>
                </a:r>
              </a:p>
            </c:rich>
          </c:tx>
          <c:overlay val="0"/>
        </c:title>
        <c:numFmt formatCode="General" sourceLinked="1"/>
        <c:majorTickMark val="none"/>
        <c:minorTickMark val="none"/>
        <c:spPr/>
        <c:txPr>
          <a:bodyPr/>
          <a:lstStyle/>
          <a:p>
            <a:pPr lvl="0">
              <a:defRPr b="0">
                <a:solidFill>
                  <a:srgbClr val="000000"/>
                </a:solidFill>
                <a:latin typeface="+mn-lt"/>
              </a:defRPr>
            </a:pPr>
          </a:p>
        </c:txPr>
        <c:crossAx val="909391051"/>
      </c:catAx>
      <c:valAx>
        <c:axId val="9093910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750295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'респонденты'!$O$19</c:f>
            </c:strRef>
          </c:tx>
          <c:spPr>
            <a:solidFill>
              <a:schemeClr val="accent1"/>
            </a:solidFill>
            <a:ln cmpd="sng">
              <a:solidFill>
                <a:srgbClr val="000000"/>
              </a:solidFill>
            </a:ln>
          </c:spPr>
          <c:cat>
            <c:strRef>
              <c:f>'респонденты'!$N$20:$N$31</c:f>
            </c:strRef>
          </c:cat>
          <c:val>
            <c:numRef>
              <c:f>'респонденты'!$O$20:$O$31</c:f>
              <c:numCache/>
            </c:numRef>
          </c:val>
        </c:ser>
        <c:axId val="2076729854"/>
        <c:axId val="387302608"/>
      </c:barChart>
      <c:catAx>
        <c:axId val="20767298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Распределение по возрасту "предлог из"</a:t>
                </a:r>
              </a:p>
            </c:rich>
          </c:tx>
          <c:overlay val="0"/>
        </c:title>
        <c:numFmt formatCode="General" sourceLinked="1"/>
        <c:majorTickMark val="none"/>
        <c:minorTickMark val="none"/>
        <c:spPr/>
        <c:txPr>
          <a:bodyPr/>
          <a:lstStyle/>
          <a:p>
            <a:pPr lvl="0">
              <a:defRPr b="0">
                <a:solidFill>
                  <a:srgbClr val="000000"/>
                </a:solidFill>
                <a:latin typeface="+mn-lt"/>
              </a:defRPr>
            </a:pPr>
          </a:p>
        </c:txPr>
        <c:crossAx val="387302608"/>
      </c:catAx>
      <c:valAx>
        <c:axId val="387302608"/>
        <c:scaling>
          <c:orientation val="minMax"/>
          <c:max val="0.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672985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'респонденты'!$U$3</c:f>
            </c:strRef>
          </c:tx>
          <c:dPt>
            <c:idx val="0"/>
            <c:spPr>
              <a:solidFill>
                <a:srgbClr val="4285F4"/>
              </a:solidFill>
            </c:spPr>
          </c:dPt>
          <c:dPt>
            <c:idx val="1"/>
            <c:spPr>
              <a:solidFill>
                <a:srgbClr val="EA4335"/>
              </a:solidFill>
            </c:spPr>
          </c:dPt>
          <c:dPt>
            <c:idx val="2"/>
            <c:spPr>
              <a:solidFill>
                <a:srgbClr val="FF6D01"/>
              </a:solidFill>
            </c:spPr>
          </c:dPt>
          <c:dPt>
            <c:idx val="3"/>
            <c:spPr>
              <a:solidFill>
                <a:srgbClr val="46BDC6"/>
              </a:solidFill>
            </c:spPr>
          </c:dPt>
          <c:dPt>
            <c:idx val="4"/>
            <c:spPr>
              <a:solidFill>
                <a:srgbClr val="7BAAF7"/>
              </a:solidFill>
            </c:spPr>
          </c:dPt>
          <c:dPt>
            <c:idx val="5"/>
            <c:spPr>
              <a:solidFill>
                <a:srgbClr val="F07B72"/>
              </a:solidFill>
            </c:spPr>
          </c:dPt>
          <c:dLbls>
            <c:showLegendKey val="0"/>
            <c:showVal val="0"/>
            <c:showCatName val="0"/>
            <c:showSerName val="0"/>
            <c:showPercent val="0"/>
            <c:showBubbleSize val="0"/>
            <c:showLeaderLines val="1"/>
          </c:dLbls>
          <c:cat>
            <c:strRef>
              <c:f>'респонденты'!$T$4:$T$9</c:f>
            </c:strRef>
          </c:cat>
          <c:val>
            <c:numRef>
              <c:f>'респонденты'!$U$4:$U$9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chemeClr val="dk1"/>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'статистика'!$H$38:$H$39</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'статистика'!$G$40:$G$52</c:f>
            </c:strRef>
          </c:cat>
          <c:val>
            <c:numRef>
              <c:f>'статистика'!$H$40:$H$52</c:f>
              <c:numCache/>
            </c:numRef>
          </c:val>
        </c:ser>
        <c:ser>
          <c:idx val="1"/>
          <c:order val="1"/>
          <c:tx>
            <c:strRef>
              <c:f>'статистика'!$I$38:$I$39</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'статистика'!$G$40:$G$52</c:f>
            </c:strRef>
          </c:cat>
          <c:val>
            <c:numRef>
              <c:f>'статистика'!$I$40:$I$52</c:f>
              <c:numCache/>
            </c:numRef>
          </c:val>
        </c:ser>
        <c:ser>
          <c:idx val="2"/>
          <c:order val="2"/>
          <c:tx>
            <c:strRef>
              <c:f>'статистика'!$J$38:$J$39</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'статистика'!$G$40:$G$52</c:f>
            </c:strRef>
          </c:cat>
          <c:val>
            <c:numRef>
              <c:f>'статистика'!$J$40:$J$52</c:f>
              <c:numCache/>
            </c:numRef>
          </c:val>
        </c:ser>
        <c:overlap val="100"/>
        <c:axId val="44444294"/>
        <c:axId val="877221273"/>
      </c:barChart>
      <c:catAx>
        <c:axId val="444442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Распределение семантических категорий по типам конструкций для предлога с</a:t>
                </a:r>
              </a:p>
            </c:rich>
          </c:tx>
          <c:overlay val="0"/>
        </c:title>
        <c:numFmt formatCode="General" sourceLinked="1"/>
        <c:majorTickMark val="none"/>
        <c:minorTickMark val="none"/>
        <c:spPr/>
        <c:txPr>
          <a:bodyPr/>
          <a:lstStyle/>
          <a:p>
            <a:pPr lvl="0">
              <a:defRPr b="0">
                <a:solidFill>
                  <a:srgbClr val="000000"/>
                </a:solidFill>
                <a:latin typeface="+mn-lt"/>
              </a:defRPr>
            </a:pPr>
          </a:p>
        </c:txPr>
        <c:crossAx val="877221273"/>
      </c:catAx>
      <c:valAx>
        <c:axId val="8772212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444294"/>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'статистика'!$H$55:$H$56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'статистика'!$G$57:$G$69</c:f>
            </c:strRef>
          </c:cat>
          <c:val>
            <c:numRef>
              <c:f>'статистика'!$H$57:$H$69</c:f>
              <c:numCache/>
            </c:numRef>
          </c:val>
        </c:ser>
        <c:ser>
          <c:idx val="1"/>
          <c:order val="1"/>
          <c:tx>
            <c:strRef>
              <c:f>'статистика'!$I$55:$I$56</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'статистика'!$G$57:$G$69</c:f>
            </c:strRef>
          </c:cat>
          <c:val>
            <c:numRef>
              <c:f>'статистика'!$I$57:$I$69</c:f>
              <c:numCache/>
            </c:numRef>
          </c:val>
        </c:ser>
        <c:ser>
          <c:idx val="2"/>
          <c:order val="2"/>
          <c:tx>
            <c:strRef>
              <c:f>'статистика'!$J$55:$J$56</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'статистика'!$G$57:$G$69</c:f>
            </c:strRef>
          </c:cat>
          <c:val>
            <c:numRef>
              <c:f>'статистика'!$J$57:$J$69</c:f>
              <c:numCache/>
            </c:numRef>
          </c:val>
        </c:ser>
        <c:overlap val="100"/>
        <c:axId val="1504751445"/>
        <c:axId val="295737674"/>
      </c:barChart>
      <c:catAx>
        <c:axId val="15047514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Распределение семантических категорий по типам конструкций для предлога из</a:t>
                </a:r>
              </a:p>
            </c:rich>
          </c:tx>
          <c:overlay val="0"/>
        </c:title>
        <c:numFmt formatCode="General" sourceLinked="1"/>
        <c:majorTickMark val="none"/>
        <c:minorTickMark val="none"/>
        <c:spPr/>
        <c:txPr>
          <a:bodyPr/>
          <a:lstStyle/>
          <a:p>
            <a:pPr lvl="0">
              <a:defRPr b="0">
                <a:solidFill>
                  <a:srgbClr val="000000"/>
                </a:solidFill>
                <a:latin typeface="+mn-lt"/>
              </a:defRPr>
            </a:pPr>
          </a:p>
        </c:txPr>
        <c:crossAx val="295737674"/>
      </c:catAx>
      <c:valAx>
        <c:axId val="2957376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4751445"/>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'статистика'!$M$19</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'статистика'!$L$20:$L$22</c:f>
            </c:strRef>
          </c:cat>
          <c:val>
            <c:numRef>
              <c:f>'статистика'!$M$20:$M$22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'статистика'!$Q$19</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'статистика'!$P$20:$P$22</c:f>
            </c:strRef>
          </c:cat>
          <c:val>
            <c:numRef>
              <c:f>'статистика'!$Q$20:$Q$22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'статистика'!$H$71:$H$72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'статистика'!$G$73:$G$85</c:f>
            </c:strRef>
          </c:cat>
          <c:val>
            <c:numRef>
              <c:f>'статистика'!$H$73:$H$85</c:f>
              <c:numCache/>
            </c:numRef>
          </c:val>
        </c:ser>
        <c:ser>
          <c:idx val="1"/>
          <c:order val="1"/>
          <c:tx>
            <c:strRef>
              <c:f>'статистика'!$I$71:$I$72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'статистика'!$G$73:$G$85</c:f>
            </c:strRef>
          </c:cat>
          <c:val>
            <c:numRef>
              <c:f>'статистика'!$I$73:$I$85</c:f>
              <c:numCache/>
            </c:numRef>
          </c:val>
        </c:ser>
        <c:ser>
          <c:idx val="2"/>
          <c:order val="2"/>
          <c:tx>
            <c:strRef>
              <c:f>'статистика'!$J$71:$J$72</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'статистика'!$G$73:$G$85</c:f>
            </c:strRef>
          </c:cat>
          <c:val>
            <c:numRef>
              <c:f>'статистика'!$J$73:$J$85</c:f>
              <c:numCache/>
            </c:numRef>
          </c:val>
        </c:ser>
        <c:overlap val="100"/>
        <c:axId val="223686310"/>
        <c:axId val="556438387"/>
      </c:barChart>
      <c:catAx>
        <c:axId val="2236863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Распределение семантических категорий по типам конструкций для предлога из с поправкой на прайминг</a:t>
                </a:r>
              </a:p>
            </c:rich>
          </c:tx>
          <c:overlay val="0"/>
        </c:title>
        <c:numFmt formatCode="General" sourceLinked="1"/>
        <c:majorTickMark val="none"/>
        <c:minorTickMark val="none"/>
        <c:spPr/>
        <c:txPr>
          <a:bodyPr/>
          <a:lstStyle/>
          <a:p>
            <a:pPr lvl="0">
              <a:defRPr b="0">
                <a:solidFill>
                  <a:srgbClr val="000000"/>
                </a:solidFill>
                <a:latin typeface="+mn-lt"/>
              </a:defRPr>
            </a:pPr>
          </a:p>
        </c:txPr>
        <c:crossAx val="556438387"/>
      </c:catAx>
      <c:valAx>
        <c:axId val="5564383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3686310"/>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Предлог "с": распределение примеров каждого корпуса по семантическим категориям</a:t>
            </a:r>
          </a:p>
        </c:rich>
      </c:tx>
      <c:overlay val="0"/>
    </c:title>
    <c:plotArea>
      <c:layout/>
      <c:barChart>
        <c:barDir val="col"/>
        <c:ser>
          <c:idx val="0"/>
          <c:order val="0"/>
          <c:tx>
            <c:strRef>
              <c:f>'Сводные таблицы и графики'!$B$2</c:f>
            </c:strRef>
          </c:tx>
          <c:spPr>
            <a:solidFill>
              <a:schemeClr val="accent1"/>
            </a:solidFill>
            <a:ln cmpd="sng">
              <a:solidFill>
                <a:srgbClr val="000000"/>
              </a:solidFill>
            </a:ln>
          </c:spPr>
          <c:cat>
            <c:strRef>
              <c:f>'Сводные таблицы и графики'!$A$3:$A$15</c:f>
            </c:strRef>
          </c:cat>
          <c:val>
            <c:numRef>
              <c:f>'Сводные таблицы и графики'!$B$3:$B$15</c:f>
              <c:numCache/>
            </c:numRef>
          </c:val>
        </c:ser>
        <c:ser>
          <c:idx val="1"/>
          <c:order val="1"/>
          <c:tx>
            <c:strRef>
              <c:f>'Сводные таблицы и графики'!$C$2</c:f>
            </c:strRef>
          </c:tx>
          <c:spPr>
            <a:solidFill>
              <a:schemeClr val="accent2"/>
            </a:solidFill>
            <a:ln cmpd="sng">
              <a:solidFill>
                <a:srgbClr val="000000"/>
              </a:solidFill>
            </a:ln>
          </c:spPr>
          <c:cat>
            <c:strRef>
              <c:f>'Сводные таблицы и графики'!$A$3:$A$15</c:f>
            </c:strRef>
          </c:cat>
          <c:val>
            <c:numRef>
              <c:f>'Сводные таблицы и графики'!$C$3:$C$15</c:f>
              <c:numCache/>
            </c:numRef>
          </c:val>
        </c:ser>
        <c:ser>
          <c:idx val="2"/>
          <c:order val="2"/>
          <c:tx>
            <c:strRef>
              <c:f>'Сводные таблицы и графики'!$D$2</c:f>
            </c:strRef>
          </c:tx>
          <c:spPr>
            <a:solidFill>
              <a:schemeClr val="accent3"/>
            </a:solidFill>
            <a:ln cmpd="sng">
              <a:solidFill>
                <a:srgbClr val="000000"/>
              </a:solidFill>
            </a:ln>
          </c:spPr>
          <c:cat>
            <c:strRef>
              <c:f>'Сводные таблицы и графики'!$A$3:$A$15</c:f>
            </c:strRef>
          </c:cat>
          <c:val>
            <c:numRef>
              <c:f>'Сводные таблицы и графики'!$D$3:$D$15</c:f>
              <c:numCache/>
            </c:numRef>
          </c:val>
        </c:ser>
        <c:ser>
          <c:idx val="3"/>
          <c:order val="3"/>
          <c:tx>
            <c:strRef>
              <c:f>'Сводные таблицы и графики'!$E$2</c:f>
            </c:strRef>
          </c:tx>
          <c:spPr>
            <a:solidFill>
              <a:schemeClr val="accent4"/>
            </a:solidFill>
            <a:ln cmpd="sng">
              <a:solidFill>
                <a:srgbClr val="000000"/>
              </a:solidFill>
            </a:ln>
          </c:spPr>
          <c:cat>
            <c:strRef>
              <c:f>'Сводные таблицы и графики'!$A$3:$A$15</c:f>
            </c:strRef>
          </c:cat>
          <c:val>
            <c:numRef>
              <c:f>'Сводные таблицы и графики'!$E$3:$E$15</c:f>
              <c:numCache/>
            </c:numRef>
          </c:val>
        </c:ser>
        <c:axId val="372045527"/>
        <c:axId val="962164885"/>
      </c:barChart>
      <c:catAx>
        <c:axId val="3720455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Семантическая категория</a:t>
                </a:r>
              </a:p>
            </c:rich>
          </c:tx>
          <c:overlay val="0"/>
        </c:title>
        <c:numFmt formatCode="General" sourceLinked="1"/>
        <c:majorTickMark val="none"/>
        <c:minorTickMark val="none"/>
        <c:spPr/>
        <c:txPr>
          <a:bodyPr/>
          <a:lstStyle/>
          <a:p>
            <a:pPr lvl="0">
              <a:defRPr b="0">
                <a:solidFill>
                  <a:srgbClr val="000000"/>
                </a:solidFill>
                <a:latin typeface="+mn-lt"/>
              </a:defRPr>
            </a:pPr>
          </a:p>
        </c:txPr>
        <c:crossAx val="962164885"/>
      </c:catAx>
      <c:valAx>
        <c:axId val="9621648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2045527"/>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Предлог "из": распределение примеров каждого корпуса по семантическим категориям</a:t>
            </a:r>
          </a:p>
        </c:rich>
      </c:tx>
      <c:overlay val="0"/>
    </c:title>
    <c:plotArea>
      <c:layout/>
      <c:barChart>
        <c:barDir val="col"/>
        <c:ser>
          <c:idx val="0"/>
          <c:order val="0"/>
          <c:tx>
            <c:strRef>
              <c:f>'Сводные таблицы и графики'!$H$2</c:f>
            </c:strRef>
          </c:tx>
          <c:spPr>
            <a:solidFill>
              <a:schemeClr val="accent1"/>
            </a:solidFill>
            <a:ln cmpd="sng">
              <a:solidFill>
                <a:srgbClr val="000000"/>
              </a:solidFill>
            </a:ln>
          </c:spPr>
          <c:cat>
            <c:strRef>
              <c:f>'Сводные таблицы и графики'!$G$3:$G$15</c:f>
            </c:strRef>
          </c:cat>
          <c:val>
            <c:numRef>
              <c:f>'Сводные таблицы и графики'!$H$3:$H$15</c:f>
              <c:numCache/>
            </c:numRef>
          </c:val>
        </c:ser>
        <c:ser>
          <c:idx val="1"/>
          <c:order val="1"/>
          <c:tx>
            <c:strRef>
              <c:f>'Сводные таблицы и графики'!$I$2</c:f>
            </c:strRef>
          </c:tx>
          <c:spPr>
            <a:solidFill>
              <a:schemeClr val="accent2"/>
            </a:solidFill>
            <a:ln cmpd="sng">
              <a:solidFill>
                <a:srgbClr val="000000"/>
              </a:solidFill>
            </a:ln>
          </c:spPr>
          <c:cat>
            <c:strRef>
              <c:f>'Сводные таблицы и графики'!$G$3:$G$15</c:f>
            </c:strRef>
          </c:cat>
          <c:val>
            <c:numRef>
              <c:f>'Сводные таблицы и графики'!$I$3:$I$15</c:f>
              <c:numCache/>
            </c:numRef>
          </c:val>
        </c:ser>
        <c:ser>
          <c:idx val="2"/>
          <c:order val="2"/>
          <c:tx>
            <c:strRef>
              <c:f>'Сводные таблицы и графики'!$J$2</c:f>
            </c:strRef>
          </c:tx>
          <c:spPr>
            <a:solidFill>
              <a:schemeClr val="accent3"/>
            </a:solidFill>
            <a:ln cmpd="sng">
              <a:solidFill>
                <a:srgbClr val="000000"/>
              </a:solidFill>
            </a:ln>
          </c:spPr>
          <c:cat>
            <c:strRef>
              <c:f>'Сводные таблицы и графики'!$G$3:$G$15</c:f>
            </c:strRef>
          </c:cat>
          <c:val>
            <c:numRef>
              <c:f>'Сводные таблицы и графики'!$J$3:$J$15</c:f>
              <c:numCache/>
            </c:numRef>
          </c:val>
        </c:ser>
        <c:ser>
          <c:idx val="3"/>
          <c:order val="3"/>
          <c:tx>
            <c:strRef>
              <c:f>'Сводные таблицы и графики'!$K$2</c:f>
            </c:strRef>
          </c:tx>
          <c:spPr>
            <a:solidFill>
              <a:schemeClr val="accent4"/>
            </a:solidFill>
            <a:ln cmpd="sng">
              <a:solidFill>
                <a:srgbClr val="000000"/>
              </a:solidFill>
            </a:ln>
          </c:spPr>
          <c:cat>
            <c:strRef>
              <c:f>'Сводные таблицы и графики'!$G$3:$G$15</c:f>
            </c:strRef>
          </c:cat>
          <c:val>
            <c:numRef>
              <c:f>'Сводные таблицы и графики'!$K$3:$K$15</c:f>
              <c:numCache/>
            </c:numRef>
          </c:val>
        </c:ser>
        <c:axId val="1878523914"/>
        <c:axId val="1896815627"/>
      </c:barChart>
      <c:catAx>
        <c:axId val="18785239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Семантическая категория</a:t>
                </a:r>
              </a:p>
            </c:rich>
          </c:tx>
          <c:overlay val="0"/>
        </c:title>
        <c:numFmt formatCode="General" sourceLinked="1"/>
        <c:majorTickMark val="none"/>
        <c:minorTickMark val="none"/>
        <c:spPr/>
        <c:txPr>
          <a:bodyPr/>
          <a:lstStyle/>
          <a:p>
            <a:pPr lvl="0">
              <a:defRPr b="0">
                <a:solidFill>
                  <a:srgbClr val="000000"/>
                </a:solidFill>
                <a:latin typeface="+mn-lt"/>
              </a:defRPr>
            </a:pPr>
          </a:p>
        </c:txPr>
        <c:crossAx val="1896815627"/>
      </c:catAx>
      <c:valAx>
        <c:axId val="18968156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8523914"/>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Всего примеров с с, Всего примеров с из and Всего релевантных примеров</a:t>
            </a:r>
          </a:p>
        </c:rich>
      </c:tx>
      <c:overlay val="0"/>
    </c:title>
    <c:plotArea>
      <c:layout/>
      <c:barChart>
        <c:barDir val="col"/>
        <c:ser>
          <c:idx val="0"/>
          <c:order val="0"/>
          <c:tx>
            <c:strRef>
              <c:f>'Сводные таблицы и графики'!$B$38:$B$39</c:f>
            </c:strRef>
          </c:tx>
          <c:spPr>
            <a:solidFill>
              <a:schemeClr val="accent1"/>
            </a:solidFill>
            <a:ln cmpd="sng">
              <a:solidFill>
                <a:srgbClr val="000000"/>
              </a:solidFill>
            </a:ln>
          </c:spPr>
          <c:cat>
            <c:strRef>
              <c:f>'Сводные таблицы и графики'!$A$40:$A$43</c:f>
            </c:strRef>
          </c:cat>
          <c:val>
            <c:numRef>
              <c:f>'Сводные таблицы и графики'!$B$40:$B$43</c:f>
              <c:numCache/>
            </c:numRef>
          </c:val>
        </c:ser>
        <c:ser>
          <c:idx val="1"/>
          <c:order val="1"/>
          <c:tx>
            <c:strRef>
              <c:f>'Сводные таблицы и графики'!$C$38:$C$39</c:f>
            </c:strRef>
          </c:tx>
          <c:spPr>
            <a:solidFill>
              <a:schemeClr val="accent2"/>
            </a:solidFill>
            <a:ln cmpd="sng">
              <a:solidFill>
                <a:srgbClr val="000000"/>
              </a:solidFill>
            </a:ln>
          </c:spPr>
          <c:cat>
            <c:strRef>
              <c:f>'Сводные таблицы и графики'!$A$40:$A$43</c:f>
            </c:strRef>
          </c:cat>
          <c:val>
            <c:numRef>
              <c:f>'Сводные таблицы и графики'!$C$40:$C$43</c:f>
              <c:numCache/>
            </c:numRef>
          </c:val>
        </c:ser>
        <c:ser>
          <c:idx val="2"/>
          <c:order val="2"/>
          <c:tx>
            <c:strRef>
              <c:f>'Сводные таблицы и графики'!$D$38:$D$39</c:f>
            </c:strRef>
          </c:tx>
          <c:spPr>
            <a:solidFill>
              <a:schemeClr val="accent3"/>
            </a:solidFill>
            <a:ln cmpd="sng">
              <a:solidFill>
                <a:srgbClr val="000000"/>
              </a:solidFill>
            </a:ln>
          </c:spPr>
          <c:cat>
            <c:strRef>
              <c:f>'Сводные таблицы и графики'!$A$40:$A$43</c:f>
            </c:strRef>
          </c:cat>
          <c:val>
            <c:numRef>
              <c:f>'Сводные таблицы и графики'!$D$40:$D$43</c:f>
              <c:numCache/>
            </c:numRef>
          </c:val>
        </c:ser>
        <c:axId val="1324960649"/>
        <c:axId val="858881193"/>
      </c:barChart>
      <c:catAx>
        <c:axId val="13249606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Корпус</a:t>
                </a:r>
              </a:p>
            </c:rich>
          </c:tx>
          <c:overlay val="0"/>
        </c:title>
        <c:numFmt formatCode="General" sourceLinked="1"/>
        <c:majorTickMark val="none"/>
        <c:minorTickMark val="none"/>
        <c:spPr/>
        <c:txPr>
          <a:bodyPr/>
          <a:lstStyle/>
          <a:p>
            <a:pPr lvl="0">
              <a:defRPr b="0">
                <a:solidFill>
                  <a:srgbClr val="000000"/>
                </a:solidFill>
                <a:latin typeface="+mn-lt"/>
              </a:defRPr>
            </a:pPr>
          </a:p>
        </c:txPr>
        <c:crossAx val="858881193"/>
      </c:catAx>
      <c:valAx>
        <c:axId val="8588811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4960649"/>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Предлог с: распределение примеров каждого корпуса по типу конструкции</a:t>
            </a:r>
          </a:p>
        </c:rich>
      </c:tx>
      <c:overlay val="0"/>
    </c:title>
    <c:plotArea>
      <c:layout/>
      <c:barChart>
        <c:barDir val="col"/>
        <c:ser>
          <c:idx val="0"/>
          <c:order val="0"/>
          <c:tx>
            <c:strRef>
              <c:f>'Сводные таблицы и графики'!$B$64:$B$65</c:f>
            </c:strRef>
          </c:tx>
          <c:spPr>
            <a:solidFill>
              <a:schemeClr val="accent1"/>
            </a:solidFill>
            <a:ln cmpd="sng">
              <a:solidFill>
                <a:srgbClr val="000000"/>
              </a:solidFill>
            </a:ln>
          </c:spPr>
          <c:cat>
            <c:strRef>
              <c:f>'Сводные таблицы и графики'!$A$66:$A$68</c:f>
            </c:strRef>
          </c:cat>
          <c:val>
            <c:numRef>
              <c:f>'Сводные таблицы и графики'!$B$66:$B$68</c:f>
              <c:numCache/>
            </c:numRef>
          </c:val>
        </c:ser>
        <c:ser>
          <c:idx val="1"/>
          <c:order val="1"/>
          <c:tx>
            <c:strRef>
              <c:f>'Сводные таблицы и графики'!$C$64:$C$65</c:f>
            </c:strRef>
          </c:tx>
          <c:spPr>
            <a:solidFill>
              <a:schemeClr val="accent2"/>
            </a:solidFill>
            <a:ln cmpd="sng">
              <a:solidFill>
                <a:srgbClr val="000000"/>
              </a:solidFill>
            </a:ln>
          </c:spPr>
          <c:cat>
            <c:strRef>
              <c:f>'Сводные таблицы и графики'!$A$66:$A$68</c:f>
            </c:strRef>
          </c:cat>
          <c:val>
            <c:numRef>
              <c:f>'Сводные таблицы и графики'!$C$66:$C$68</c:f>
              <c:numCache/>
            </c:numRef>
          </c:val>
        </c:ser>
        <c:ser>
          <c:idx val="2"/>
          <c:order val="2"/>
          <c:tx>
            <c:strRef>
              <c:f>'Сводные таблицы и графики'!$D$64:$D$65</c:f>
            </c:strRef>
          </c:tx>
          <c:spPr>
            <a:solidFill>
              <a:schemeClr val="accent3"/>
            </a:solidFill>
            <a:ln cmpd="sng">
              <a:solidFill>
                <a:srgbClr val="000000"/>
              </a:solidFill>
            </a:ln>
          </c:spPr>
          <c:cat>
            <c:strRef>
              <c:f>'Сводные таблицы и графики'!$A$66:$A$68</c:f>
            </c:strRef>
          </c:cat>
          <c:val>
            <c:numRef>
              <c:f>'Сводные таблицы и графики'!$D$66:$D$68</c:f>
              <c:numCache/>
            </c:numRef>
          </c:val>
        </c:ser>
        <c:ser>
          <c:idx val="3"/>
          <c:order val="3"/>
          <c:tx>
            <c:strRef>
              <c:f>'Сводные таблицы и графики'!$E$64:$E$65</c:f>
            </c:strRef>
          </c:tx>
          <c:spPr>
            <a:solidFill>
              <a:schemeClr val="accent4"/>
            </a:solidFill>
            <a:ln cmpd="sng">
              <a:solidFill>
                <a:srgbClr val="000000"/>
              </a:solidFill>
            </a:ln>
          </c:spPr>
          <c:cat>
            <c:strRef>
              <c:f>'Сводные таблицы и графики'!$A$66:$A$68</c:f>
            </c:strRef>
          </c:cat>
          <c:val>
            <c:numRef>
              <c:f>'Сводные таблицы и графики'!$E$66:$E$68</c:f>
              <c:numCache/>
            </c:numRef>
          </c:val>
        </c:ser>
        <c:axId val="1231485197"/>
        <c:axId val="554312956"/>
      </c:barChart>
      <c:catAx>
        <c:axId val="12314851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Тип конструкции</a:t>
                </a:r>
              </a:p>
            </c:rich>
          </c:tx>
          <c:overlay val="0"/>
        </c:title>
        <c:numFmt formatCode="General" sourceLinked="1"/>
        <c:majorTickMark val="none"/>
        <c:minorTickMark val="none"/>
        <c:spPr/>
        <c:txPr>
          <a:bodyPr/>
          <a:lstStyle/>
          <a:p>
            <a:pPr lvl="0">
              <a:defRPr b="0">
                <a:solidFill>
                  <a:srgbClr val="000000"/>
                </a:solidFill>
                <a:latin typeface="+mn-lt"/>
              </a:defRPr>
            </a:pPr>
          </a:p>
        </c:txPr>
        <c:crossAx val="554312956"/>
      </c:catAx>
      <c:valAx>
        <c:axId val="5543129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1485197"/>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Пятиусово (s), Шетнево (s), Опочка (s) and Общее (s)</a:t>
            </a:r>
          </a:p>
        </c:rich>
      </c:tx>
      <c:overlay val="0"/>
    </c:title>
    <c:plotArea>
      <c:layout/>
      <c:barChart>
        <c:barDir val="col"/>
        <c:ser>
          <c:idx val="0"/>
          <c:order val="0"/>
          <c:tx>
            <c:strRef>
              <c:f>'Сводные таблицы и графики'!$P$18</c:f>
            </c:strRef>
          </c:tx>
          <c:spPr>
            <a:solidFill>
              <a:schemeClr val="accent1"/>
            </a:solidFill>
            <a:ln cmpd="sng">
              <a:solidFill>
                <a:srgbClr val="000000"/>
              </a:solidFill>
            </a:ln>
          </c:spPr>
          <c:cat>
            <c:strRef>
              <c:f>'Сводные таблицы и графики'!$O$19:$O$30</c:f>
            </c:strRef>
          </c:cat>
          <c:val>
            <c:numRef>
              <c:f>'Сводные таблицы и графики'!$P$19:$P$30</c:f>
              <c:numCache/>
            </c:numRef>
          </c:val>
        </c:ser>
        <c:ser>
          <c:idx val="1"/>
          <c:order val="1"/>
          <c:tx>
            <c:strRef>
              <c:f>'Сводные таблицы и графики'!$Q$18</c:f>
            </c:strRef>
          </c:tx>
          <c:spPr>
            <a:solidFill>
              <a:schemeClr val="accent2"/>
            </a:solidFill>
            <a:ln cmpd="sng">
              <a:solidFill>
                <a:srgbClr val="000000"/>
              </a:solidFill>
            </a:ln>
          </c:spPr>
          <c:cat>
            <c:strRef>
              <c:f>'Сводные таблицы и графики'!$O$19:$O$30</c:f>
            </c:strRef>
          </c:cat>
          <c:val>
            <c:numRef>
              <c:f>'Сводные таблицы и графики'!$Q$19:$Q$30</c:f>
              <c:numCache/>
            </c:numRef>
          </c:val>
        </c:ser>
        <c:ser>
          <c:idx val="2"/>
          <c:order val="2"/>
          <c:tx>
            <c:strRef>
              <c:f>'Сводные таблицы и графики'!$R$18</c:f>
            </c:strRef>
          </c:tx>
          <c:spPr>
            <a:solidFill>
              <a:schemeClr val="accent3"/>
            </a:solidFill>
            <a:ln cmpd="sng">
              <a:solidFill>
                <a:srgbClr val="000000"/>
              </a:solidFill>
            </a:ln>
          </c:spPr>
          <c:cat>
            <c:strRef>
              <c:f>'Сводные таблицы и графики'!$O$19:$O$30</c:f>
            </c:strRef>
          </c:cat>
          <c:val>
            <c:numRef>
              <c:f>'Сводные таблицы и графики'!$R$19:$R$30</c:f>
              <c:numCache/>
            </c:numRef>
          </c:val>
        </c:ser>
        <c:ser>
          <c:idx val="3"/>
          <c:order val="3"/>
          <c:tx>
            <c:strRef>
              <c:f>'Сводные таблицы и графики'!$S$18</c:f>
            </c:strRef>
          </c:tx>
          <c:spPr>
            <a:solidFill>
              <a:schemeClr val="accent4"/>
            </a:solidFill>
            <a:ln cmpd="sng">
              <a:solidFill>
                <a:srgbClr val="000000"/>
              </a:solidFill>
            </a:ln>
          </c:spPr>
          <c:cat>
            <c:strRef>
              <c:f>'Сводные таблицы и графики'!$O$19:$O$30</c:f>
            </c:strRef>
          </c:cat>
          <c:val>
            <c:numRef>
              <c:f>'Сводные таблицы и графики'!$S$19:$S$30</c:f>
              <c:numCache/>
            </c:numRef>
          </c:val>
        </c:ser>
        <c:axId val="776193646"/>
        <c:axId val="691332601"/>
      </c:barChart>
      <c:catAx>
        <c:axId val="7761936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91332601"/>
      </c:catAx>
      <c:valAx>
        <c:axId val="6913326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6193646"/>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Пятиусово (o), Шетнево (o), Опочка (o) and Общее (o)</a:t>
            </a:r>
          </a:p>
        </c:rich>
      </c:tx>
      <c:overlay val="0"/>
    </c:title>
    <c:plotArea>
      <c:layout/>
      <c:barChart>
        <c:barDir val="col"/>
        <c:ser>
          <c:idx val="0"/>
          <c:order val="0"/>
          <c:tx>
            <c:strRef>
              <c:f>'Сводные таблицы и графики'!$P$37</c:f>
            </c:strRef>
          </c:tx>
          <c:spPr>
            <a:solidFill>
              <a:schemeClr val="accent1"/>
            </a:solidFill>
            <a:ln cmpd="sng">
              <a:solidFill>
                <a:srgbClr val="000000"/>
              </a:solidFill>
            </a:ln>
          </c:spPr>
          <c:cat>
            <c:strRef>
              <c:f>'Сводные таблицы и графики'!$O$38:$O$49</c:f>
            </c:strRef>
          </c:cat>
          <c:val>
            <c:numRef>
              <c:f>'Сводные таблицы и графики'!$P$38:$P$49</c:f>
              <c:numCache/>
            </c:numRef>
          </c:val>
        </c:ser>
        <c:ser>
          <c:idx val="1"/>
          <c:order val="1"/>
          <c:tx>
            <c:strRef>
              <c:f>'Сводные таблицы и графики'!$Q$37</c:f>
            </c:strRef>
          </c:tx>
          <c:spPr>
            <a:solidFill>
              <a:schemeClr val="accent2"/>
            </a:solidFill>
            <a:ln cmpd="sng">
              <a:solidFill>
                <a:srgbClr val="000000"/>
              </a:solidFill>
            </a:ln>
          </c:spPr>
          <c:cat>
            <c:strRef>
              <c:f>'Сводные таблицы и графики'!$O$38:$O$49</c:f>
            </c:strRef>
          </c:cat>
          <c:val>
            <c:numRef>
              <c:f>'Сводные таблицы и графики'!$Q$38:$Q$49</c:f>
              <c:numCache/>
            </c:numRef>
          </c:val>
        </c:ser>
        <c:ser>
          <c:idx val="2"/>
          <c:order val="2"/>
          <c:tx>
            <c:strRef>
              <c:f>'Сводные таблицы и графики'!$R$37</c:f>
            </c:strRef>
          </c:tx>
          <c:spPr>
            <a:solidFill>
              <a:schemeClr val="accent3"/>
            </a:solidFill>
            <a:ln cmpd="sng">
              <a:solidFill>
                <a:srgbClr val="000000"/>
              </a:solidFill>
            </a:ln>
          </c:spPr>
          <c:cat>
            <c:strRef>
              <c:f>'Сводные таблицы и графики'!$O$38:$O$49</c:f>
            </c:strRef>
          </c:cat>
          <c:val>
            <c:numRef>
              <c:f>'Сводные таблицы и графики'!$R$38:$R$49</c:f>
              <c:numCache/>
            </c:numRef>
          </c:val>
        </c:ser>
        <c:ser>
          <c:idx val="3"/>
          <c:order val="3"/>
          <c:tx>
            <c:strRef>
              <c:f>'Сводные таблицы и графики'!$S$37</c:f>
            </c:strRef>
          </c:tx>
          <c:spPr>
            <a:solidFill>
              <a:schemeClr val="accent4"/>
            </a:solidFill>
            <a:ln cmpd="sng">
              <a:solidFill>
                <a:srgbClr val="000000"/>
              </a:solidFill>
            </a:ln>
          </c:spPr>
          <c:cat>
            <c:strRef>
              <c:f>'Сводные таблицы и графики'!$O$38:$O$49</c:f>
            </c:strRef>
          </c:cat>
          <c:val>
            <c:numRef>
              <c:f>'Сводные таблицы и графики'!$S$38:$S$49</c:f>
              <c:numCache/>
            </c:numRef>
          </c:val>
        </c:ser>
        <c:axId val="1856757607"/>
        <c:axId val="795907482"/>
      </c:barChart>
      <c:catAx>
        <c:axId val="18567576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95907482"/>
      </c:catAx>
      <c:valAx>
        <c:axId val="7959074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6757607"/>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Пятиусово (a), Шетнево (a), Опочка (a) and Общее (a)</a:t>
            </a:r>
          </a:p>
        </c:rich>
      </c:tx>
      <c:overlay val="0"/>
    </c:title>
    <c:plotArea>
      <c:layout/>
      <c:barChart>
        <c:barDir val="col"/>
        <c:ser>
          <c:idx val="0"/>
          <c:order val="0"/>
          <c:tx>
            <c:strRef>
              <c:f>'Сводные таблицы и графики'!$P$55</c:f>
            </c:strRef>
          </c:tx>
          <c:spPr>
            <a:solidFill>
              <a:schemeClr val="accent1"/>
            </a:solidFill>
            <a:ln cmpd="sng">
              <a:solidFill>
                <a:srgbClr val="000000"/>
              </a:solidFill>
            </a:ln>
          </c:spPr>
          <c:cat>
            <c:strRef>
              <c:f>'Сводные таблицы и графики'!$O$56:$O$67</c:f>
            </c:strRef>
          </c:cat>
          <c:val>
            <c:numRef>
              <c:f>'Сводные таблицы и графики'!$P$56:$P$67</c:f>
              <c:numCache/>
            </c:numRef>
          </c:val>
        </c:ser>
        <c:ser>
          <c:idx val="1"/>
          <c:order val="1"/>
          <c:tx>
            <c:strRef>
              <c:f>'Сводные таблицы и графики'!$Q$55</c:f>
            </c:strRef>
          </c:tx>
          <c:spPr>
            <a:solidFill>
              <a:schemeClr val="accent2"/>
            </a:solidFill>
            <a:ln cmpd="sng">
              <a:solidFill>
                <a:srgbClr val="000000"/>
              </a:solidFill>
            </a:ln>
          </c:spPr>
          <c:cat>
            <c:strRef>
              <c:f>'Сводные таблицы и графики'!$O$56:$O$67</c:f>
            </c:strRef>
          </c:cat>
          <c:val>
            <c:numRef>
              <c:f>'Сводные таблицы и графики'!$Q$56:$Q$67</c:f>
              <c:numCache/>
            </c:numRef>
          </c:val>
        </c:ser>
        <c:ser>
          <c:idx val="2"/>
          <c:order val="2"/>
          <c:tx>
            <c:strRef>
              <c:f>'Сводные таблицы и графики'!$R$55</c:f>
            </c:strRef>
          </c:tx>
          <c:spPr>
            <a:solidFill>
              <a:schemeClr val="accent3"/>
            </a:solidFill>
            <a:ln cmpd="sng">
              <a:solidFill>
                <a:srgbClr val="000000"/>
              </a:solidFill>
            </a:ln>
          </c:spPr>
          <c:cat>
            <c:strRef>
              <c:f>'Сводные таблицы и графики'!$O$56:$O$67</c:f>
            </c:strRef>
          </c:cat>
          <c:val>
            <c:numRef>
              <c:f>'Сводные таблицы и графики'!$R$56:$R$67</c:f>
              <c:numCache/>
            </c:numRef>
          </c:val>
        </c:ser>
        <c:ser>
          <c:idx val="3"/>
          <c:order val="3"/>
          <c:tx>
            <c:strRef>
              <c:f>'Сводные таблицы и графики'!$S$55</c:f>
            </c:strRef>
          </c:tx>
          <c:spPr>
            <a:solidFill>
              <a:schemeClr val="accent4"/>
            </a:solidFill>
            <a:ln cmpd="sng">
              <a:solidFill>
                <a:srgbClr val="000000"/>
              </a:solidFill>
            </a:ln>
          </c:spPr>
          <c:cat>
            <c:strRef>
              <c:f>'Сводные таблицы и графики'!$O$56:$O$67</c:f>
            </c:strRef>
          </c:cat>
          <c:val>
            <c:numRef>
              <c:f>'Сводные таблицы и графики'!$S$56:$S$67</c:f>
              <c:numCache/>
            </c:numRef>
          </c:val>
        </c:ser>
        <c:axId val="1408185852"/>
        <c:axId val="649725130"/>
      </c:barChart>
      <c:catAx>
        <c:axId val="14081858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49725130"/>
      </c:catAx>
      <c:valAx>
        <c:axId val="6497251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8185852"/>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Пятиусово (s), Шетнево (s), Опочка (s) and Общее (s)</a:t>
            </a:r>
          </a:p>
        </c:rich>
      </c:tx>
      <c:overlay val="0"/>
    </c:title>
    <c:plotArea>
      <c:layout/>
      <c:barChart>
        <c:barDir val="col"/>
        <c:ser>
          <c:idx val="0"/>
          <c:order val="0"/>
          <c:tx>
            <c:strRef>
              <c:f>'Сводные таблицы и графики'!$AD$18</c:f>
            </c:strRef>
          </c:tx>
          <c:spPr>
            <a:solidFill>
              <a:schemeClr val="accent1"/>
            </a:solidFill>
            <a:ln cmpd="sng">
              <a:solidFill>
                <a:srgbClr val="000000"/>
              </a:solidFill>
            </a:ln>
          </c:spPr>
          <c:cat>
            <c:strRef>
              <c:f>'Сводные таблицы и графики'!$AC$19:$AC$30</c:f>
            </c:strRef>
          </c:cat>
          <c:val>
            <c:numRef>
              <c:f>'Сводные таблицы и графики'!$AD$19:$AD$30</c:f>
              <c:numCache/>
            </c:numRef>
          </c:val>
        </c:ser>
        <c:ser>
          <c:idx val="1"/>
          <c:order val="1"/>
          <c:tx>
            <c:strRef>
              <c:f>'Сводные таблицы и графики'!$AE$18</c:f>
            </c:strRef>
          </c:tx>
          <c:spPr>
            <a:solidFill>
              <a:schemeClr val="accent2"/>
            </a:solidFill>
            <a:ln cmpd="sng">
              <a:solidFill>
                <a:srgbClr val="000000"/>
              </a:solidFill>
            </a:ln>
          </c:spPr>
          <c:cat>
            <c:strRef>
              <c:f>'Сводные таблицы и графики'!$AC$19:$AC$30</c:f>
            </c:strRef>
          </c:cat>
          <c:val>
            <c:numRef>
              <c:f>'Сводные таблицы и графики'!$AE$19:$AE$30</c:f>
              <c:numCache/>
            </c:numRef>
          </c:val>
        </c:ser>
        <c:ser>
          <c:idx val="2"/>
          <c:order val="2"/>
          <c:tx>
            <c:strRef>
              <c:f>'Сводные таблицы и графики'!$AF$18</c:f>
            </c:strRef>
          </c:tx>
          <c:spPr>
            <a:solidFill>
              <a:schemeClr val="accent3"/>
            </a:solidFill>
            <a:ln cmpd="sng">
              <a:solidFill>
                <a:srgbClr val="000000"/>
              </a:solidFill>
            </a:ln>
          </c:spPr>
          <c:cat>
            <c:strRef>
              <c:f>'Сводные таблицы и графики'!$AC$19:$AC$30</c:f>
            </c:strRef>
          </c:cat>
          <c:val>
            <c:numRef>
              <c:f>'Сводные таблицы и графики'!$AF$19:$AF$30</c:f>
              <c:numCache/>
            </c:numRef>
          </c:val>
        </c:ser>
        <c:ser>
          <c:idx val="3"/>
          <c:order val="3"/>
          <c:tx>
            <c:strRef>
              <c:f>'Сводные таблицы и графики'!$AG$18</c:f>
            </c:strRef>
          </c:tx>
          <c:spPr>
            <a:solidFill>
              <a:schemeClr val="accent4"/>
            </a:solidFill>
            <a:ln cmpd="sng">
              <a:solidFill>
                <a:srgbClr val="000000"/>
              </a:solidFill>
            </a:ln>
          </c:spPr>
          <c:cat>
            <c:strRef>
              <c:f>'Сводные таблицы и графики'!$AC$19:$AC$30</c:f>
            </c:strRef>
          </c:cat>
          <c:val>
            <c:numRef>
              <c:f>'Сводные таблицы и графики'!$AG$19:$AG$30</c:f>
              <c:numCache/>
            </c:numRef>
          </c:val>
        </c:ser>
        <c:axId val="1090481273"/>
        <c:axId val="1370282554"/>
      </c:barChart>
      <c:catAx>
        <c:axId val="1090481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70282554"/>
      </c:catAx>
      <c:valAx>
        <c:axId val="13702825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0481273"/>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Пятиусово (o), Шетнево (o), Опочка (o) and Общее (o)</a:t>
            </a:r>
          </a:p>
        </c:rich>
      </c:tx>
      <c:overlay val="0"/>
    </c:title>
    <c:plotArea>
      <c:layout/>
      <c:barChart>
        <c:barDir val="col"/>
        <c:ser>
          <c:idx val="0"/>
          <c:order val="0"/>
          <c:tx>
            <c:strRef>
              <c:f>'Сводные таблицы и графики'!$AD$37</c:f>
            </c:strRef>
          </c:tx>
          <c:spPr>
            <a:solidFill>
              <a:schemeClr val="accent1"/>
            </a:solidFill>
            <a:ln cmpd="sng">
              <a:solidFill>
                <a:srgbClr val="000000"/>
              </a:solidFill>
            </a:ln>
          </c:spPr>
          <c:cat>
            <c:strRef>
              <c:f>'Сводные таблицы и графики'!$AC$38:$AC$49</c:f>
            </c:strRef>
          </c:cat>
          <c:val>
            <c:numRef>
              <c:f>'Сводные таблицы и графики'!$AD$38:$AD$49</c:f>
              <c:numCache/>
            </c:numRef>
          </c:val>
        </c:ser>
        <c:ser>
          <c:idx val="1"/>
          <c:order val="1"/>
          <c:tx>
            <c:strRef>
              <c:f>'Сводные таблицы и графики'!$AE$37</c:f>
            </c:strRef>
          </c:tx>
          <c:spPr>
            <a:solidFill>
              <a:schemeClr val="accent2"/>
            </a:solidFill>
            <a:ln cmpd="sng">
              <a:solidFill>
                <a:srgbClr val="000000"/>
              </a:solidFill>
            </a:ln>
          </c:spPr>
          <c:cat>
            <c:strRef>
              <c:f>'Сводные таблицы и графики'!$AC$38:$AC$49</c:f>
            </c:strRef>
          </c:cat>
          <c:val>
            <c:numRef>
              <c:f>'Сводные таблицы и графики'!$AE$38:$AE$49</c:f>
              <c:numCache/>
            </c:numRef>
          </c:val>
        </c:ser>
        <c:ser>
          <c:idx val="2"/>
          <c:order val="2"/>
          <c:tx>
            <c:strRef>
              <c:f>'Сводные таблицы и графики'!$AF$37</c:f>
            </c:strRef>
          </c:tx>
          <c:spPr>
            <a:solidFill>
              <a:schemeClr val="accent3"/>
            </a:solidFill>
            <a:ln cmpd="sng">
              <a:solidFill>
                <a:srgbClr val="000000"/>
              </a:solidFill>
            </a:ln>
          </c:spPr>
          <c:cat>
            <c:strRef>
              <c:f>'Сводные таблицы и графики'!$AC$38:$AC$49</c:f>
            </c:strRef>
          </c:cat>
          <c:val>
            <c:numRef>
              <c:f>'Сводные таблицы и графики'!$AF$38:$AF$49</c:f>
              <c:numCache/>
            </c:numRef>
          </c:val>
        </c:ser>
        <c:ser>
          <c:idx val="3"/>
          <c:order val="3"/>
          <c:tx>
            <c:strRef>
              <c:f>'Сводные таблицы и графики'!$AG$37</c:f>
            </c:strRef>
          </c:tx>
          <c:spPr>
            <a:solidFill>
              <a:schemeClr val="accent4"/>
            </a:solidFill>
            <a:ln cmpd="sng">
              <a:solidFill>
                <a:srgbClr val="000000"/>
              </a:solidFill>
            </a:ln>
          </c:spPr>
          <c:cat>
            <c:strRef>
              <c:f>'Сводные таблицы и графики'!$AC$38:$AC$49</c:f>
            </c:strRef>
          </c:cat>
          <c:val>
            <c:numRef>
              <c:f>'Сводные таблицы и графики'!$AG$38:$AG$49</c:f>
              <c:numCache/>
            </c:numRef>
          </c:val>
        </c:ser>
        <c:axId val="2087438898"/>
        <c:axId val="543737542"/>
      </c:barChart>
      <c:catAx>
        <c:axId val="20874388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43737542"/>
      </c:catAx>
      <c:valAx>
        <c:axId val="5437375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7438898"/>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Пятиусово (a), Шетнево (a), Опочка (a) and Общее (a)</a:t>
            </a:r>
          </a:p>
        </c:rich>
      </c:tx>
      <c:overlay val="0"/>
    </c:title>
    <c:plotArea>
      <c:layout/>
      <c:barChart>
        <c:barDir val="col"/>
        <c:ser>
          <c:idx val="0"/>
          <c:order val="0"/>
          <c:tx>
            <c:strRef>
              <c:f>'Сводные таблицы и графики'!$AD$55</c:f>
            </c:strRef>
          </c:tx>
          <c:spPr>
            <a:solidFill>
              <a:schemeClr val="accent1"/>
            </a:solidFill>
            <a:ln cmpd="sng">
              <a:solidFill>
                <a:srgbClr val="000000"/>
              </a:solidFill>
            </a:ln>
          </c:spPr>
          <c:cat>
            <c:strRef>
              <c:f>'Сводные таблицы и графики'!$AC$56:$AC$67</c:f>
            </c:strRef>
          </c:cat>
          <c:val>
            <c:numRef>
              <c:f>'Сводные таблицы и графики'!$AD$56:$AD$67</c:f>
              <c:numCache/>
            </c:numRef>
          </c:val>
        </c:ser>
        <c:ser>
          <c:idx val="1"/>
          <c:order val="1"/>
          <c:tx>
            <c:strRef>
              <c:f>'Сводные таблицы и графики'!$AE$55</c:f>
            </c:strRef>
          </c:tx>
          <c:spPr>
            <a:solidFill>
              <a:schemeClr val="accent2"/>
            </a:solidFill>
            <a:ln cmpd="sng">
              <a:solidFill>
                <a:srgbClr val="000000"/>
              </a:solidFill>
            </a:ln>
          </c:spPr>
          <c:cat>
            <c:strRef>
              <c:f>'Сводные таблицы и графики'!$AC$56:$AC$67</c:f>
            </c:strRef>
          </c:cat>
          <c:val>
            <c:numRef>
              <c:f>'Сводные таблицы и графики'!$AE$56:$AE$67</c:f>
              <c:numCache/>
            </c:numRef>
          </c:val>
        </c:ser>
        <c:ser>
          <c:idx val="2"/>
          <c:order val="2"/>
          <c:tx>
            <c:strRef>
              <c:f>'Сводные таблицы и графики'!$AF$55</c:f>
            </c:strRef>
          </c:tx>
          <c:spPr>
            <a:solidFill>
              <a:schemeClr val="accent3"/>
            </a:solidFill>
            <a:ln cmpd="sng">
              <a:solidFill>
                <a:srgbClr val="000000"/>
              </a:solidFill>
            </a:ln>
          </c:spPr>
          <c:cat>
            <c:strRef>
              <c:f>'Сводные таблицы и графики'!$AC$56:$AC$67</c:f>
            </c:strRef>
          </c:cat>
          <c:val>
            <c:numRef>
              <c:f>'Сводные таблицы и графики'!$AF$56:$AF$67</c:f>
              <c:numCache/>
            </c:numRef>
          </c:val>
        </c:ser>
        <c:ser>
          <c:idx val="3"/>
          <c:order val="3"/>
          <c:tx>
            <c:strRef>
              <c:f>'Сводные таблицы и графики'!$AG$55</c:f>
            </c:strRef>
          </c:tx>
          <c:spPr>
            <a:solidFill>
              <a:schemeClr val="accent4"/>
            </a:solidFill>
            <a:ln cmpd="sng">
              <a:solidFill>
                <a:srgbClr val="000000"/>
              </a:solidFill>
            </a:ln>
          </c:spPr>
          <c:cat>
            <c:strRef>
              <c:f>'Сводные таблицы и графики'!$AC$56:$AC$67</c:f>
            </c:strRef>
          </c:cat>
          <c:val>
            <c:numRef>
              <c:f>'Сводные таблицы и графики'!$AG$56:$AG$67</c:f>
              <c:numCache/>
            </c:numRef>
          </c:val>
        </c:ser>
        <c:axId val="1690707238"/>
        <c:axId val="423838284"/>
      </c:barChart>
      <c:catAx>
        <c:axId val="16907072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23838284"/>
      </c:catAx>
      <c:valAx>
        <c:axId val="4238382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0707238"/>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Предлог из: распределение примеров каждого корпуса по типу конструкции
</a:t>
            </a:r>
          </a:p>
        </c:rich>
      </c:tx>
      <c:overlay val="0"/>
    </c:title>
    <c:plotArea>
      <c:layout/>
      <c:barChart>
        <c:barDir val="col"/>
        <c:ser>
          <c:idx val="0"/>
          <c:order val="0"/>
          <c:tx>
            <c:strRef>
              <c:f>'Сводные таблицы и графики'!$B$90:$B$91</c:f>
            </c:strRef>
          </c:tx>
          <c:spPr>
            <a:solidFill>
              <a:schemeClr val="accent1"/>
            </a:solidFill>
            <a:ln cmpd="sng">
              <a:solidFill>
                <a:srgbClr val="000000"/>
              </a:solidFill>
            </a:ln>
          </c:spPr>
          <c:cat>
            <c:strRef>
              <c:f>'Сводные таблицы и графики'!$A$92:$A$94</c:f>
            </c:strRef>
          </c:cat>
          <c:val>
            <c:numRef>
              <c:f>'Сводные таблицы и графики'!$B$92:$B$94</c:f>
              <c:numCache/>
            </c:numRef>
          </c:val>
        </c:ser>
        <c:ser>
          <c:idx val="1"/>
          <c:order val="1"/>
          <c:tx>
            <c:strRef>
              <c:f>'Сводные таблицы и графики'!$C$90:$C$91</c:f>
            </c:strRef>
          </c:tx>
          <c:spPr>
            <a:solidFill>
              <a:schemeClr val="accent2"/>
            </a:solidFill>
            <a:ln cmpd="sng">
              <a:solidFill>
                <a:srgbClr val="000000"/>
              </a:solidFill>
            </a:ln>
          </c:spPr>
          <c:cat>
            <c:strRef>
              <c:f>'Сводные таблицы и графики'!$A$92:$A$94</c:f>
            </c:strRef>
          </c:cat>
          <c:val>
            <c:numRef>
              <c:f>'Сводные таблицы и графики'!$C$92:$C$94</c:f>
              <c:numCache/>
            </c:numRef>
          </c:val>
        </c:ser>
        <c:ser>
          <c:idx val="2"/>
          <c:order val="2"/>
          <c:tx>
            <c:strRef>
              <c:f>'Сводные таблицы и графики'!$D$90:$D$91</c:f>
            </c:strRef>
          </c:tx>
          <c:spPr>
            <a:solidFill>
              <a:schemeClr val="accent3"/>
            </a:solidFill>
            <a:ln cmpd="sng">
              <a:solidFill>
                <a:srgbClr val="000000"/>
              </a:solidFill>
            </a:ln>
          </c:spPr>
          <c:cat>
            <c:strRef>
              <c:f>'Сводные таблицы и графики'!$A$92:$A$94</c:f>
            </c:strRef>
          </c:cat>
          <c:val>
            <c:numRef>
              <c:f>'Сводные таблицы и графики'!$D$92:$D$94</c:f>
              <c:numCache/>
            </c:numRef>
          </c:val>
        </c:ser>
        <c:ser>
          <c:idx val="3"/>
          <c:order val="3"/>
          <c:tx>
            <c:strRef>
              <c:f>'Сводные таблицы и графики'!$E$90:$E$91</c:f>
            </c:strRef>
          </c:tx>
          <c:spPr>
            <a:solidFill>
              <a:schemeClr val="accent4"/>
            </a:solidFill>
            <a:ln cmpd="sng">
              <a:solidFill>
                <a:srgbClr val="000000"/>
              </a:solidFill>
            </a:ln>
          </c:spPr>
          <c:dPt>
            <c:idx val="0"/>
          </c:dPt>
          <c:cat>
            <c:strRef>
              <c:f>'Сводные таблицы и графики'!$A$92:$A$94</c:f>
            </c:strRef>
          </c:cat>
          <c:val>
            <c:numRef>
              <c:f>'Сводные таблицы и графики'!$E$92:$E$94</c:f>
              <c:numCache/>
            </c:numRef>
          </c:val>
        </c:ser>
        <c:axId val="741181889"/>
        <c:axId val="9977590"/>
      </c:barChart>
      <c:catAx>
        <c:axId val="7411818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Тип конструкции</a:t>
                </a:r>
              </a:p>
            </c:rich>
          </c:tx>
          <c:overlay val="0"/>
        </c:title>
        <c:numFmt formatCode="General" sourceLinked="1"/>
        <c:majorTickMark val="none"/>
        <c:minorTickMark val="none"/>
        <c:spPr/>
        <c:txPr>
          <a:bodyPr/>
          <a:lstStyle/>
          <a:p>
            <a:pPr lvl="0">
              <a:defRPr b="0">
                <a:solidFill>
                  <a:srgbClr val="000000"/>
                </a:solidFill>
                <a:latin typeface="+mn-lt"/>
              </a:defRPr>
            </a:pPr>
          </a:p>
        </c:txPr>
        <c:crossAx val="9977590"/>
      </c:catAx>
      <c:valAx>
        <c:axId val="9977590"/>
        <c:scaling>
          <c:orientation val="minMax"/>
          <c:max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1181889"/>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'Сводные таблицы и графики'!$B$117</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errBars>
            <c:errDir val="y"/>
            <c:errBarType val="both"/>
            <c:errValType val="percentage"/>
            <c:noEndCap val="0"/>
            <c:val val="10.0"/>
          </c:errBars>
          <c:cat>
            <c:strRef>
              <c:f>'Сводные таблицы и графики'!$A$118:$A$129</c:f>
            </c:strRef>
          </c:cat>
          <c:val>
            <c:numRef>
              <c:f>'Сводные таблицы и графики'!$B$118:$B$129</c:f>
              <c:numCache/>
            </c:numRef>
          </c:val>
        </c:ser>
        <c:axId val="563738561"/>
        <c:axId val="1984981634"/>
      </c:barChart>
      <c:catAx>
        <c:axId val="5637385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Семантическая категория</a:t>
                </a:r>
              </a:p>
            </c:rich>
          </c:tx>
          <c:overlay val="0"/>
        </c:title>
        <c:numFmt formatCode="General" sourceLinked="1"/>
        <c:majorTickMark val="none"/>
        <c:minorTickMark val="none"/>
        <c:spPr/>
        <c:txPr>
          <a:bodyPr/>
          <a:lstStyle/>
          <a:p>
            <a:pPr lvl="0">
              <a:defRPr b="0">
                <a:solidFill>
                  <a:srgbClr val="000000"/>
                </a:solidFill>
                <a:latin typeface="+mn-lt"/>
              </a:defRPr>
            </a:pPr>
          </a:p>
        </c:txPr>
        <c:crossAx val="1984981634"/>
      </c:catAx>
      <c:valAx>
        <c:axId val="19849816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Доля от всех примеров с с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563738561"/>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'Сводные таблицы и графики'!$B$133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'Сводные таблицы и графики'!$A$134:$A$145</c:f>
            </c:strRef>
          </c:cat>
          <c:val>
            <c:numRef>
              <c:f>'Сводные таблицы и графики'!$B$134:$B$145</c:f>
              <c:numCache/>
            </c:numRef>
          </c:val>
        </c:ser>
        <c:axId val="762640836"/>
        <c:axId val="2000658939"/>
      </c:barChart>
      <c:catAx>
        <c:axId val="7626408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Семантическая категория</a:t>
                </a:r>
              </a:p>
            </c:rich>
          </c:tx>
          <c:overlay val="0"/>
        </c:title>
        <c:numFmt formatCode="General" sourceLinked="1"/>
        <c:majorTickMark val="none"/>
        <c:minorTickMark val="none"/>
        <c:spPr/>
        <c:txPr>
          <a:bodyPr/>
          <a:lstStyle/>
          <a:p>
            <a:pPr lvl="0">
              <a:defRPr b="0">
                <a:solidFill>
                  <a:srgbClr val="000000"/>
                </a:solidFill>
                <a:latin typeface="+mn-lt"/>
              </a:defRPr>
            </a:pPr>
          </a:p>
        </c:txPr>
        <c:crossAx val="2000658939"/>
      </c:catAx>
      <c:valAx>
        <c:axId val="2000658939"/>
        <c:scaling>
          <c:orientation val="minMax"/>
          <c:max val="0.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Доля от всех примеров с из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2640836"/>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'Сводные таблицы и графики'!$B$153:$B$154</c:f>
            </c:strRef>
          </c:tx>
          <c:spPr>
            <a:solidFill>
              <a:schemeClr val="accent1"/>
            </a:solidFill>
            <a:ln cmpd="sng">
              <a:solidFill>
                <a:srgbClr val="000000"/>
              </a:solidFill>
            </a:ln>
          </c:spPr>
          <c:dPt>
            <c:idx val="6"/>
          </c:dPt>
          <c:dLbls>
            <c:numFmt formatCode="General" sourceLinked="1"/>
            <c:txPr>
              <a:bodyPr/>
              <a:lstStyle/>
              <a:p>
                <a:pPr lvl="0">
                  <a:defRPr/>
                </a:pPr>
              </a:p>
            </c:txPr>
            <c:showLegendKey val="0"/>
            <c:showVal val="1"/>
            <c:showCatName val="0"/>
            <c:showSerName val="0"/>
            <c:showPercent val="0"/>
            <c:showBubbleSize val="0"/>
          </c:dLbls>
          <c:cat>
            <c:strRef>
              <c:f>'Сводные таблицы и графики'!$A$155:$A$166</c:f>
            </c:strRef>
          </c:cat>
          <c:val>
            <c:numRef>
              <c:f>'Сводные таблицы и графики'!$B$155:$B$166</c:f>
              <c:numCache/>
            </c:numRef>
          </c:val>
        </c:ser>
        <c:axId val="2059733234"/>
        <c:axId val="495221647"/>
      </c:barChart>
      <c:catAx>
        <c:axId val="2059733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Семантическая категория</a:t>
                </a:r>
              </a:p>
            </c:rich>
          </c:tx>
          <c:overlay val="0"/>
        </c:title>
        <c:numFmt formatCode="General" sourceLinked="1"/>
        <c:majorTickMark val="none"/>
        <c:minorTickMark val="none"/>
        <c:spPr/>
        <c:txPr>
          <a:bodyPr/>
          <a:lstStyle/>
          <a:p>
            <a:pPr lvl="0">
              <a:defRPr b="0">
                <a:solidFill>
                  <a:srgbClr val="000000"/>
                </a:solidFill>
                <a:latin typeface="+mn-lt"/>
              </a:defRPr>
            </a:pPr>
          </a:p>
        </c:txPr>
        <c:crossAx val="495221647"/>
      </c:catAx>
      <c:valAx>
        <c:axId val="495221647"/>
        <c:scaling>
          <c:orientation val="minMax"/>
          <c:max val="0.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Доля от всех примеров с из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9733234"/>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1" Type="http://schemas.openxmlformats.org/officeDocument/2006/relationships/chart" Target="../charts/chart20.xml"/><Relationship Id="rId10" Type="http://schemas.openxmlformats.org/officeDocument/2006/relationships/chart" Target="../charts/chart19.xml"/><Relationship Id="rId13" Type="http://schemas.openxmlformats.org/officeDocument/2006/relationships/chart" Target="../charts/chart22.xml"/><Relationship Id="rId12" Type="http://schemas.openxmlformats.org/officeDocument/2006/relationships/chart" Target="../charts/chart21.xml"/><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 Id="rId5" Type="http://schemas.openxmlformats.org/officeDocument/2006/relationships/chart" Target="../charts/chart14.xml"/><Relationship Id="rId6" Type="http://schemas.openxmlformats.org/officeDocument/2006/relationships/chart" Target="../charts/chart15.xml"/><Relationship Id="rId7" Type="http://schemas.openxmlformats.org/officeDocument/2006/relationships/chart" Target="../charts/chart16.xml"/><Relationship Id="rId8"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352425</xdr:colOff>
      <xdr:row>10</xdr:row>
      <xdr:rowOff>38100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276225</xdr:colOff>
      <xdr:row>28</xdr:row>
      <xdr:rowOff>104775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180975</xdr:colOff>
      <xdr:row>32</xdr:row>
      <xdr:rowOff>161925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16</xdr:col>
      <xdr:colOff>0</xdr:colOff>
      <xdr:row>13</xdr:row>
      <xdr:rowOff>114300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533400</xdr:colOff>
      <xdr:row>35</xdr:row>
      <xdr:rowOff>114300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57150</xdr:colOff>
      <xdr:row>54</xdr:row>
      <xdr:rowOff>19050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371475</xdr:colOff>
      <xdr:row>17</xdr:row>
      <xdr:rowOff>76200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17</xdr:col>
      <xdr:colOff>409575</xdr:colOff>
      <xdr:row>21</xdr:row>
      <xdr:rowOff>9525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xdr:col>
      <xdr:colOff>714375</xdr:colOff>
      <xdr:row>72</xdr:row>
      <xdr:rowOff>123825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95250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971550</xdr:colOff>
      <xdr:row>17</xdr:row>
      <xdr:rowOff>152400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43</xdr:row>
      <xdr:rowOff>76200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69</xdr:row>
      <xdr:rowOff>57150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276225</xdr:colOff>
      <xdr:row>16</xdr:row>
      <xdr:rowOff>9525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19</xdr:col>
      <xdr:colOff>95250</xdr:colOff>
      <xdr:row>34</xdr:row>
      <xdr:rowOff>28575</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19</xdr:col>
      <xdr:colOff>95250</xdr:colOff>
      <xdr:row>52</xdr:row>
      <xdr:rowOff>104775</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33</xdr:col>
      <xdr:colOff>190500</xdr:colOff>
      <xdr:row>16</xdr:row>
      <xdr:rowOff>85725</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33</xdr:col>
      <xdr:colOff>295275</xdr:colOff>
      <xdr:row>34</xdr:row>
      <xdr:rowOff>95250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33</xdr:col>
      <xdr:colOff>295275</xdr:colOff>
      <xdr:row>53</xdr:row>
      <xdr:rowOff>0</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0</xdr:colOff>
      <xdr:row>95</xdr:row>
      <xdr:rowOff>142875</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3</xdr:col>
      <xdr:colOff>57150</xdr:colOff>
      <xdr:row>114</xdr:row>
      <xdr:rowOff>95250</xdr:rowOff>
    </xdr:from>
    <xdr:ext cx="5715000" cy="3533775"/>
    <xdr:graphicFrame>
      <xdr:nvGraphicFramePr>
        <xdr:cNvPr id="21" name="Chart 21"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3</xdr:col>
      <xdr:colOff>9525</xdr:colOff>
      <xdr:row>133</xdr:row>
      <xdr:rowOff>47625</xdr:rowOff>
    </xdr:from>
    <xdr:ext cx="5715000" cy="3533775"/>
    <xdr:graphicFrame>
      <xdr:nvGraphicFramePr>
        <xdr:cNvPr id="22" name="Chart 22"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2</xdr:col>
      <xdr:colOff>400050</xdr:colOff>
      <xdr:row>154</xdr:row>
      <xdr:rowOff>47625</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14"/>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5.75"/>
  </cols>
  <sheetData>
    <row r="1">
      <c r="A1" s="1" t="s">
        <v>0</v>
      </c>
      <c r="B1" s="2" t="s">
        <v>1</v>
      </c>
      <c r="C1" s="2" t="s">
        <v>2</v>
      </c>
      <c r="D1" s="2" t="s">
        <v>3</v>
      </c>
      <c r="E1" s="2" t="s">
        <v>4</v>
      </c>
      <c r="F1" s="1" t="s">
        <v>5</v>
      </c>
      <c r="G1" s="2" t="s">
        <v>6</v>
      </c>
      <c r="H1" s="1"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1" t="s">
        <v>22</v>
      </c>
      <c r="X1" s="2" t="s">
        <v>23</v>
      </c>
      <c r="Y1" s="2" t="s">
        <v>24</v>
      </c>
      <c r="Z1" s="1" t="s">
        <v>25</v>
      </c>
      <c r="AA1" s="2" t="s">
        <v>26</v>
      </c>
      <c r="AB1" s="2" t="s">
        <v>27</v>
      </c>
      <c r="AC1" s="2" t="s">
        <v>28</v>
      </c>
      <c r="AD1" s="3" t="s">
        <v>29</v>
      </c>
      <c r="AE1" s="3" t="s">
        <v>30</v>
      </c>
      <c r="AF1" s="3" t="s">
        <v>31</v>
      </c>
      <c r="AG1" s="2"/>
      <c r="AH1" s="2"/>
    </row>
    <row r="2">
      <c r="A2" s="4" t="s">
        <v>32</v>
      </c>
      <c r="B2" s="5">
        <v>49.0</v>
      </c>
      <c r="C2" s="5">
        <v>1082342.0</v>
      </c>
      <c r="D2" s="5">
        <v>1089680.0</v>
      </c>
      <c r="E2" s="2" t="s">
        <v>33</v>
      </c>
      <c r="F2" s="2"/>
      <c r="G2" s="2"/>
      <c r="H2" s="2"/>
      <c r="I2" s="2"/>
      <c r="J2" s="2"/>
      <c r="K2" s="2"/>
      <c r="L2" s="2"/>
      <c r="M2" s="2" t="s">
        <v>34</v>
      </c>
      <c r="N2" s="2" t="s">
        <v>35</v>
      </c>
      <c r="O2" s="2" t="s">
        <v>36</v>
      </c>
      <c r="P2" s="2" t="s">
        <v>37</v>
      </c>
      <c r="Q2" s="5">
        <v>0.0</v>
      </c>
      <c r="R2" s="5">
        <v>1.0</v>
      </c>
      <c r="S2" s="5">
        <v>0.0</v>
      </c>
      <c r="T2" s="5">
        <v>0.0</v>
      </c>
      <c r="U2" s="5">
        <v>0.0</v>
      </c>
      <c r="V2" s="5">
        <v>0.0</v>
      </c>
      <c r="W2" s="5">
        <v>0.0</v>
      </c>
      <c r="X2" s="5">
        <v>0.0</v>
      </c>
      <c r="Y2" s="5">
        <v>0.0</v>
      </c>
      <c r="Z2" s="5">
        <v>0.0</v>
      </c>
      <c r="AA2" s="5">
        <v>0.0</v>
      </c>
      <c r="AB2" s="5">
        <v>0.0</v>
      </c>
      <c r="AC2" s="5">
        <v>0.0</v>
      </c>
      <c r="AD2" s="2" t="s">
        <v>38</v>
      </c>
      <c r="AE2" s="2" t="s">
        <v>39</v>
      </c>
      <c r="AF2" s="2" t="s">
        <v>40</v>
      </c>
    </row>
    <row r="3">
      <c r="A3" s="4" t="s">
        <v>32</v>
      </c>
      <c r="B3" s="5">
        <v>110.0</v>
      </c>
      <c r="C3" s="5">
        <v>1383096.0</v>
      </c>
      <c r="D3" s="5">
        <v>1384946.0</v>
      </c>
      <c r="E3" s="2" t="s">
        <v>33</v>
      </c>
      <c r="F3" s="2"/>
      <c r="G3" s="2"/>
      <c r="H3" s="2"/>
      <c r="I3" s="2"/>
      <c r="J3" s="2"/>
      <c r="K3" s="2"/>
      <c r="L3" s="2"/>
      <c r="M3" s="2" t="s">
        <v>41</v>
      </c>
      <c r="N3" s="2" t="s">
        <v>35</v>
      </c>
      <c r="O3" s="2" t="s">
        <v>42</v>
      </c>
      <c r="P3" s="2" t="s">
        <v>43</v>
      </c>
      <c r="Q3" s="5">
        <v>1.0</v>
      </c>
      <c r="R3" s="5">
        <v>0.0</v>
      </c>
      <c r="S3" s="5">
        <v>0.0</v>
      </c>
      <c r="T3" s="5">
        <v>0.0</v>
      </c>
      <c r="U3" s="5">
        <v>0.0</v>
      </c>
      <c r="V3" s="5">
        <v>0.0</v>
      </c>
      <c r="W3" s="5">
        <v>0.0</v>
      </c>
      <c r="X3" s="5">
        <v>0.0</v>
      </c>
      <c r="Y3" s="5">
        <v>0.0</v>
      </c>
      <c r="Z3" s="5">
        <v>0.0</v>
      </c>
      <c r="AA3" s="5">
        <v>0.0</v>
      </c>
      <c r="AB3" s="5">
        <v>0.0</v>
      </c>
      <c r="AC3" s="5">
        <v>0.0</v>
      </c>
      <c r="AD3" s="1" t="s">
        <v>44</v>
      </c>
      <c r="AE3" s="2" t="s">
        <v>40</v>
      </c>
      <c r="AF3" s="2" t="s">
        <v>40</v>
      </c>
    </row>
    <row r="4">
      <c r="A4" s="4" t="s">
        <v>32</v>
      </c>
      <c r="B4" s="5">
        <v>112.0</v>
      </c>
      <c r="C4" s="5">
        <v>1390055.0</v>
      </c>
      <c r="D4" s="5">
        <v>1394577.0</v>
      </c>
      <c r="E4" s="2" t="s">
        <v>33</v>
      </c>
      <c r="F4" s="2"/>
      <c r="G4" s="2"/>
      <c r="H4" s="2"/>
      <c r="I4" s="2"/>
      <c r="J4" s="2"/>
      <c r="K4" s="2"/>
      <c r="L4" s="2"/>
      <c r="M4" s="2"/>
      <c r="N4" s="2" t="s">
        <v>45</v>
      </c>
      <c r="O4" s="2" t="s">
        <v>46</v>
      </c>
      <c r="P4" s="2" t="s">
        <v>43</v>
      </c>
      <c r="Q4" s="5">
        <v>1.0</v>
      </c>
      <c r="R4" s="5">
        <v>0.0</v>
      </c>
      <c r="S4" s="5">
        <v>0.0</v>
      </c>
      <c r="T4" s="5">
        <v>0.0</v>
      </c>
      <c r="U4" s="5">
        <v>0.0</v>
      </c>
      <c r="V4" s="5">
        <v>0.0</v>
      </c>
      <c r="W4" s="5">
        <v>0.0</v>
      </c>
      <c r="X4" s="5">
        <v>0.0</v>
      </c>
      <c r="Y4" s="5">
        <v>0.0</v>
      </c>
      <c r="Z4" s="5">
        <v>0.0</v>
      </c>
      <c r="AA4" s="5">
        <v>0.0</v>
      </c>
      <c r="AB4" s="5">
        <v>0.0</v>
      </c>
      <c r="AC4" s="5">
        <v>0.0</v>
      </c>
      <c r="AD4" s="1" t="s">
        <v>44</v>
      </c>
      <c r="AE4" s="2" t="s">
        <v>40</v>
      </c>
      <c r="AF4" s="2" t="s">
        <v>40</v>
      </c>
    </row>
    <row r="5">
      <c r="A5" s="4" t="s">
        <v>32</v>
      </c>
      <c r="B5" s="5">
        <v>115.0</v>
      </c>
      <c r="C5" s="5">
        <v>1407389.0</v>
      </c>
      <c r="D5" s="5">
        <v>1411911.0</v>
      </c>
      <c r="E5" s="2" t="s">
        <v>33</v>
      </c>
      <c r="F5" s="2"/>
      <c r="G5" s="2"/>
      <c r="H5" s="2"/>
      <c r="I5" s="2"/>
      <c r="J5" s="2"/>
      <c r="K5" s="2"/>
      <c r="L5" s="2"/>
      <c r="M5" s="2" t="s">
        <v>47</v>
      </c>
      <c r="N5" s="2" t="s">
        <v>35</v>
      </c>
      <c r="O5" s="2" t="s">
        <v>48</v>
      </c>
      <c r="P5" s="2" t="s">
        <v>49</v>
      </c>
      <c r="Q5" s="5">
        <v>1.0</v>
      </c>
      <c r="R5" s="5">
        <v>0.0</v>
      </c>
      <c r="S5" s="5">
        <v>0.0</v>
      </c>
      <c r="T5" s="5">
        <v>0.0</v>
      </c>
      <c r="U5" s="5">
        <v>0.0</v>
      </c>
      <c r="V5" s="5">
        <v>0.0</v>
      </c>
      <c r="W5" s="5">
        <v>0.0</v>
      </c>
      <c r="X5" s="5">
        <v>0.0</v>
      </c>
      <c r="Y5" s="5">
        <v>0.0</v>
      </c>
      <c r="Z5" s="5">
        <v>0.0</v>
      </c>
      <c r="AA5" s="5">
        <v>0.0</v>
      </c>
      <c r="AB5" s="5">
        <v>0.0</v>
      </c>
      <c r="AC5" s="5">
        <v>0.0</v>
      </c>
      <c r="AD5" s="1" t="s">
        <v>44</v>
      </c>
      <c r="AE5" s="2" t="s">
        <v>40</v>
      </c>
      <c r="AF5" s="2" t="s">
        <v>40</v>
      </c>
    </row>
    <row r="6">
      <c r="A6" s="4" t="s">
        <v>32</v>
      </c>
      <c r="B6" s="5">
        <v>135.0</v>
      </c>
      <c r="C6" s="5">
        <v>1495040.0</v>
      </c>
      <c r="D6" s="5">
        <v>1499314.0</v>
      </c>
      <c r="E6" s="2" t="s">
        <v>33</v>
      </c>
      <c r="F6" s="2"/>
      <c r="G6" s="2"/>
      <c r="H6" s="2"/>
      <c r="I6" s="2"/>
      <c r="J6" s="2"/>
      <c r="K6" s="2"/>
      <c r="L6" s="2"/>
      <c r="M6" s="2" t="s">
        <v>50</v>
      </c>
      <c r="N6" s="2" t="s">
        <v>35</v>
      </c>
      <c r="O6" s="2" t="s">
        <v>51</v>
      </c>
      <c r="P6" s="2" t="s">
        <v>52</v>
      </c>
      <c r="Q6" s="5">
        <v>0.0</v>
      </c>
      <c r="R6" s="5">
        <v>0.0</v>
      </c>
      <c r="S6" s="5">
        <v>1.0</v>
      </c>
      <c r="T6" s="5">
        <v>0.0</v>
      </c>
      <c r="U6" s="5">
        <v>0.0</v>
      </c>
      <c r="V6" s="5">
        <v>0.0</v>
      </c>
      <c r="W6" s="5">
        <v>0.0</v>
      </c>
      <c r="X6" s="5">
        <v>0.0</v>
      </c>
      <c r="Y6" s="5">
        <v>0.0</v>
      </c>
      <c r="Z6" s="5">
        <v>0.0</v>
      </c>
      <c r="AA6" s="5">
        <v>0.0</v>
      </c>
      <c r="AB6" s="5">
        <v>0.0</v>
      </c>
      <c r="AC6" s="5">
        <v>0.0</v>
      </c>
      <c r="AD6" s="2" t="s">
        <v>38</v>
      </c>
      <c r="AE6" s="2" t="s">
        <v>39</v>
      </c>
      <c r="AF6" s="2" t="s">
        <v>40</v>
      </c>
    </row>
    <row r="7">
      <c r="A7" s="4" t="s">
        <v>32</v>
      </c>
      <c r="B7" s="5">
        <v>142.0</v>
      </c>
      <c r="C7" s="5">
        <v>1530129.0</v>
      </c>
      <c r="D7" s="5">
        <v>1537572.0</v>
      </c>
      <c r="E7" s="2" t="s">
        <v>33</v>
      </c>
      <c r="F7" s="2"/>
      <c r="G7" s="2"/>
      <c r="H7" s="2"/>
      <c r="I7" s="2"/>
      <c r="J7" s="2"/>
      <c r="K7" s="2"/>
      <c r="L7" s="2"/>
      <c r="M7" s="2" t="s">
        <v>53</v>
      </c>
      <c r="N7" s="2" t="s">
        <v>35</v>
      </c>
      <c r="O7" s="2" t="s">
        <v>54</v>
      </c>
      <c r="P7" s="2" t="s">
        <v>37</v>
      </c>
      <c r="Q7" s="5">
        <v>0.0</v>
      </c>
      <c r="R7" s="5">
        <v>1.0</v>
      </c>
      <c r="S7" s="5">
        <v>0.0</v>
      </c>
      <c r="T7" s="5">
        <v>0.0</v>
      </c>
      <c r="U7" s="5">
        <v>0.0</v>
      </c>
      <c r="V7" s="5">
        <v>0.0</v>
      </c>
      <c r="W7" s="5">
        <v>0.0</v>
      </c>
      <c r="X7" s="5">
        <v>0.0</v>
      </c>
      <c r="Y7" s="5">
        <v>0.0</v>
      </c>
      <c r="Z7" s="5">
        <v>0.0</v>
      </c>
      <c r="AA7" s="5">
        <v>0.0</v>
      </c>
      <c r="AB7" s="5">
        <v>0.0</v>
      </c>
      <c r="AC7" s="5">
        <v>0.0</v>
      </c>
      <c r="AD7" s="1" t="s">
        <v>44</v>
      </c>
      <c r="AE7" s="2" t="s">
        <v>40</v>
      </c>
      <c r="AF7" s="2" t="s">
        <v>40</v>
      </c>
    </row>
    <row r="8">
      <c r="A8" s="4" t="s">
        <v>32</v>
      </c>
      <c r="B8" s="5">
        <v>188.0</v>
      </c>
      <c r="C8" s="5">
        <v>1850333.0</v>
      </c>
      <c r="D8" s="5">
        <v>1855840.0</v>
      </c>
      <c r="E8" s="2" t="s">
        <v>33</v>
      </c>
      <c r="F8" s="2"/>
      <c r="G8" s="2"/>
      <c r="H8" s="2"/>
      <c r="I8" s="2"/>
      <c r="J8" s="2"/>
      <c r="K8" s="2"/>
      <c r="L8" s="2"/>
      <c r="M8" s="2" t="s">
        <v>55</v>
      </c>
      <c r="N8" s="2" t="s">
        <v>35</v>
      </c>
      <c r="O8" s="2" t="s">
        <v>56</v>
      </c>
      <c r="P8" s="2" t="s">
        <v>57</v>
      </c>
      <c r="Q8" s="5">
        <v>0.0</v>
      </c>
      <c r="R8" s="5">
        <v>0.0</v>
      </c>
      <c r="S8" s="5">
        <v>0.0</v>
      </c>
      <c r="T8" s="5">
        <v>0.0</v>
      </c>
      <c r="U8" s="5">
        <v>0.0</v>
      </c>
      <c r="V8" s="5">
        <v>0.0</v>
      </c>
      <c r="W8" s="5">
        <v>0.0</v>
      </c>
      <c r="X8" s="5">
        <v>1.0</v>
      </c>
      <c r="Y8" s="5">
        <v>0.0</v>
      </c>
      <c r="Z8" s="5">
        <v>0.0</v>
      </c>
      <c r="AA8" s="5">
        <v>0.0</v>
      </c>
      <c r="AB8" s="5">
        <v>0.0</v>
      </c>
      <c r="AC8" s="5">
        <v>0.0</v>
      </c>
      <c r="AD8" s="2" t="s">
        <v>38</v>
      </c>
      <c r="AE8" s="2" t="s">
        <v>39</v>
      </c>
      <c r="AF8" s="2" t="s">
        <v>40</v>
      </c>
    </row>
    <row r="9">
      <c r="A9" s="4" t="s">
        <v>32</v>
      </c>
      <c r="B9" s="5">
        <v>206.0</v>
      </c>
      <c r="C9" s="5">
        <v>1953370.0</v>
      </c>
      <c r="D9" s="5">
        <v>1961300.0</v>
      </c>
      <c r="E9" s="2" t="s">
        <v>33</v>
      </c>
      <c r="F9" s="2"/>
      <c r="G9" s="2"/>
      <c r="H9" s="2"/>
      <c r="I9" s="2"/>
      <c r="J9" s="2"/>
      <c r="K9" s="2"/>
      <c r="L9" s="2"/>
      <c r="M9" s="2" t="s">
        <v>58</v>
      </c>
      <c r="N9" s="2" t="s">
        <v>35</v>
      </c>
      <c r="O9" s="2" t="s">
        <v>59</v>
      </c>
      <c r="P9" s="2" t="s">
        <v>60</v>
      </c>
      <c r="Q9" s="5">
        <v>1.0</v>
      </c>
      <c r="R9" s="5">
        <v>0.0</v>
      </c>
      <c r="S9" s="5">
        <v>0.0</v>
      </c>
      <c r="T9" s="5">
        <v>0.0</v>
      </c>
      <c r="U9" s="5">
        <v>0.0</v>
      </c>
      <c r="V9" s="5">
        <v>0.0</v>
      </c>
      <c r="W9" s="5">
        <v>0.0</v>
      </c>
      <c r="X9" s="5">
        <v>0.0</v>
      </c>
      <c r="Y9" s="5">
        <v>0.0</v>
      </c>
      <c r="Z9" s="5">
        <v>0.0</v>
      </c>
      <c r="AA9" s="5">
        <v>0.0</v>
      </c>
      <c r="AB9" s="5">
        <v>0.0</v>
      </c>
      <c r="AC9" s="5">
        <v>0.0</v>
      </c>
      <c r="AD9" s="2" t="s">
        <v>38</v>
      </c>
      <c r="AE9" s="2" t="s">
        <v>39</v>
      </c>
      <c r="AF9" s="2" t="s">
        <v>40</v>
      </c>
    </row>
    <row r="10">
      <c r="A10" s="4" t="s">
        <v>32</v>
      </c>
      <c r="B10" s="5">
        <v>328.0</v>
      </c>
      <c r="C10" s="5">
        <v>516610.0</v>
      </c>
      <c r="D10" s="5">
        <v>524930.0</v>
      </c>
      <c r="E10" s="2" t="s">
        <v>61</v>
      </c>
      <c r="F10" s="2"/>
      <c r="G10" s="2" t="s">
        <v>62</v>
      </c>
      <c r="H10" s="2"/>
      <c r="I10" s="5">
        <v>1937.0</v>
      </c>
      <c r="J10" s="2" t="s">
        <v>63</v>
      </c>
      <c r="K10" s="2" t="s">
        <v>64</v>
      </c>
      <c r="L10" s="2" t="s">
        <v>65</v>
      </c>
      <c r="M10" s="2" t="s">
        <v>66</v>
      </c>
      <c r="N10" s="2" t="s">
        <v>35</v>
      </c>
      <c r="O10" s="2" t="s">
        <v>67</v>
      </c>
      <c r="P10" s="2" t="s">
        <v>68</v>
      </c>
      <c r="Q10" s="5">
        <v>1.0</v>
      </c>
      <c r="R10" s="5">
        <v>0.0</v>
      </c>
      <c r="S10" s="5">
        <v>0.0</v>
      </c>
      <c r="T10" s="5">
        <v>0.0</v>
      </c>
      <c r="U10" s="5">
        <v>0.0</v>
      </c>
      <c r="V10" s="5">
        <v>0.0</v>
      </c>
      <c r="W10" s="5">
        <v>0.0</v>
      </c>
      <c r="X10" s="5">
        <v>0.0</v>
      </c>
      <c r="Y10" s="5">
        <v>0.0</v>
      </c>
      <c r="Z10" s="5">
        <v>0.0</v>
      </c>
      <c r="AA10" s="5">
        <v>0.0</v>
      </c>
      <c r="AB10" s="5">
        <v>0.0</v>
      </c>
      <c r="AC10" s="5">
        <v>0.0</v>
      </c>
      <c r="AD10" s="2" t="s">
        <v>38</v>
      </c>
      <c r="AE10" s="2" t="s">
        <v>39</v>
      </c>
      <c r="AF10" s="2" t="s">
        <v>40</v>
      </c>
    </row>
    <row r="11">
      <c r="A11" s="4" t="s">
        <v>32</v>
      </c>
      <c r="B11" s="5">
        <v>376.0</v>
      </c>
      <c r="C11" s="5">
        <v>802725.0</v>
      </c>
      <c r="D11" s="5">
        <v>813830.0</v>
      </c>
      <c r="E11" s="2" t="s">
        <v>61</v>
      </c>
      <c r="F11" s="2"/>
      <c r="G11" s="2" t="s">
        <v>62</v>
      </c>
      <c r="H11" s="2"/>
      <c r="I11" s="5">
        <v>1937.0</v>
      </c>
      <c r="J11" s="2" t="s">
        <v>63</v>
      </c>
      <c r="K11" s="2" t="s">
        <v>64</v>
      </c>
      <c r="L11" s="2" t="s">
        <v>65</v>
      </c>
      <c r="M11" s="2" t="s">
        <v>69</v>
      </c>
      <c r="N11" s="2" t="s">
        <v>35</v>
      </c>
      <c r="O11" s="2" t="s">
        <v>70</v>
      </c>
      <c r="P11" s="2" t="s">
        <v>71</v>
      </c>
      <c r="Q11" s="5">
        <v>1.0</v>
      </c>
      <c r="R11" s="5">
        <v>0.0</v>
      </c>
      <c r="S11" s="5">
        <v>0.0</v>
      </c>
      <c r="T11" s="5">
        <v>0.0</v>
      </c>
      <c r="U11" s="5">
        <v>0.0</v>
      </c>
      <c r="V11" s="5">
        <v>0.0</v>
      </c>
      <c r="W11" s="5">
        <v>0.0</v>
      </c>
      <c r="X11" s="5">
        <v>0.0</v>
      </c>
      <c r="Y11" s="5">
        <v>0.0</v>
      </c>
      <c r="Z11" s="5">
        <v>0.0</v>
      </c>
      <c r="AA11" s="5">
        <v>0.0</v>
      </c>
      <c r="AB11" s="5">
        <v>0.0</v>
      </c>
      <c r="AC11" s="5">
        <v>0.0</v>
      </c>
      <c r="AD11" s="2" t="s">
        <v>38</v>
      </c>
      <c r="AE11" s="2" t="s">
        <v>39</v>
      </c>
      <c r="AF11" s="2" t="s">
        <v>40</v>
      </c>
    </row>
    <row r="12">
      <c r="A12" s="4" t="s">
        <v>32</v>
      </c>
      <c r="B12" s="5">
        <v>382.0</v>
      </c>
      <c r="C12" s="5">
        <v>851500.0</v>
      </c>
      <c r="D12" s="5">
        <v>855750.0</v>
      </c>
      <c r="E12" s="2" t="s">
        <v>61</v>
      </c>
      <c r="F12" s="2"/>
      <c r="G12" s="2" t="s">
        <v>62</v>
      </c>
      <c r="H12" s="2"/>
      <c r="I12" s="5">
        <v>1937.0</v>
      </c>
      <c r="J12" s="2" t="s">
        <v>63</v>
      </c>
      <c r="K12" s="2" t="s">
        <v>64</v>
      </c>
      <c r="L12" s="2" t="s">
        <v>65</v>
      </c>
      <c r="M12" s="2" t="s">
        <v>72</v>
      </c>
      <c r="N12" s="2" t="s">
        <v>35</v>
      </c>
      <c r="O12" s="2" t="s">
        <v>73</v>
      </c>
      <c r="P12" s="2" t="s">
        <v>71</v>
      </c>
      <c r="Q12" s="5">
        <v>1.0</v>
      </c>
      <c r="R12" s="5">
        <v>0.0</v>
      </c>
      <c r="S12" s="5">
        <v>0.0</v>
      </c>
      <c r="T12" s="5">
        <v>0.0</v>
      </c>
      <c r="U12" s="5">
        <v>0.0</v>
      </c>
      <c r="V12" s="5">
        <v>0.0</v>
      </c>
      <c r="W12" s="5">
        <v>0.0</v>
      </c>
      <c r="X12" s="5">
        <v>0.0</v>
      </c>
      <c r="Y12" s="5">
        <v>0.0</v>
      </c>
      <c r="Z12" s="5">
        <v>0.0</v>
      </c>
      <c r="AA12" s="5">
        <v>0.0</v>
      </c>
      <c r="AB12" s="5">
        <v>0.0</v>
      </c>
      <c r="AC12" s="5">
        <v>0.0</v>
      </c>
      <c r="AD12" s="2" t="s">
        <v>38</v>
      </c>
      <c r="AE12" s="2" t="s">
        <v>39</v>
      </c>
      <c r="AF12" s="2" t="s">
        <v>40</v>
      </c>
    </row>
    <row r="13">
      <c r="A13" s="4" t="s">
        <v>32</v>
      </c>
      <c r="B13" s="5">
        <v>405.0</v>
      </c>
      <c r="C13" s="5">
        <v>1004680.0</v>
      </c>
      <c r="D13" s="5">
        <v>1014830.0</v>
      </c>
      <c r="E13" s="2" t="s">
        <v>61</v>
      </c>
      <c r="F13" s="2"/>
      <c r="G13" s="2" t="s">
        <v>62</v>
      </c>
      <c r="H13" s="2"/>
      <c r="I13" s="5">
        <v>1937.0</v>
      </c>
      <c r="J13" s="2" t="s">
        <v>63</v>
      </c>
      <c r="K13" s="2" t="s">
        <v>64</v>
      </c>
      <c r="L13" s="2" t="s">
        <v>65</v>
      </c>
      <c r="M13" s="2" t="s">
        <v>74</v>
      </c>
      <c r="N13" s="2" t="s">
        <v>35</v>
      </c>
      <c r="O13" s="2" t="s">
        <v>75</v>
      </c>
      <c r="P13" s="2" t="s">
        <v>76</v>
      </c>
      <c r="Q13" s="5">
        <v>0.0</v>
      </c>
      <c r="R13" s="5">
        <v>0.0</v>
      </c>
      <c r="S13" s="5">
        <v>0.0</v>
      </c>
      <c r="T13" s="5">
        <v>0.0</v>
      </c>
      <c r="U13" s="5">
        <v>0.0</v>
      </c>
      <c r="V13" s="5">
        <v>0.0</v>
      </c>
      <c r="W13" s="5">
        <v>0.0</v>
      </c>
      <c r="X13" s="5">
        <v>1.0</v>
      </c>
      <c r="Y13" s="5">
        <v>0.0</v>
      </c>
      <c r="Z13" s="5">
        <v>0.0</v>
      </c>
      <c r="AA13" s="5">
        <v>0.0</v>
      </c>
      <c r="AB13" s="5">
        <v>0.0</v>
      </c>
      <c r="AC13" s="5">
        <v>0.0</v>
      </c>
      <c r="AD13" s="2" t="s">
        <v>38</v>
      </c>
      <c r="AE13" s="2" t="s">
        <v>39</v>
      </c>
      <c r="AF13" s="2" t="s">
        <v>40</v>
      </c>
    </row>
    <row r="14">
      <c r="A14" s="4" t="s">
        <v>32</v>
      </c>
      <c r="B14" s="5">
        <v>445.0</v>
      </c>
      <c r="C14" s="5">
        <v>1200212.0</v>
      </c>
      <c r="D14" s="5">
        <v>1205425.0</v>
      </c>
      <c r="E14" s="2" t="s">
        <v>61</v>
      </c>
      <c r="F14" s="2"/>
      <c r="G14" s="2" t="s">
        <v>62</v>
      </c>
      <c r="H14" s="2"/>
      <c r="I14" s="5">
        <v>1937.0</v>
      </c>
      <c r="J14" s="2" t="s">
        <v>63</v>
      </c>
      <c r="K14" s="2" t="s">
        <v>64</v>
      </c>
      <c r="L14" s="2" t="s">
        <v>65</v>
      </c>
      <c r="M14" s="2" t="s">
        <v>77</v>
      </c>
      <c r="N14" s="2" t="s">
        <v>35</v>
      </c>
      <c r="O14" s="2" t="s">
        <v>78</v>
      </c>
      <c r="P14" s="2" t="s">
        <v>68</v>
      </c>
      <c r="Q14" s="5">
        <v>1.0</v>
      </c>
      <c r="R14" s="5">
        <v>0.0</v>
      </c>
      <c r="S14" s="5">
        <v>0.0</v>
      </c>
      <c r="T14" s="5">
        <v>0.0</v>
      </c>
      <c r="U14" s="5">
        <v>0.0</v>
      </c>
      <c r="V14" s="5">
        <v>0.0</v>
      </c>
      <c r="W14" s="5">
        <v>0.0</v>
      </c>
      <c r="X14" s="5">
        <v>0.0</v>
      </c>
      <c r="Y14" s="5">
        <v>0.0</v>
      </c>
      <c r="Z14" s="5">
        <v>0.0</v>
      </c>
      <c r="AA14" s="5">
        <v>0.0</v>
      </c>
      <c r="AB14" s="5">
        <v>0.0</v>
      </c>
      <c r="AC14" s="5">
        <v>0.0</v>
      </c>
      <c r="AD14" s="1" t="s">
        <v>44</v>
      </c>
      <c r="AE14" s="2" t="s">
        <v>40</v>
      </c>
      <c r="AF14" s="2" t="s">
        <v>40</v>
      </c>
    </row>
    <row r="15">
      <c r="A15" s="4" t="s">
        <v>32</v>
      </c>
      <c r="B15" s="5">
        <v>620.0</v>
      </c>
      <c r="C15" s="5">
        <v>2148950.0</v>
      </c>
      <c r="D15" s="5">
        <v>2152260.0</v>
      </c>
      <c r="E15" s="2" t="s">
        <v>61</v>
      </c>
      <c r="F15" s="2"/>
      <c r="G15" s="2" t="s">
        <v>62</v>
      </c>
      <c r="H15" s="2"/>
      <c r="I15" s="5">
        <v>1937.0</v>
      </c>
      <c r="J15" s="2" t="s">
        <v>63</v>
      </c>
      <c r="K15" s="2" t="s">
        <v>64</v>
      </c>
      <c r="L15" s="2" t="s">
        <v>65</v>
      </c>
      <c r="M15" s="2" t="s">
        <v>79</v>
      </c>
      <c r="N15" s="2" t="s">
        <v>35</v>
      </c>
      <c r="O15" s="2" t="s">
        <v>80</v>
      </c>
      <c r="P15" s="2" t="s">
        <v>81</v>
      </c>
      <c r="Q15" s="5">
        <v>1.0</v>
      </c>
      <c r="R15" s="5">
        <v>0.0</v>
      </c>
      <c r="S15" s="5">
        <v>0.0</v>
      </c>
      <c r="T15" s="5">
        <v>0.0</v>
      </c>
      <c r="U15" s="5">
        <v>0.0</v>
      </c>
      <c r="V15" s="5">
        <v>0.0</v>
      </c>
      <c r="W15" s="5">
        <v>0.0</v>
      </c>
      <c r="X15" s="5">
        <v>0.0</v>
      </c>
      <c r="Y15" s="5">
        <v>0.0</v>
      </c>
      <c r="Z15" s="5">
        <v>0.0</v>
      </c>
      <c r="AA15" s="5">
        <v>0.0</v>
      </c>
      <c r="AB15" s="5">
        <v>0.0</v>
      </c>
      <c r="AC15" s="5">
        <v>0.0</v>
      </c>
      <c r="AD15" s="2" t="s">
        <v>38</v>
      </c>
      <c r="AE15" s="2" t="s">
        <v>39</v>
      </c>
      <c r="AF15" s="2" t="s">
        <v>40</v>
      </c>
    </row>
    <row r="16">
      <c r="A16" s="4" t="s">
        <v>32</v>
      </c>
      <c r="B16" s="5">
        <v>662.0</v>
      </c>
      <c r="C16" s="5">
        <v>2314500.0</v>
      </c>
      <c r="D16" s="5">
        <v>2318730.0</v>
      </c>
      <c r="E16" s="2" t="s">
        <v>61</v>
      </c>
      <c r="F16" s="2"/>
      <c r="G16" s="2" t="s">
        <v>62</v>
      </c>
      <c r="H16" s="2"/>
      <c r="I16" s="5">
        <v>1937.0</v>
      </c>
      <c r="J16" s="2" t="s">
        <v>63</v>
      </c>
      <c r="K16" s="2" t="s">
        <v>64</v>
      </c>
      <c r="L16" s="2" t="s">
        <v>65</v>
      </c>
      <c r="M16" s="2" t="s">
        <v>82</v>
      </c>
      <c r="N16" s="2" t="s">
        <v>35</v>
      </c>
      <c r="O16" s="2" t="s">
        <v>83</v>
      </c>
      <c r="P16" s="2" t="s">
        <v>84</v>
      </c>
      <c r="Q16" s="5">
        <v>1.0</v>
      </c>
      <c r="R16" s="5">
        <v>0.0</v>
      </c>
      <c r="S16" s="5">
        <v>0.0</v>
      </c>
      <c r="T16" s="5">
        <v>0.0</v>
      </c>
      <c r="U16" s="5">
        <v>0.0</v>
      </c>
      <c r="V16" s="5">
        <v>0.0</v>
      </c>
      <c r="W16" s="5">
        <v>0.0</v>
      </c>
      <c r="X16" s="5">
        <v>0.0</v>
      </c>
      <c r="Y16" s="5">
        <v>0.0</v>
      </c>
      <c r="Z16" s="5">
        <v>0.0</v>
      </c>
      <c r="AA16" s="5">
        <v>0.0</v>
      </c>
      <c r="AB16" s="5">
        <v>0.0</v>
      </c>
      <c r="AC16" s="5">
        <v>0.0</v>
      </c>
      <c r="AD16" s="2" t="s">
        <v>38</v>
      </c>
      <c r="AE16" s="2" t="s">
        <v>39</v>
      </c>
      <c r="AF16" s="2" t="s">
        <v>40</v>
      </c>
    </row>
    <row r="17">
      <c r="A17" s="4" t="s">
        <v>32</v>
      </c>
      <c r="B17" s="5">
        <v>662.0</v>
      </c>
      <c r="C17" s="5">
        <v>2314500.0</v>
      </c>
      <c r="D17" s="5">
        <v>2318730.0</v>
      </c>
      <c r="E17" s="2" t="s">
        <v>61</v>
      </c>
      <c r="F17" s="2"/>
      <c r="G17" s="2" t="s">
        <v>62</v>
      </c>
      <c r="H17" s="2"/>
      <c r="I17" s="5">
        <v>1937.0</v>
      </c>
      <c r="J17" s="2" t="s">
        <v>63</v>
      </c>
      <c r="K17" s="2" t="s">
        <v>64</v>
      </c>
      <c r="L17" s="2" t="s">
        <v>65</v>
      </c>
      <c r="M17" s="2" t="s">
        <v>85</v>
      </c>
      <c r="N17" s="2" t="s">
        <v>35</v>
      </c>
      <c r="O17" s="2" t="s">
        <v>86</v>
      </c>
      <c r="P17" s="2" t="s">
        <v>87</v>
      </c>
      <c r="Q17" s="5">
        <v>1.0</v>
      </c>
      <c r="R17" s="5">
        <v>0.0</v>
      </c>
      <c r="S17" s="5">
        <v>0.0</v>
      </c>
      <c r="T17" s="5">
        <v>0.0</v>
      </c>
      <c r="U17" s="5">
        <v>0.0</v>
      </c>
      <c r="V17" s="5">
        <v>0.0</v>
      </c>
      <c r="W17" s="5">
        <v>0.0</v>
      </c>
      <c r="X17" s="5">
        <v>0.0</v>
      </c>
      <c r="Y17" s="5">
        <v>0.0</v>
      </c>
      <c r="Z17" s="5">
        <v>0.0</v>
      </c>
      <c r="AA17" s="5">
        <v>0.0</v>
      </c>
      <c r="AB17" s="5">
        <v>0.0</v>
      </c>
      <c r="AC17" s="5">
        <v>0.0</v>
      </c>
      <c r="AD17" s="2" t="s">
        <v>38</v>
      </c>
      <c r="AE17" s="2" t="s">
        <v>39</v>
      </c>
      <c r="AF17" s="2" t="s">
        <v>40</v>
      </c>
    </row>
    <row r="18">
      <c r="A18" s="4" t="s">
        <v>32</v>
      </c>
      <c r="B18" s="5">
        <v>716.0</v>
      </c>
      <c r="C18" s="5">
        <v>2686180.0</v>
      </c>
      <c r="D18" s="5">
        <v>2688610.0</v>
      </c>
      <c r="E18" s="2" t="s">
        <v>61</v>
      </c>
      <c r="F18" s="2"/>
      <c r="G18" s="2" t="s">
        <v>62</v>
      </c>
      <c r="H18" s="2"/>
      <c r="I18" s="5">
        <v>1937.0</v>
      </c>
      <c r="J18" s="2" t="s">
        <v>63</v>
      </c>
      <c r="K18" s="2" t="s">
        <v>64</v>
      </c>
      <c r="L18" s="2" t="s">
        <v>65</v>
      </c>
      <c r="M18" s="2" t="s">
        <v>88</v>
      </c>
      <c r="N18" s="2" t="s">
        <v>89</v>
      </c>
      <c r="O18" s="2" t="s">
        <v>90</v>
      </c>
      <c r="P18" s="2" t="s">
        <v>91</v>
      </c>
      <c r="Q18" s="5">
        <v>0.0</v>
      </c>
      <c r="R18" s="5">
        <v>0.0</v>
      </c>
      <c r="S18" s="5">
        <v>0.0</v>
      </c>
      <c r="T18" s="5">
        <v>0.0</v>
      </c>
      <c r="U18" s="5">
        <v>0.0</v>
      </c>
      <c r="V18" s="5">
        <v>0.0</v>
      </c>
      <c r="W18" s="5">
        <v>0.0</v>
      </c>
      <c r="X18" s="5">
        <v>0.0</v>
      </c>
      <c r="Y18" s="5">
        <v>1.0</v>
      </c>
      <c r="Z18" s="5">
        <v>0.0</v>
      </c>
      <c r="AA18" s="5">
        <v>0.0</v>
      </c>
      <c r="AB18" s="5">
        <v>0.0</v>
      </c>
      <c r="AC18" s="5">
        <v>0.0</v>
      </c>
      <c r="AD18" s="2" t="s">
        <v>92</v>
      </c>
      <c r="AE18" s="2" t="s">
        <v>39</v>
      </c>
      <c r="AF18" s="2" t="s">
        <v>40</v>
      </c>
    </row>
    <row r="19">
      <c r="A19" s="4" t="s">
        <v>32</v>
      </c>
      <c r="B19" s="5">
        <v>718.0</v>
      </c>
      <c r="C19" s="5">
        <v>2693990.0</v>
      </c>
      <c r="D19" s="5">
        <v>2698740.0</v>
      </c>
      <c r="E19" s="2" t="s">
        <v>61</v>
      </c>
      <c r="F19" s="2"/>
      <c r="G19" s="2" t="s">
        <v>62</v>
      </c>
      <c r="H19" s="2"/>
      <c r="I19" s="5">
        <v>1937.0</v>
      </c>
      <c r="J19" s="2" t="s">
        <v>63</v>
      </c>
      <c r="K19" s="2" t="s">
        <v>64</v>
      </c>
      <c r="L19" s="2" t="s">
        <v>65</v>
      </c>
      <c r="M19" s="2" t="s">
        <v>88</v>
      </c>
      <c r="N19" s="2" t="s">
        <v>35</v>
      </c>
      <c r="O19" s="2" t="s">
        <v>93</v>
      </c>
      <c r="P19" s="2" t="s">
        <v>24</v>
      </c>
      <c r="Q19" s="5">
        <v>0.0</v>
      </c>
      <c r="R19" s="5">
        <v>0.0</v>
      </c>
      <c r="S19" s="5">
        <v>0.0</v>
      </c>
      <c r="T19" s="5">
        <v>0.0</v>
      </c>
      <c r="U19" s="5">
        <v>0.0</v>
      </c>
      <c r="V19" s="5">
        <v>0.0</v>
      </c>
      <c r="W19" s="5">
        <v>0.0</v>
      </c>
      <c r="X19" s="5">
        <v>0.0</v>
      </c>
      <c r="Y19" s="5">
        <v>1.0</v>
      </c>
      <c r="Z19" s="5">
        <v>0.0</v>
      </c>
      <c r="AA19" s="5">
        <v>0.0</v>
      </c>
      <c r="AB19" s="5">
        <v>0.0</v>
      </c>
      <c r="AC19" s="5">
        <v>0.0</v>
      </c>
      <c r="AD19" s="2" t="s">
        <v>92</v>
      </c>
      <c r="AE19" s="2" t="s">
        <v>39</v>
      </c>
      <c r="AF19" s="2" t="s">
        <v>40</v>
      </c>
    </row>
    <row r="20">
      <c r="A20" s="4" t="s">
        <v>32</v>
      </c>
      <c r="B20" s="5">
        <v>743.0</v>
      </c>
      <c r="C20" s="5">
        <v>2802927.0</v>
      </c>
      <c r="D20" s="5">
        <v>2809144.0</v>
      </c>
      <c r="E20" s="2" t="s">
        <v>61</v>
      </c>
      <c r="F20" s="2"/>
      <c r="G20" s="2" t="s">
        <v>62</v>
      </c>
      <c r="H20" s="2"/>
      <c r="I20" s="5">
        <v>1937.0</v>
      </c>
      <c r="J20" s="2" t="s">
        <v>63</v>
      </c>
      <c r="K20" s="2" t="s">
        <v>64</v>
      </c>
      <c r="L20" s="2" t="s">
        <v>65</v>
      </c>
      <c r="M20" s="2" t="s">
        <v>94</v>
      </c>
      <c r="N20" s="2" t="s">
        <v>35</v>
      </c>
      <c r="O20" s="2" t="s">
        <v>95</v>
      </c>
      <c r="P20" s="2" t="s">
        <v>96</v>
      </c>
      <c r="Q20" s="5">
        <v>0.0</v>
      </c>
      <c r="R20" s="5">
        <v>1.0</v>
      </c>
      <c r="S20" s="5">
        <v>0.0</v>
      </c>
      <c r="T20" s="5">
        <v>0.0</v>
      </c>
      <c r="U20" s="5">
        <v>0.0</v>
      </c>
      <c r="V20" s="5">
        <v>0.0</v>
      </c>
      <c r="W20" s="5">
        <v>0.0</v>
      </c>
      <c r="X20" s="5">
        <v>0.0</v>
      </c>
      <c r="Y20" s="5">
        <v>0.0</v>
      </c>
      <c r="Z20" s="5">
        <v>0.0</v>
      </c>
      <c r="AA20" s="5">
        <v>0.0</v>
      </c>
      <c r="AB20" s="5">
        <v>0.0</v>
      </c>
      <c r="AC20" s="5">
        <v>0.0</v>
      </c>
      <c r="AD20" s="1" t="s">
        <v>44</v>
      </c>
      <c r="AE20" s="2" t="s">
        <v>40</v>
      </c>
      <c r="AF20" s="2" t="s">
        <v>40</v>
      </c>
    </row>
    <row r="21">
      <c r="A21" s="4" t="s">
        <v>32</v>
      </c>
      <c r="B21" s="5">
        <v>764.0</v>
      </c>
      <c r="C21" s="5">
        <v>2909762.0</v>
      </c>
      <c r="D21" s="5">
        <v>2912855.0</v>
      </c>
      <c r="E21" s="2" t="s">
        <v>61</v>
      </c>
      <c r="F21" s="2"/>
      <c r="G21" s="2" t="s">
        <v>62</v>
      </c>
      <c r="H21" s="2"/>
      <c r="I21" s="5">
        <v>1937.0</v>
      </c>
      <c r="J21" s="2" t="s">
        <v>63</v>
      </c>
      <c r="K21" s="2" t="s">
        <v>64</v>
      </c>
      <c r="L21" s="2" t="s">
        <v>65</v>
      </c>
      <c r="M21" s="2" t="s">
        <v>97</v>
      </c>
      <c r="N21" s="2" t="s">
        <v>35</v>
      </c>
      <c r="O21" s="2" t="s">
        <v>98</v>
      </c>
      <c r="P21" s="2" t="s">
        <v>99</v>
      </c>
      <c r="Q21" s="5">
        <v>0.0</v>
      </c>
      <c r="R21" s="5">
        <v>1.0</v>
      </c>
      <c r="S21" s="5">
        <v>0.0</v>
      </c>
      <c r="T21" s="5">
        <v>0.0</v>
      </c>
      <c r="U21" s="5">
        <v>0.0</v>
      </c>
      <c r="V21" s="5">
        <v>0.0</v>
      </c>
      <c r="W21" s="5">
        <v>0.0</v>
      </c>
      <c r="X21" s="5">
        <v>0.0</v>
      </c>
      <c r="Y21" s="5">
        <v>0.0</v>
      </c>
      <c r="Z21" s="5">
        <v>0.0</v>
      </c>
      <c r="AA21" s="5">
        <v>0.0</v>
      </c>
      <c r="AB21" s="5">
        <v>0.0</v>
      </c>
      <c r="AC21" s="5">
        <v>0.0</v>
      </c>
      <c r="AD21" s="2" t="s">
        <v>38</v>
      </c>
      <c r="AE21" s="2" t="s">
        <v>39</v>
      </c>
      <c r="AF21" s="2" t="s">
        <v>40</v>
      </c>
    </row>
    <row r="22">
      <c r="A22" s="4" t="s">
        <v>32</v>
      </c>
      <c r="B22" s="5">
        <v>811.0</v>
      </c>
      <c r="C22" s="5">
        <v>3092298.0</v>
      </c>
      <c r="D22" s="5">
        <v>3096453.0</v>
      </c>
      <c r="E22" s="2" t="s">
        <v>61</v>
      </c>
      <c r="F22" s="2"/>
      <c r="G22" s="2" t="s">
        <v>62</v>
      </c>
      <c r="H22" s="2"/>
      <c r="I22" s="5">
        <v>1937.0</v>
      </c>
      <c r="J22" s="2" t="s">
        <v>63</v>
      </c>
      <c r="K22" s="2" t="s">
        <v>64</v>
      </c>
      <c r="L22" s="2" t="s">
        <v>65</v>
      </c>
      <c r="M22" s="2" t="s">
        <v>79</v>
      </c>
      <c r="N22" s="2" t="s">
        <v>35</v>
      </c>
      <c r="O22" s="2" t="s">
        <v>100</v>
      </c>
      <c r="P22" s="2" t="s">
        <v>101</v>
      </c>
      <c r="Q22" s="5">
        <v>0.0</v>
      </c>
      <c r="R22" s="5">
        <v>0.0</v>
      </c>
      <c r="S22" s="5">
        <v>0.0</v>
      </c>
      <c r="T22" s="5">
        <v>0.0</v>
      </c>
      <c r="U22" s="5">
        <v>0.0</v>
      </c>
      <c r="V22" s="5">
        <v>0.0</v>
      </c>
      <c r="W22" s="5">
        <v>0.0</v>
      </c>
      <c r="X22" s="5">
        <v>0.0</v>
      </c>
      <c r="Y22" s="5">
        <v>1.0</v>
      </c>
      <c r="Z22" s="5">
        <v>0.0</v>
      </c>
      <c r="AA22" s="5">
        <v>0.0</v>
      </c>
      <c r="AB22" s="5">
        <v>0.0</v>
      </c>
      <c r="AC22" s="5">
        <v>0.0</v>
      </c>
      <c r="AD22" s="2" t="s">
        <v>92</v>
      </c>
      <c r="AE22" s="2" t="s">
        <v>39</v>
      </c>
      <c r="AF22" s="2" t="s">
        <v>40</v>
      </c>
    </row>
    <row r="23">
      <c r="A23" s="4" t="s">
        <v>32</v>
      </c>
      <c r="B23" s="5">
        <v>841.0</v>
      </c>
      <c r="C23" s="5">
        <v>3230618.0</v>
      </c>
      <c r="D23" s="5">
        <v>3234587.0</v>
      </c>
      <c r="E23" s="2" t="s">
        <v>61</v>
      </c>
      <c r="F23" s="2"/>
      <c r="G23" s="2" t="s">
        <v>62</v>
      </c>
      <c r="H23" s="2"/>
      <c r="I23" s="5">
        <v>1937.0</v>
      </c>
      <c r="J23" s="2" t="s">
        <v>63</v>
      </c>
      <c r="K23" s="2" t="s">
        <v>64</v>
      </c>
      <c r="L23" s="2" t="s">
        <v>65</v>
      </c>
      <c r="M23" s="2" t="s">
        <v>102</v>
      </c>
      <c r="N23" s="2" t="s">
        <v>35</v>
      </c>
      <c r="O23" s="2" t="s">
        <v>103</v>
      </c>
      <c r="P23" s="2" t="s">
        <v>104</v>
      </c>
      <c r="Q23" s="5">
        <v>0.0</v>
      </c>
      <c r="R23" s="5">
        <v>1.0</v>
      </c>
      <c r="S23" s="5">
        <v>0.0</v>
      </c>
      <c r="T23" s="5">
        <v>0.0</v>
      </c>
      <c r="U23" s="5">
        <v>0.0</v>
      </c>
      <c r="V23" s="5">
        <v>0.0</v>
      </c>
      <c r="W23" s="5">
        <v>0.0</v>
      </c>
      <c r="X23" s="5">
        <v>0.0</v>
      </c>
      <c r="Y23" s="5">
        <v>0.0</v>
      </c>
      <c r="Z23" s="5">
        <v>0.0</v>
      </c>
      <c r="AA23" s="5">
        <v>0.0</v>
      </c>
      <c r="AB23" s="5">
        <v>0.0</v>
      </c>
      <c r="AC23" s="5">
        <v>0.0</v>
      </c>
      <c r="AD23" s="2" t="s">
        <v>38</v>
      </c>
      <c r="AE23" s="2" t="s">
        <v>39</v>
      </c>
      <c r="AF23" s="2" t="s">
        <v>40</v>
      </c>
    </row>
    <row r="24">
      <c r="A24" s="4" t="s">
        <v>32</v>
      </c>
      <c r="B24" s="5">
        <v>848.0</v>
      </c>
      <c r="C24" s="5">
        <v>3259494.0</v>
      </c>
      <c r="D24" s="5">
        <v>3262587.0</v>
      </c>
      <c r="E24" s="2" t="s">
        <v>61</v>
      </c>
      <c r="F24" s="2"/>
      <c r="G24" s="2" t="s">
        <v>62</v>
      </c>
      <c r="H24" s="2"/>
      <c r="I24" s="5">
        <v>1937.0</v>
      </c>
      <c r="J24" s="2" t="s">
        <v>63</v>
      </c>
      <c r="K24" s="2" t="s">
        <v>64</v>
      </c>
      <c r="L24" s="2" t="s">
        <v>65</v>
      </c>
      <c r="M24" s="2" t="s">
        <v>105</v>
      </c>
      <c r="N24" s="2" t="s">
        <v>35</v>
      </c>
      <c r="O24" s="2" t="s">
        <v>106</v>
      </c>
      <c r="P24" s="2" t="s">
        <v>104</v>
      </c>
      <c r="Q24" s="5">
        <v>0.0</v>
      </c>
      <c r="R24" s="5">
        <v>1.0</v>
      </c>
      <c r="S24" s="5">
        <v>0.0</v>
      </c>
      <c r="T24" s="5">
        <v>0.0</v>
      </c>
      <c r="U24" s="5">
        <v>0.0</v>
      </c>
      <c r="V24" s="5">
        <v>0.0</v>
      </c>
      <c r="W24" s="5">
        <v>0.0</v>
      </c>
      <c r="X24" s="5">
        <v>0.0</v>
      </c>
      <c r="Y24" s="5">
        <v>0.0</v>
      </c>
      <c r="Z24" s="5">
        <v>0.0</v>
      </c>
      <c r="AA24" s="5">
        <v>0.0</v>
      </c>
      <c r="AB24" s="5">
        <v>0.0</v>
      </c>
      <c r="AC24" s="5">
        <v>0.0</v>
      </c>
      <c r="AD24" s="2" t="s">
        <v>38</v>
      </c>
      <c r="AE24" s="2" t="s">
        <v>39</v>
      </c>
      <c r="AF24" s="2" t="s">
        <v>40</v>
      </c>
    </row>
    <row r="25">
      <c r="A25" s="4" t="s">
        <v>32</v>
      </c>
      <c r="B25" s="5">
        <v>886.0</v>
      </c>
      <c r="C25" s="5">
        <v>3429463.0</v>
      </c>
      <c r="D25" s="5">
        <v>3432587.0</v>
      </c>
      <c r="E25" s="2" t="s">
        <v>61</v>
      </c>
      <c r="F25" s="2"/>
      <c r="G25" s="2" t="s">
        <v>62</v>
      </c>
      <c r="H25" s="2"/>
      <c r="I25" s="5">
        <v>1937.0</v>
      </c>
      <c r="J25" s="2" t="s">
        <v>63</v>
      </c>
      <c r="K25" s="2" t="s">
        <v>64</v>
      </c>
      <c r="L25" s="2" t="s">
        <v>65</v>
      </c>
      <c r="M25" s="2" t="s">
        <v>107</v>
      </c>
      <c r="N25" s="2" t="s">
        <v>35</v>
      </c>
      <c r="O25" s="2" t="s">
        <v>108</v>
      </c>
      <c r="P25" s="2" t="s">
        <v>109</v>
      </c>
      <c r="Q25" s="5">
        <v>0.0</v>
      </c>
      <c r="R25" s="5">
        <v>1.0</v>
      </c>
      <c r="S25" s="5">
        <v>0.0</v>
      </c>
      <c r="T25" s="5">
        <v>0.0</v>
      </c>
      <c r="U25" s="5">
        <v>0.0</v>
      </c>
      <c r="V25" s="5">
        <v>0.0</v>
      </c>
      <c r="W25" s="5">
        <v>0.0</v>
      </c>
      <c r="X25" s="5">
        <v>0.0</v>
      </c>
      <c r="Y25" s="5">
        <v>0.0</v>
      </c>
      <c r="Z25" s="5">
        <v>0.0</v>
      </c>
      <c r="AA25" s="5">
        <v>0.0</v>
      </c>
      <c r="AB25" s="5">
        <v>0.0</v>
      </c>
      <c r="AC25" s="5">
        <v>0.0</v>
      </c>
      <c r="AD25" s="1" t="s">
        <v>44</v>
      </c>
      <c r="AE25" s="2" t="s">
        <v>40</v>
      </c>
      <c r="AF25" s="2" t="s">
        <v>40</v>
      </c>
    </row>
    <row r="26">
      <c r="A26" s="4" t="s">
        <v>32</v>
      </c>
      <c r="B26" s="5">
        <v>1059.0</v>
      </c>
      <c r="C26" s="5">
        <v>897199.0</v>
      </c>
      <c r="D26" s="5">
        <v>900506.0</v>
      </c>
      <c r="E26" s="2" t="s">
        <v>110</v>
      </c>
      <c r="F26" s="2"/>
      <c r="G26" s="2" t="s">
        <v>111</v>
      </c>
      <c r="H26" s="2"/>
      <c r="I26" s="5">
        <v>1954.0</v>
      </c>
      <c r="J26" s="2" t="s">
        <v>112</v>
      </c>
      <c r="K26" s="2" t="s">
        <v>65</v>
      </c>
      <c r="L26" s="2" t="s">
        <v>65</v>
      </c>
      <c r="M26" s="2" t="s">
        <v>113</v>
      </c>
      <c r="N26" s="2" t="s">
        <v>35</v>
      </c>
      <c r="O26" s="2" t="s">
        <v>114</v>
      </c>
      <c r="P26" s="2" t="s">
        <v>115</v>
      </c>
      <c r="Q26" s="5">
        <v>0.0</v>
      </c>
      <c r="R26" s="5">
        <v>0.0</v>
      </c>
      <c r="S26" s="5">
        <v>0.0</v>
      </c>
      <c r="T26" s="5">
        <v>0.0</v>
      </c>
      <c r="U26" s="5">
        <v>0.0</v>
      </c>
      <c r="V26" s="5">
        <v>0.0</v>
      </c>
      <c r="W26" s="5">
        <v>0.0</v>
      </c>
      <c r="X26" s="5">
        <v>0.0</v>
      </c>
      <c r="Y26" s="5">
        <v>0.0</v>
      </c>
      <c r="Z26" s="5">
        <v>1.0</v>
      </c>
      <c r="AA26" s="5">
        <v>0.0</v>
      </c>
      <c r="AB26" s="5">
        <v>0.0</v>
      </c>
      <c r="AC26" s="5">
        <v>0.0</v>
      </c>
      <c r="AD26" s="1" t="s">
        <v>44</v>
      </c>
      <c r="AE26" s="2" t="s">
        <v>40</v>
      </c>
      <c r="AF26" s="2" t="s">
        <v>40</v>
      </c>
    </row>
    <row r="27">
      <c r="A27" s="4" t="s">
        <v>32</v>
      </c>
      <c r="B27" s="5">
        <v>1063.0</v>
      </c>
      <c r="C27" s="5">
        <v>912506.0</v>
      </c>
      <c r="D27" s="5">
        <v>918586.0</v>
      </c>
      <c r="E27" s="2" t="s">
        <v>110</v>
      </c>
      <c r="F27" s="2"/>
      <c r="G27" s="2" t="s">
        <v>111</v>
      </c>
      <c r="H27" s="2"/>
      <c r="I27" s="5">
        <v>1954.0</v>
      </c>
      <c r="J27" s="2" t="s">
        <v>112</v>
      </c>
      <c r="K27" s="2" t="s">
        <v>65</v>
      </c>
      <c r="L27" s="2" t="s">
        <v>65</v>
      </c>
      <c r="M27" s="2" t="s">
        <v>116</v>
      </c>
      <c r="N27" s="2" t="s">
        <v>35</v>
      </c>
      <c r="O27" s="2" t="s">
        <v>117</v>
      </c>
      <c r="P27" s="2" t="s">
        <v>118</v>
      </c>
      <c r="Q27" s="5">
        <v>1.0</v>
      </c>
      <c r="R27" s="5">
        <v>0.0</v>
      </c>
      <c r="S27" s="5">
        <v>0.0</v>
      </c>
      <c r="T27" s="5">
        <v>0.0</v>
      </c>
      <c r="U27" s="5">
        <v>0.0</v>
      </c>
      <c r="V27" s="5">
        <v>0.0</v>
      </c>
      <c r="W27" s="5">
        <v>0.0</v>
      </c>
      <c r="X27" s="5">
        <v>0.0</v>
      </c>
      <c r="Y27" s="5">
        <v>0.0</v>
      </c>
      <c r="Z27" s="5">
        <v>0.0</v>
      </c>
      <c r="AA27" s="5">
        <v>0.0</v>
      </c>
      <c r="AB27" s="5">
        <v>0.0</v>
      </c>
      <c r="AC27" s="5">
        <v>0.0</v>
      </c>
      <c r="AD27" s="1" t="s">
        <v>44</v>
      </c>
      <c r="AE27" s="2" t="s">
        <v>40</v>
      </c>
      <c r="AF27" s="2" t="s">
        <v>40</v>
      </c>
    </row>
    <row r="28">
      <c r="A28" s="4" t="s">
        <v>32</v>
      </c>
      <c r="B28" s="5">
        <v>1084.0</v>
      </c>
      <c r="C28" s="5">
        <v>1036053.0</v>
      </c>
      <c r="D28" s="5">
        <v>1046906.0</v>
      </c>
      <c r="E28" s="2" t="s">
        <v>110</v>
      </c>
      <c r="F28" s="2"/>
      <c r="G28" s="2" t="s">
        <v>111</v>
      </c>
      <c r="H28" s="2"/>
      <c r="I28" s="5">
        <v>1954.0</v>
      </c>
      <c r="J28" s="2" t="s">
        <v>112</v>
      </c>
      <c r="K28" s="2" t="s">
        <v>65</v>
      </c>
      <c r="L28" s="2" t="s">
        <v>65</v>
      </c>
      <c r="M28" s="2" t="s">
        <v>119</v>
      </c>
      <c r="N28" s="2" t="s">
        <v>35</v>
      </c>
      <c r="O28" s="2" t="s">
        <v>120</v>
      </c>
      <c r="P28" s="2" t="s">
        <v>121</v>
      </c>
      <c r="Q28" s="5">
        <v>0.0</v>
      </c>
      <c r="R28" s="5">
        <v>0.0</v>
      </c>
      <c r="S28" s="5">
        <v>0.0</v>
      </c>
      <c r="T28" s="5">
        <v>0.0</v>
      </c>
      <c r="U28" s="5">
        <v>0.0</v>
      </c>
      <c r="V28" s="5">
        <v>0.0</v>
      </c>
      <c r="W28" s="5">
        <v>0.0</v>
      </c>
      <c r="X28" s="5">
        <v>0.0</v>
      </c>
      <c r="Y28" s="5">
        <v>0.0</v>
      </c>
      <c r="Z28" s="5">
        <v>1.0</v>
      </c>
      <c r="AA28" s="5">
        <v>0.0</v>
      </c>
      <c r="AB28" s="5">
        <v>0.0</v>
      </c>
      <c r="AC28" s="5">
        <v>0.0</v>
      </c>
      <c r="AD28" s="2" t="s">
        <v>38</v>
      </c>
      <c r="AE28" s="2" t="s">
        <v>39</v>
      </c>
      <c r="AF28" s="2" t="s">
        <v>40</v>
      </c>
    </row>
    <row r="29">
      <c r="A29" s="4" t="s">
        <v>32</v>
      </c>
      <c r="B29" s="5">
        <v>1118.0</v>
      </c>
      <c r="C29" s="5">
        <v>1243280.0</v>
      </c>
      <c r="D29" s="5">
        <v>1249880.0</v>
      </c>
      <c r="E29" s="2" t="s">
        <v>110</v>
      </c>
      <c r="F29" s="2"/>
      <c r="G29" s="2" t="s">
        <v>111</v>
      </c>
      <c r="H29" s="2"/>
      <c r="I29" s="5">
        <v>1954.0</v>
      </c>
      <c r="J29" s="2" t="s">
        <v>112</v>
      </c>
      <c r="K29" s="2" t="s">
        <v>65</v>
      </c>
      <c r="L29" s="2" t="s">
        <v>65</v>
      </c>
      <c r="M29" s="2" t="s">
        <v>122</v>
      </c>
      <c r="N29" s="2" t="s">
        <v>35</v>
      </c>
      <c r="O29" s="2" t="s">
        <v>123</v>
      </c>
      <c r="P29" s="2" t="s">
        <v>124</v>
      </c>
      <c r="Q29" s="5">
        <v>1.0</v>
      </c>
      <c r="R29" s="5">
        <v>0.0</v>
      </c>
      <c r="S29" s="5">
        <v>0.0</v>
      </c>
      <c r="T29" s="5">
        <v>0.0</v>
      </c>
      <c r="U29" s="5">
        <v>0.0</v>
      </c>
      <c r="V29" s="5">
        <v>0.0</v>
      </c>
      <c r="W29" s="5">
        <v>0.0</v>
      </c>
      <c r="X29" s="5">
        <v>0.0</v>
      </c>
      <c r="Y29" s="5">
        <v>0.0</v>
      </c>
      <c r="Z29" s="5">
        <v>0.0</v>
      </c>
      <c r="AA29" s="5">
        <v>0.0</v>
      </c>
      <c r="AB29" s="5">
        <v>0.0</v>
      </c>
      <c r="AC29" s="5">
        <v>0.0</v>
      </c>
      <c r="AD29" s="2" t="s">
        <v>38</v>
      </c>
      <c r="AE29" s="2" t="s">
        <v>39</v>
      </c>
      <c r="AF29" s="2" t="s">
        <v>40</v>
      </c>
    </row>
    <row r="30">
      <c r="A30" s="4" t="s">
        <v>32</v>
      </c>
      <c r="B30" s="5">
        <v>1208.0</v>
      </c>
      <c r="C30" s="5">
        <v>139223.0</v>
      </c>
      <c r="D30" s="5">
        <v>150814.0</v>
      </c>
      <c r="E30" s="2" t="s">
        <v>125</v>
      </c>
      <c r="F30" s="2"/>
      <c r="G30" s="2" t="s">
        <v>126</v>
      </c>
      <c r="H30" s="2"/>
      <c r="I30" s="5">
        <v>1935.0</v>
      </c>
      <c r="J30" s="2" t="s">
        <v>63</v>
      </c>
      <c r="K30" s="2" t="s">
        <v>65</v>
      </c>
      <c r="L30" s="2" t="s">
        <v>65</v>
      </c>
      <c r="M30" s="2" t="s">
        <v>127</v>
      </c>
      <c r="N30" s="2" t="s">
        <v>35</v>
      </c>
      <c r="O30" s="2" t="s">
        <v>128</v>
      </c>
      <c r="P30" s="2" t="s">
        <v>129</v>
      </c>
      <c r="Q30" s="5">
        <v>0.0</v>
      </c>
      <c r="R30" s="5">
        <v>0.0</v>
      </c>
      <c r="S30" s="5">
        <v>0.0</v>
      </c>
      <c r="T30" s="5">
        <v>0.0</v>
      </c>
      <c r="U30" s="5">
        <v>0.0</v>
      </c>
      <c r="V30" s="5">
        <v>0.0</v>
      </c>
      <c r="W30" s="5">
        <v>0.0</v>
      </c>
      <c r="X30" s="5">
        <v>1.0</v>
      </c>
      <c r="Y30" s="5">
        <v>0.0</v>
      </c>
      <c r="Z30" s="5">
        <v>0.0</v>
      </c>
      <c r="AA30" s="5">
        <v>0.0</v>
      </c>
      <c r="AB30" s="5">
        <v>0.0</v>
      </c>
      <c r="AC30" s="5">
        <v>0.0</v>
      </c>
      <c r="AD30" s="2" t="s">
        <v>38</v>
      </c>
      <c r="AE30" s="2" t="s">
        <v>39</v>
      </c>
      <c r="AF30" s="2" t="s">
        <v>40</v>
      </c>
    </row>
    <row r="31">
      <c r="A31" s="4" t="s">
        <v>32</v>
      </c>
      <c r="B31" s="5">
        <v>1220.0</v>
      </c>
      <c r="C31" s="5">
        <v>246957.0</v>
      </c>
      <c r="D31" s="5">
        <v>266057.0</v>
      </c>
      <c r="E31" s="2" t="s">
        <v>125</v>
      </c>
      <c r="F31" s="2"/>
      <c r="G31" s="2" t="s">
        <v>126</v>
      </c>
      <c r="H31" s="2"/>
      <c r="I31" s="5">
        <v>1935.0</v>
      </c>
      <c r="J31" s="2" t="s">
        <v>63</v>
      </c>
      <c r="K31" s="2" t="s">
        <v>65</v>
      </c>
      <c r="L31" s="2" t="s">
        <v>65</v>
      </c>
      <c r="M31" s="2" t="s">
        <v>130</v>
      </c>
      <c r="N31" s="2" t="s">
        <v>35</v>
      </c>
      <c r="O31" s="2" t="s">
        <v>131</v>
      </c>
      <c r="P31" s="2" t="s">
        <v>132</v>
      </c>
      <c r="Q31" s="5">
        <v>0.0</v>
      </c>
      <c r="R31" s="5">
        <v>1.0</v>
      </c>
      <c r="S31" s="5">
        <v>0.0</v>
      </c>
      <c r="T31" s="5">
        <v>0.0</v>
      </c>
      <c r="U31" s="5">
        <v>0.0</v>
      </c>
      <c r="V31" s="5">
        <v>0.0</v>
      </c>
      <c r="W31" s="5">
        <v>0.0</v>
      </c>
      <c r="X31" s="5">
        <v>0.0</v>
      </c>
      <c r="Y31" s="5">
        <v>0.0</v>
      </c>
      <c r="Z31" s="5">
        <v>0.0</v>
      </c>
      <c r="AA31" s="5">
        <v>0.0</v>
      </c>
      <c r="AB31" s="5">
        <v>0.0</v>
      </c>
      <c r="AC31" s="5">
        <v>0.0</v>
      </c>
      <c r="AD31" s="1" t="s">
        <v>44</v>
      </c>
      <c r="AE31" s="2" t="s">
        <v>40</v>
      </c>
      <c r="AF31" s="2" t="s">
        <v>40</v>
      </c>
    </row>
    <row r="32">
      <c r="A32" s="4" t="s">
        <v>32</v>
      </c>
      <c r="B32" s="5">
        <v>1220.0</v>
      </c>
      <c r="C32" s="5">
        <v>246957.0</v>
      </c>
      <c r="D32" s="5">
        <v>266057.0</v>
      </c>
      <c r="E32" s="2" t="s">
        <v>125</v>
      </c>
      <c r="F32" s="2"/>
      <c r="G32" s="2" t="s">
        <v>126</v>
      </c>
      <c r="H32" s="2"/>
      <c r="I32" s="5">
        <v>1935.0</v>
      </c>
      <c r="J32" s="2" t="s">
        <v>63</v>
      </c>
      <c r="K32" s="2" t="s">
        <v>65</v>
      </c>
      <c r="L32" s="2" t="s">
        <v>65</v>
      </c>
      <c r="M32" s="2" t="s">
        <v>133</v>
      </c>
      <c r="N32" s="2" t="s">
        <v>35</v>
      </c>
      <c r="O32" s="2" t="s">
        <v>134</v>
      </c>
      <c r="P32" s="2" t="s">
        <v>135</v>
      </c>
      <c r="Q32" s="5">
        <v>0.0</v>
      </c>
      <c r="R32" s="5">
        <v>0.0</v>
      </c>
      <c r="S32" s="5">
        <v>0.0</v>
      </c>
      <c r="T32" s="5">
        <v>0.0</v>
      </c>
      <c r="U32" s="5">
        <v>0.0</v>
      </c>
      <c r="V32" s="5">
        <v>0.0</v>
      </c>
      <c r="W32" s="5">
        <v>0.0</v>
      </c>
      <c r="X32" s="5">
        <v>0.0</v>
      </c>
      <c r="Y32" s="5">
        <v>0.0</v>
      </c>
      <c r="Z32" s="5">
        <v>0.0</v>
      </c>
      <c r="AA32" s="5">
        <v>1.0</v>
      </c>
      <c r="AB32" s="5">
        <v>0.0</v>
      </c>
      <c r="AC32" s="5">
        <v>0.0</v>
      </c>
      <c r="AD32" s="2" t="s">
        <v>44</v>
      </c>
      <c r="AE32" s="2" t="s">
        <v>40</v>
      </c>
      <c r="AF32" s="2" t="s">
        <v>40</v>
      </c>
    </row>
    <row r="33">
      <c r="A33" s="4" t="s">
        <v>32</v>
      </c>
      <c r="B33" s="5">
        <v>1221.0</v>
      </c>
      <c r="C33" s="5">
        <v>266884.0</v>
      </c>
      <c r="D33" s="5">
        <v>280900.0</v>
      </c>
      <c r="E33" s="2" t="s">
        <v>125</v>
      </c>
      <c r="F33" s="2"/>
      <c r="G33" s="2" t="s">
        <v>126</v>
      </c>
      <c r="H33" s="2"/>
      <c r="I33" s="5">
        <v>1935.0</v>
      </c>
      <c r="J33" s="2" t="s">
        <v>63</v>
      </c>
      <c r="K33" s="2" t="s">
        <v>65</v>
      </c>
      <c r="L33" s="2" t="s">
        <v>65</v>
      </c>
      <c r="M33" s="2" t="s">
        <v>136</v>
      </c>
      <c r="N33" s="2" t="s">
        <v>35</v>
      </c>
      <c r="O33" s="2" t="s">
        <v>137</v>
      </c>
      <c r="P33" s="2" t="s">
        <v>138</v>
      </c>
      <c r="Q33" s="5">
        <v>0.0</v>
      </c>
      <c r="R33" s="5">
        <v>0.0</v>
      </c>
      <c r="S33" s="5">
        <v>0.0</v>
      </c>
      <c r="T33" s="5">
        <v>0.0</v>
      </c>
      <c r="U33" s="5">
        <v>0.0</v>
      </c>
      <c r="V33" s="5">
        <v>0.0</v>
      </c>
      <c r="W33" s="5">
        <v>0.0</v>
      </c>
      <c r="X33" s="5">
        <v>0.0</v>
      </c>
      <c r="Y33" s="5">
        <v>0.0</v>
      </c>
      <c r="Z33" s="5">
        <v>0.0</v>
      </c>
      <c r="AA33" s="5">
        <v>1.0</v>
      </c>
      <c r="AB33" s="5">
        <v>0.0</v>
      </c>
      <c r="AC33" s="5">
        <v>0.0</v>
      </c>
      <c r="AD33" s="2" t="s">
        <v>38</v>
      </c>
      <c r="AE33" s="2" t="s">
        <v>39</v>
      </c>
      <c r="AF33" s="2" t="s">
        <v>40</v>
      </c>
    </row>
    <row r="34">
      <c r="A34" s="4" t="s">
        <v>32</v>
      </c>
      <c r="B34" s="5">
        <v>1229.0</v>
      </c>
      <c r="C34" s="5">
        <v>341095.0</v>
      </c>
      <c r="D34" s="5">
        <v>351760.0</v>
      </c>
      <c r="E34" s="2" t="s">
        <v>125</v>
      </c>
      <c r="F34" s="2"/>
      <c r="G34" s="2" t="s">
        <v>126</v>
      </c>
      <c r="H34" s="2"/>
      <c r="I34" s="5">
        <v>1935.0</v>
      </c>
      <c r="J34" s="2" t="s">
        <v>63</v>
      </c>
      <c r="K34" s="2" t="s">
        <v>65</v>
      </c>
      <c r="L34" s="2" t="s">
        <v>65</v>
      </c>
      <c r="M34" s="2" t="s">
        <v>139</v>
      </c>
      <c r="N34" s="2" t="s">
        <v>35</v>
      </c>
      <c r="O34" s="2" t="s">
        <v>140</v>
      </c>
      <c r="P34" s="2" t="s">
        <v>141</v>
      </c>
      <c r="Q34" s="5">
        <v>1.0</v>
      </c>
      <c r="R34" s="5">
        <v>0.0</v>
      </c>
      <c r="S34" s="5">
        <v>0.0</v>
      </c>
      <c r="T34" s="5">
        <v>0.0</v>
      </c>
      <c r="U34" s="5">
        <v>0.0</v>
      </c>
      <c r="V34" s="5">
        <v>0.0</v>
      </c>
      <c r="W34" s="5">
        <v>0.0</v>
      </c>
      <c r="X34" s="5">
        <v>0.0</v>
      </c>
      <c r="Y34" s="5">
        <v>0.0</v>
      </c>
      <c r="Z34" s="5">
        <v>0.0</v>
      </c>
      <c r="AA34" s="5">
        <v>0.0</v>
      </c>
      <c r="AB34" s="5">
        <v>0.0</v>
      </c>
      <c r="AC34" s="5">
        <v>0.0</v>
      </c>
      <c r="AD34" s="2" t="s">
        <v>38</v>
      </c>
      <c r="AE34" s="2" t="s">
        <v>39</v>
      </c>
      <c r="AF34" s="2" t="s">
        <v>40</v>
      </c>
    </row>
    <row r="35">
      <c r="A35" s="4" t="s">
        <v>32</v>
      </c>
      <c r="B35" s="5">
        <v>1240.0</v>
      </c>
      <c r="C35" s="5">
        <v>422625.0</v>
      </c>
      <c r="D35" s="5">
        <v>426625.0</v>
      </c>
      <c r="E35" s="2" t="s">
        <v>125</v>
      </c>
      <c r="F35" s="2"/>
      <c r="G35" s="2" t="s">
        <v>126</v>
      </c>
      <c r="H35" s="2"/>
      <c r="I35" s="5">
        <v>1935.0</v>
      </c>
      <c r="J35" s="2" t="s">
        <v>63</v>
      </c>
      <c r="K35" s="2" t="s">
        <v>65</v>
      </c>
      <c r="L35" s="2" t="s">
        <v>65</v>
      </c>
      <c r="M35" s="2" t="s">
        <v>142</v>
      </c>
      <c r="N35" s="2" t="s">
        <v>45</v>
      </c>
      <c r="O35" s="2" t="s">
        <v>143</v>
      </c>
      <c r="P35" s="2" t="s">
        <v>144</v>
      </c>
      <c r="Q35" s="5">
        <v>0.0</v>
      </c>
      <c r="R35" s="5">
        <v>0.0</v>
      </c>
      <c r="S35" s="5">
        <v>0.0</v>
      </c>
      <c r="T35" s="5">
        <v>0.0</v>
      </c>
      <c r="U35" s="5">
        <v>0.0</v>
      </c>
      <c r="V35" s="5">
        <v>0.0</v>
      </c>
      <c r="W35" s="5">
        <v>0.0</v>
      </c>
      <c r="X35" s="5">
        <v>0.0</v>
      </c>
      <c r="Y35" s="5">
        <v>0.0</v>
      </c>
      <c r="Z35" s="6">
        <v>1.0</v>
      </c>
      <c r="AA35" s="6">
        <v>0.0</v>
      </c>
      <c r="AB35" s="5">
        <v>0.0</v>
      </c>
      <c r="AC35" s="5">
        <v>0.0</v>
      </c>
      <c r="AD35" s="2" t="s">
        <v>44</v>
      </c>
      <c r="AE35" s="2" t="s">
        <v>40</v>
      </c>
      <c r="AF35" s="2" t="s">
        <v>40</v>
      </c>
    </row>
    <row r="36">
      <c r="A36" s="4" t="s">
        <v>32</v>
      </c>
      <c r="B36" s="5">
        <v>1246.0</v>
      </c>
      <c r="C36" s="5">
        <v>472882.0</v>
      </c>
      <c r="D36" s="5">
        <v>486242.0</v>
      </c>
      <c r="E36" s="2" t="s">
        <v>125</v>
      </c>
      <c r="F36" s="2"/>
      <c r="G36" s="2" t="s">
        <v>126</v>
      </c>
      <c r="H36" s="2"/>
      <c r="I36" s="5">
        <v>1935.0</v>
      </c>
      <c r="J36" s="2" t="s">
        <v>63</v>
      </c>
      <c r="K36" s="2" t="s">
        <v>65</v>
      </c>
      <c r="L36" s="2" t="s">
        <v>65</v>
      </c>
      <c r="M36" s="2" t="s">
        <v>145</v>
      </c>
      <c r="N36" s="2" t="s">
        <v>35</v>
      </c>
      <c r="O36" s="2" t="s">
        <v>146</v>
      </c>
      <c r="P36" s="2" t="s">
        <v>147</v>
      </c>
      <c r="Q36" s="5">
        <v>0.0</v>
      </c>
      <c r="R36" s="5">
        <v>0.0</v>
      </c>
      <c r="S36" s="5">
        <v>0.0</v>
      </c>
      <c r="T36" s="5">
        <v>0.0</v>
      </c>
      <c r="U36" s="5">
        <v>1.0</v>
      </c>
      <c r="V36" s="5">
        <v>0.0</v>
      </c>
      <c r="W36" s="6">
        <v>0.0</v>
      </c>
      <c r="X36" s="5">
        <v>0.0</v>
      </c>
      <c r="Y36" s="5">
        <v>0.0</v>
      </c>
      <c r="Z36" s="5">
        <v>0.0</v>
      </c>
      <c r="AA36" s="5">
        <v>0.0</v>
      </c>
      <c r="AB36" s="5">
        <v>0.0</v>
      </c>
      <c r="AC36" s="5">
        <v>0.0</v>
      </c>
      <c r="AD36" s="2" t="s">
        <v>38</v>
      </c>
      <c r="AE36" s="2" t="s">
        <v>39</v>
      </c>
      <c r="AF36" s="2" t="s">
        <v>40</v>
      </c>
    </row>
    <row r="37">
      <c r="A37" s="4" t="s">
        <v>32</v>
      </c>
      <c r="B37" s="5">
        <v>1246.0</v>
      </c>
      <c r="C37" s="5">
        <v>472882.0</v>
      </c>
      <c r="D37" s="5">
        <v>486242.0</v>
      </c>
      <c r="E37" s="2" t="s">
        <v>125</v>
      </c>
      <c r="F37" s="2"/>
      <c r="G37" s="2" t="s">
        <v>126</v>
      </c>
      <c r="H37" s="2"/>
      <c r="I37" s="5">
        <v>1935.0</v>
      </c>
      <c r="J37" s="2" t="s">
        <v>63</v>
      </c>
      <c r="K37" s="2" t="s">
        <v>65</v>
      </c>
      <c r="L37" s="2" t="s">
        <v>65</v>
      </c>
      <c r="M37" s="2" t="s">
        <v>148</v>
      </c>
      <c r="N37" s="2" t="s">
        <v>45</v>
      </c>
      <c r="O37" s="2" t="s">
        <v>149</v>
      </c>
      <c r="P37" s="2" t="s">
        <v>150</v>
      </c>
      <c r="Q37" s="5">
        <v>0.0</v>
      </c>
      <c r="R37" s="5">
        <v>0.0</v>
      </c>
      <c r="S37" s="5">
        <v>0.0</v>
      </c>
      <c r="T37" s="5">
        <v>0.0</v>
      </c>
      <c r="U37" s="5">
        <v>1.0</v>
      </c>
      <c r="V37" s="5">
        <v>0.0</v>
      </c>
      <c r="W37" s="5">
        <v>0.0</v>
      </c>
      <c r="X37" s="5">
        <v>0.0</v>
      </c>
      <c r="Y37" s="5">
        <v>0.0</v>
      </c>
      <c r="Z37" s="5">
        <v>0.0</v>
      </c>
      <c r="AA37" s="5">
        <v>0.0</v>
      </c>
      <c r="AB37" s="5">
        <v>0.0</v>
      </c>
      <c r="AC37" s="5">
        <v>0.0</v>
      </c>
      <c r="AD37" s="2" t="s">
        <v>38</v>
      </c>
      <c r="AE37" s="2" t="s">
        <v>39</v>
      </c>
      <c r="AF37" s="2" t="s">
        <v>40</v>
      </c>
    </row>
    <row r="38">
      <c r="A38" s="4" t="s">
        <v>32</v>
      </c>
      <c r="B38" s="5">
        <v>1271.0</v>
      </c>
      <c r="C38" s="5">
        <v>721118.0</v>
      </c>
      <c r="D38" s="5">
        <v>737450.0</v>
      </c>
      <c r="E38" s="2" t="s">
        <v>125</v>
      </c>
      <c r="F38" s="2"/>
      <c r="G38" s="2" t="s">
        <v>126</v>
      </c>
      <c r="H38" s="2"/>
      <c r="I38" s="5">
        <v>1935.0</v>
      </c>
      <c r="J38" s="2" t="s">
        <v>63</v>
      </c>
      <c r="K38" s="2" t="s">
        <v>65</v>
      </c>
      <c r="L38" s="2" t="s">
        <v>65</v>
      </c>
      <c r="M38" s="2" t="s">
        <v>151</v>
      </c>
      <c r="N38" s="2" t="s">
        <v>35</v>
      </c>
      <c r="O38" s="2" t="s">
        <v>152</v>
      </c>
      <c r="P38" s="2" t="s">
        <v>153</v>
      </c>
      <c r="Q38" s="5">
        <v>0.0</v>
      </c>
      <c r="R38" s="5">
        <v>0.0</v>
      </c>
      <c r="S38" s="5">
        <v>0.0</v>
      </c>
      <c r="T38" s="5">
        <v>1.0</v>
      </c>
      <c r="U38" s="5">
        <v>0.0</v>
      </c>
      <c r="V38" s="5">
        <v>0.0</v>
      </c>
      <c r="W38" s="5">
        <v>0.0</v>
      </c>
      <c r="X38" s="5">
        <v>0.0</v>
      </c>
      <c r="Y38" s="5">
        <v>0.0</v>
      </c>
      <c r="Z38" s="5">
        <v>0.0</v>
      </c>
      <c r="AA38" s="5">
        <v>0.0</v>
      </c>
      <c r="AB38" s="5">
        <v>0.0</v>
      </c>
      <c r="AC38" s="5">
        <v>0.0</v>
      </c>
      <c r="AD38" s="2" t="s">
        <v>38</v>
      </c>
      <c r="AE38" s="2" t="s">
        <v>39</v>
      </c>
      <c r="AF38" s="2" t="s">
        <v>40</v>
      </c>
    </row>
    <row r="39">
      <c r="A39" s="4" t="s">
        <v>32</v>
      </c>
      <c r="B39" s="5">
        <v>1274.0</v>
      </c>
      <c r="C39" s="5">
        <v>753919.0</v>
      </c>
      <c r="D39" s="5">
        <v>766025.0</v>
      </c>
      <c r="E39" s="2" t="s">
        <v>125</v>
      </c>
      <c r="F39" s="2"/>
      <c r="G39" s="2" t="s">
        <v>126</v>
      </c>
      <c r="H39" s="2"/>
      <c r="I39" s="5">
        <v>1935.0</v>
      </c>
      <c r="J39" s="2" t="s">
        <v>63</v>
      </c>
      <c r="K39" s="2" t="s">
        <v>65</v>
      </c>
      <c r="L39" s="2" t="s">
        <v>65</v>
      </c>
      <c r="M39" s="2" t="s">
        <v>154</v>
      </c>
      <c r="N39" s="2" t="s">
        <v>35</v>
      </c>
      <c r="O39" s="2" t="s">
        <v>155</v>
      </c>
      <c r="P39" s="2" t="s">
        <v>156</v>
      </c>
      <c r="Q39" s="5">
        <v>1.0</v>
      </c>
      <c r="R39" s="5">
        <v>0.0</v>
      </c>
      <c r="S39" s="5">
        <v>0.0</v>
      </c>
      <c r="T39" s="5">
        <v>0.0</v>
      </c>
      <c r="U39" s="5">
        <v>0.0</v>
      </c>
      <c r="V39" s="5">
        <v>0.0</v>
      </c>
      <c r="W39" s="5">
        <v>0.0</v>
      </c>
      <c r="X39" s="5">
        <v>0.0</v>
      </c>
      <c r="Y39" s="5">
        <v>0.0</v>
      </c>
      <c r="Z39" s="5">
        <v>0.0</v>
      </c>
      <c r="AA39" s="5">
        <v>0.0</v>
      </c>
      <c r="AB39" s="5">
        <v>0.0</v>
      </c>
      <c r="AC39" s="5">
        <v>0.0</v>
      </c>
      <c r="AD39" s="1" t="s">
        <v>44</v>
      </c>
      <c r="AE39" s="2" t="s">
        <v>40</v>
      </c>
      <c r="AF39" s="2" t="s">
        <v>40</v>
      </c>
    </row>
    <row r="40">
      <c r="A40" s="4" t="s">
        <v>32</v>
      </c>
      <c r="B40" s="5">
        <v>1341.0</v>
      </c>
      <c r="C40" s="5">
        <v>1451188.0</v>
      </c>
      <c r="D40" s="5">
        <v>1461300.0</v>
      </c>
      <c r="E40" s="2" t="s">
        <v>125</v>
      </c>
      <c r="F40" s="2"/>
      <c r="G40" s="2" t="s">
        <v>126</v>
      </c>
      <c r="H40" s="2"/>
      <c r="I40" s="5">
        <v>1935.0</v>
      </c>
      <c r="J40" s="2" t="s">
        <v>63</v>
      </c>
      <c r="K40" s="2" t="s">
        <v>65</v>
      </c>
      <c r="L40" s="2" t="s">
        <v>65</v>
      </c>
      <c r="M40" s="2" t="s">
        <v>157</v>
      </c>
      <c r="N40" s="2" t="s">
        <v>35</v>
      </c>
      <c r="O40" s="2" t="s">
        <v>158</v>
      </c>
      <c r="P40" s="2" t="s">
        <v>159</v>
      </c>
      <c r="Q40" s="5">
        <v>0.0</v>
      </c>
      <c r="R40" s="6">
        <v>0.0</v>
      </c>
      <c r="S40" s="5">
        <v>0.0</v>
      </c>
      <c r="T40" s="5">
        <v>0.0</v>
      </c>
      <c r="U40" s="6">
        <v>1.0</v>
      </c>
      <c r="V40" s="5">
        <v>0.0</v>
      </c>
      <c r="W40" s="5">
        <v>0.0</v>
      </c>
      <c r="X40" s="5">
        <v>0.0</v>
      </c>
      <c r="Y40" s="5">
        <v>0.0</v>
      </c>
      <c r="Z40" s="5">
        <v>0.0</v>
      </c>
      <c r="AA40" s="5">
        <v>0.0</v>
      </c>
      <c r="AB40" s="5">
        <v>0.0</v>
      </c>
      <c r="AC40" s="5">
        <v>0.0</v>
      </c>
      <c r="AD40" s="2" t="s">
        <v>38</v>
      </c>
      <c r="AE40" s="2" t="s">
        <v>39</v>
      </c>
      <c r="AF40" s="2" t="s">
        <v>40</v>
      </c>
    </row>
    <row r="41">
      <c r="A41" s="4" t="s">
        <v>32</v>
      </c>
      <c r="B41" s="5">
        <v>1400.0</v>
      </c>
      <c r="C41" s="5">
        <v>1887834.0</v>
      </c>
      <c r="D41" s="5">
        <v>1897180.0</v>
      </c>
      <c r="E41" s="2" t="s">
        <v>125</v>
      </c>
      <c r="F41" s="2"/>
      <c r="G41" s="2" t="s">
        <v>126</v>
      </c>
      <c r="H41" s="2"/>
      <c r="I41" s="5">
        <v>1935.0</v>
      </c>
      <c r="J41" s="2" t="s">
        <v>63</v>
      </c>
      <c r="K41" s="2" t="s">
        <v>65</v>
      </c>
      <c r="L41" s="2" t="s">
        <v>65</v>
      </c>
      <c r="M41" s="2" t="s">
        <v>160</v>
      </c>
      <c r="N41" s="2" t="s">
        <v>35</v>
      </c>
      <c r="O41" s="2" t="s">
        <v>161</v>
      </c>
      <c r="P41" s="2" t="s">
        <v>162</v>
      </c>
      <c r="Q41" s="5">
        <v>1.0</v>
      </c>
      <c r="R41" s="5">
        <v>0.0</v>
      </c>
      <c r="S41" s="5">
        <v>0.0</v>
      </c>
      <c r="T41" s="5">
        <v>0.0</v>
      </c>
      <c r="U41" s="5">
        <v>0.0</v>
      </c>
      <c r="V41" s="5">
        <v>0.0</v>
      </c>
      <c r="W41" s="5">
        <v>0.0</v>
      </c>
      <c r="X41" s="5">
        <v>0.0</v>
      </c>
      <c r="Y41" s="5">
        <v>0.0</v>
      </c>
      <c r="Z41" s="5">
        <v>0.0</v>
      </c>
      <c r="AA41" s="5">
        <v>0.0</v>
      </c>
      <c r="AB41" s="5">
        <v>0.0</v>
      </c>
      <c r="AC41" s="5">
        <v>0.0</v>
      </c>
      <c r="AD41" s="2" t="s">
        <v>38</v>
      </c>
      <c r="AE41" s="2" t="s">
        <v>39</v>
      </c>
      <c r="AF41" s="2" t="s">
        <v>40</v>
      </c>
    </row>
    <row r="42">
      <c r="A42" s="4" t="s">
        <v>32</v>
      </c>
      <c r="B42" s="5">
        <v>1361.0</v>
      </c>
      <c r="C42" s="5">
        <v>1611447.0</v>
      </c>
      <c r="D42" s="5">
        <v>1631875.0</v>
      </c>
      <c r="E42" s="2" t="s">
        <v>125</v>
      </c>
      <c r="F42" s="2"/>
      <c r="G42" s="2" t="s">
        <v>126</v>
      </c>
      <c r="H42" s="2"/>
      <c r="I42" s="5">
        <v>1935.0</v>
      </c>
      <c r="J42" s="2" t="s">
        <v>63</v>
      </c>
      <c r="K42" s="2" t="s">
        <v>65</v>
      </c>
      <c r="L42" s="2" t="s">
        <v>65</v>
      </c>
      <c r="M42" s="2" t="s">
        <v>163</v>
      </c>
      <c r="N42" s="2" t="s">
        <v>35</v>
      </c>
      <c r="O42" s="2" t="s">
        <v>164</v>
      </c>
      <c r="P42" s="2" t="s">
        <v>165</v>
      </c>
      <c r="Q42" s="5">
        <v>0.0</v>
      </c>
      <c r="R42" s="5">
        <v>0.0</v>
      </c>
      <c r="S42" s="5">
        <v>0.0</v>
      </c>
      <c r="T42" s="5">
        <v>0.0</v>
      </c>
      <c r="U42" s="6">
        <v>1.0</v>
      </c>
      <c r="V42" s="5">
        <v>0.0</v>
      </c>
      <c r="W42" s="5">
        <v>0.0</v>
      </c>
      <c r="X42" s="5">
        <v>0.0</v>
      </c>
      <c r="Y42" s="5">
        <v>0.0</v>
      </c>
      <c r="Z42" s="5">
        <v>0.0</v>
      </c>
      <c r="AA42" s="5">
        <v>0.0</v>
      </c>
      <c r="AB42" s="5">
        <v>0.0</v>
      </c>
      <c r="AC42" s="5">
        <v>0.0</v>
      </c>
      <c r="AD42" s="2" t="s">
        <v>38</v>
      </c>
      <c r="AE42" s="2" t="s">
        <v>39</v>
      </c>
      <c r="AF42" s="1" t="s">
        <v>166</v>
      </c>
    </row>
    <row r="43">
      <c r="A43" s="4" t="s">
        <v>32</v>
      </c>
      <c r="B43" s="5">
        <v>1462.0</v>
      </c>
      <c r="C43" s="5">
        <v>53840.0</v>
      </c>
      <c r="D43" s="5">
        <v>57140.0</v>
      </c>
      <c r="E43" s="2" t="s">
        <v>167</v>
      </c>
      <c r="F43" s="2"/>
      <c r="G43" s="2"/>
      <c r="H43" s="2"/>
      <c r="I43" s="2"/>
      <c r="J43" s="2"/>
      <c r="K43" s="2"/>
      <c r="L43" s="2"/>
      <c r="M43" s="2" t="s">
        <v>168</v>
      </c>
      <c r="N43" s="2" t="s">
        <v>35</v>
      </c>
      <c r="O43" s="2" t="s">
        <v>169</v>
      </c>
      <c r="P43" s="2" t="s">
        <v>170</v>
      </c>
      <c r="Q43" s="5">
        <v>1.0</v>
      </c>
      <c r="R43" s="5">
        <v>0.0</v>
      </c>
      <c r="S43" s="5">
        <v>0.0</v>
      </c>
      <c r="T43" s="5">
        <v>0.0</v>
      </c>
      <c r="U43" s="5">
        <v>0.0</v>
      </c>
      <c r="V43" s="5">
        <v>0.0</v>
      </c>
      <c r="W43" s="5">
        <v>0.0</v>
      </c>
      <c r="X43" s="5">
        <v>0.0</v>
      </c>
      <c r="Y43" s="5">
        <v>0.0</v>
      </c>
      <c r="Z43" s="5">
        <v>0.0</v>
      </c>
      <c r="AA43" s="5">
        <v>0.0</v>
      </c>
      <c r="AB43" s="5">
        <v>0.0</v>
      </c>
      <c r="AC43" s="5">
        <v>0.0</v>
      </c>
      <c r="AD43" s="2" t="s">
        <v>38</v>
      </c>
      <c r="AE43" s="2" t="s">
        <v>39</v>
      </c>
      <c r="AF43" s="2" t="s">
        <v>40</v>
      </c>
    </row>
    <row r="44">
      <c r="A44" s="4" t="s">
        <v>32</v>
      </c>
      <c r="B44" s="5">
        <v>1463.0</v>
      </c>
      <c r="C44" s="5">
        <v>57480.0</v>
      </c>
      <c r="D44" s="5">
        <v>65630.0</v>
      </c>
      <c r="E44" s="2" t="s">
        <v>167</v>
      </c>
      <c r="F44" s="2"/>
      <c r="G44" s="2"/>
      <c r="H44" s="2"/>
      <c r="I44" s="2"/>
      <c r="J44" s="2"/>
      <c r="K44" s="2"/>
      <c r="L44" s="2"/>
      <c r="M44" s="2" t="s">
        <v>171</v>
      </c>
      <c r="N44" s="2" t="s">
        <v>35</v>
      </c>
      <c r="O44" s="2" t="s">
        <v>172</v>
      </c>
      <c r="P44" s="2" t="s">
        <v>81</v>
      </c>
      <c r="Q44" s="5">
        <v>1.0</v>
      </c>
      <c r="R44" s="5">
        <v>0.0</v>
      </c>
      <c r="S44" s="5">
        <v>0.0</v>
      </c>
      <c r="T44" s="5">
        <v>0.0</v>
      </c>
      <c r="U44" s="5">
        <v>0.0</v>
      </c>
      <c r="V44" s="5">
        <v>0.0</v>
      </c>
      <c r="W44" s="5">
        <v>0.0</v>
      </c>
      <c r="X44" s="5">
        <v>0.0</v>
      </c>
      <c r="Y44" s="5">
        <v>0.0</v>
      </c>
      <c r="Z44" s="5">
        <v>0.0</v>
      </c>
      <c r="AA44" s="5">
        <v>0.0</v>
      </c>
      <c r="AB44" s="5">
        <v>0.0</v>
      </c>
      <c r="AC44" s="5">
        <v>0.0</v>
      </c>
      <c r="AD44" s="2" t="s">
        <v>38</v>
      </c>
      <c r="AE44" s="2" t="s">
        <v>39</v>
      </c>
      <c r="AF44" s="2" t="s">
        <v>40</v>
      </c>
    </row>
    <row r="45">
      <c r="A45" s="4" t="s">
        <v>32</v>
      </c>
      <c r="B45" s="5">
        <v>1464.0</v>
      </c>
      <c r="C45" s="5">
        <v>67240.0</v>
      </c>
      <c r="D45" s="5">
        <v>73340.0</v>
      </c>
      <c r="E45" s="2" t="s">
        <v>167</v>
      </c>
      <c r="F45" s="2"/>
      <c r="G45" s="2"/>
      <c r="H45" s="2"/>
      <c r="I45" s="2"/>
      <c r="J45" s="2"/>
      <c r="K45" s="2"/>
      <c r="L45" s="2"/>
      <c r="M45" s="2" t="s">
        <v>173</v>
      </c>
      <c r="N45" s="2" t="s">
        <v>35</v>
      </c>
      <c r="O45" s="2" t="s">
        <v>174</v>
      </c>
      <c r="P45" s="2" t="s">
        <v>175</v>
      </c>
      <c r="Q45" s="5">
        <v>1.0</v>
      </c>
      <c r="R45" s="5">
        <v>0.0</v>
      </c>
      <c r="S45" s="5">
        <v>0.0</v>
      </c>
      <c r="T45" s="5">
        <v>0.0</v>
      </c>
      <c r="U45" s="5">
        <v>0.0</v>
      </c>
      <c r="V45" s="5">
        <v>0.0</v>
      </c>
      <c r="W45" s="5">
        <v>0.0</v>
      </c>
      <c r="X45" s="5">
        <v>0.0</v>
      </c>
      <c r="Y45" s="5">
        <v>0.0</v>
      </c>
      <c r="Z45" s="5">
        <v>0.0</v>
      </c>
      <c r="AA45" s="5">
        <v>0.0</v>
      </c>
      <c r="AB45" s="5">
        <v>0.0</v>
      </c>
      <c r="AC45" s="5">
        <v>0.0</v>
      </c>
      <c r="AD45" s="2" t="s">
        <v>38</v>
      </c>
      <c r="AE45" s="2" t="s">
        <v>39</v>
      </c>
      <c r="AF45" s="2" t="s">
        <v>40</v>
      </c>
    </row>
    <row r="46">
      <c r="A46" s="4" t="s">
        <v>32</v>
      </c>
      <c r="B46" s="5">
        <v>1464.0</v>
      </c>
      <c r="C46" s="5">
        <v>67240.0</v>
      </c>
      <c r="D46" s="5">
        <v>73340.0</v>
      </c>
      <c r="E46" s="2" t="s">
        <v>167</v>
      </c>
      <c r="F46" s="2"/>
      <c r="G46" s="2"/>
      <c r="H46" s="2"/>
      <c r="I46" s="2"/>
      <c r="J46" s="2"/>
      <c r="K46" s="2"/>
      <c r="L46" s="2"/>
      <c r="M46" s="2" t="s">
        <v>176</v>
      </c>
      <c r="N46" s="2" t="s">
        <v>35</v>
      </c>
      <c r="O46" s="2" t="s">
        <v>177</v>
      </c>
      <c r="P46" s="2" t="s">
        <v>178</v>
      </c>
      <c r="Q46" s="5">
        <v>1.0</v>
      </c>
      <c r="R46" s="5">
        <v>0.0</v>
      </c>
      <c r="S46" s="5">
        <v>0.0</v>
      </c>
      <c r="T46" s="5">
        <v>0.0</v>
      </c>
      <c r="U46" s="5">
        <v>0.0</v>
      </c>
      <c r="V46" s="5">
        <v>0.0</v>
      </c>
      <c r="W46" s="5">
        <v>0.0</v>
      </c>
      <c r="X46" s="5">
        <v>0.0</v>
      </c>
      <c r="Y46" s="5">
        <v>0.0</v>
      </c>
      <c r="Z46" s="5">
        <v>0.0</v>
      </c>
      <c r="AA46" s="5">
        <v>0.0</v>
      </c>
      <c r="AB46" s="5">
        <v>0.0</v>
      </c>
      <c r="AC46" s="5">
        <v>0.0</v>
      </c>
      <c r="AD46" s="2" t="s">
        <v>38</v>
      </c>
      <c r="AE46" s="2" t="s">
        <v>39</v>
      </c>
      <c r="AF46" s="2" t="s">
        <v>40</v>
      </c>
    </row>
    <row r="47">
      <c r="A47" s="4" t="s">
        <v>32</v>
      </c>
      <c r="B47" s="5">
        <v>1465.0</v>
      </c>
      <c r="C47" s="5">
        <v>73580.0</v>
      </c>
      <c r="D47" s="5">
        <v>81840.0</v>
      </c>
      <c r="E47" s="2" t="s">
        <v>167</v>
      </c>
      <c r="F47" s="2"/>
      <c r="G47" s="2"/>
      <c r="H47" s="2"/>
      <c r="I47" s="2"/>
      <c r="J47" s="2"/>
      <c r="K47" s="2"/>
      <c r="L47" s="2"/>
      <c r="M47" s="2" t="s">
        <v>179</v>
      </c>
      <c r="N47" s="2" t="s">
        <v>35</v>
      </c>
      <c r="O47" s="2" t="s">
        <v>180</v>
      </c>
      <c r="P47" s="2" t="s">
        <v>175</v>
      </c>
      <c r="Q47" s="5">
        <v>1.0</v>
      </c>
      <c r="R47" s="5">
        <v>0.0</v>
      </c>
      <c r="S47" s="5">
        <v>0.0</v>
      </c>
      <c r="T47" s="5">
        <v>0.0</v>
      </c>
      <c r="U47" s="5">
        <v>0.0</v>
      </c>
      <c r="V47" s="5">
        <v>0.0</v>
      </c>
      <c r="W47" s="5">
        <v>0.0</v>
      </c>
      <c r="X47" s="5">
        <v>0.0</v>
      </c>
      <c r="Y47" s="5">
        <v>0.0</v>
      </c>
      <c r="Z47" s="5">
        <v>0.0</v>
      </c>
      <c r="AA47" s="5">
        <v>0.0</v>
      </c>
      <c r="AB47" s="5">
        <v>0.0</v>
      </c>
      <c r="AC47" s="5">
        <v>0.0</v>
      </c>
      <c r="AD47" s="2" t="s">
        <v>38</v>
      </c>
      <c r="AE47" s="2" t="s">
        <v>39</v>
      </c>
      <c r="AF47" s="2" t="s">
        <v>40</v>
      </c>
    </row>
    <row r="48">
      <c r="A48" s="4" t="s">
        <v>32</v>
      </c>
      <c r="B48" s="5">
        <v>1572.0</v>
      </c>
      <c r="C48" s="5">
        <v>562070.0</v>
      </c>
      <c r="D48" s="5">
        <v>567890.0</v>
      </c>
      <c r="E48" s="2" t="s">
        <v>167</v>
      </c>
      <c r="F48" s="2"/>
      <c r="G48" s="2"/>
      <c r="H48" s="2"/>
      <c r="I48" s="2"/>
      <c r="J48" s="2"/>
      <c r="K48" s="2"/>
      <c r="L48" s="2"/>
      <c r="M48" s="2" t="s">
        <v>181</v>
      </c>
      <c r="N48" s="2" t="s">
        <v>35</v>
      </c>
      <c r="O48" s="2" t="s">
        <v>182</v>
      </c>
      <c r="P48" s="2" t="s">
        <v>183</v>
      </c>
      <c r="Q48" s="5">
        <v>0.0</v>
      </c>
      <c r="R48" s="5">
        <v>0.0</v>
      </c>
      <c r="S48" s="5">
        <v>0.0</v>
      </c>
      <c r="T48" s="5">
        <v>0.0</v>
      </c>
      <c r="U48" s="5">
        <v>0.0</v>
      </c>
      <c r="V48" s="5">
        <v>0.0</v>
      </c>
      <c r="W48" s="5">
        <v>0.0</v>
      </c>
      <c r="X48" s="5">
        <v>0.0</v>
      </c>
      <c r="Y48" s="5">
        <v>1.0</v>
      </c>
      <c r="Z48" s="5">
        <v>0.0</v>
      </c>
      <c r="AA48" s="5">
        <v>0.0</v>
      </c>
      <c r="AB48" s="5">
        <v>0.0</v>
      </c>
      <c r="AC48" s="5">
        <v>0.0</v>
      </c>
      <c r="AD48" s="2" t="s">
        <v>92</v>
      </c>
      <c r="AE48" s="2" t="s">
        <v>39</v>
      </c>
      <c r="AF48" s="2" t="s">
        <v>40</v>
      </c>
    </row>
    <row r="49">
      <c r="A49" s="4" t="s">
        <v>32</v>
      </c>
      <c r="B49" s="5">
        <v>1615.0</v>
      </c>
      <c r="C49" s="5">
        <v>773280.0</v>
      </c>
      <c r="D49" s="5">
        <v>778770.0</v>
      </c>
      <c r="E49" s="2" t="s">
        <v>167</v>
      </c>
      <c r="F49" s="2"/>
      <c r="G49" s="2"/>
      <c r="H49" s="2"/>
      <c r="I49" s="2"/>
      <c r="J49" s="2"/>
      <c r="K49" s="2"/>
      <c r="L49" s="2"/>
      <c r="M49" s="2" t="s">
        <v>184</v>
      </c>
      <c r="N49" s="2" t="s">
        <v>35</v>
      </c>
      <c r="O49" s="2" t="s">
        <v>185</v>
      </c>
      <c r="P49" s="2" t="s">
        <v>186</v>
      </c>
      <c r="Q49" s="5">
        <v>1.0</v>
      </c>
      <c r="R49" s="5">
        <v>0.0</v>
      </c>
      <c r="S49" s="5">
        <v>0.0</v>
      </c>
      <c r="T49" s="5">
        <v>0.0</v>
      </c>
      <c r="U49" s="5">
        <v>0.0</v>
      </c>
      <c r="V49" s="5">
        <v>0.0</v>
      </c>
      <c r="W49" s="5">
        <v>0.0</v>
      </c>
      <c r="X49" s="5">
        <v>0.0</v>
      </c>
      <c r="Y49" s="5">
        <v>0.0</v>
      </c>
      <c r="Z49" s="5">
        <v>0.0</v>
      </c>
      <c r="AA49" s="5">
        <v>0.0</v>
      </c>
      <c r="AB49" s="5">
        <v>0.0</v>
      </c>
      <c r="AC49" s="5">
        <v>0.0</v>
      </c>
      <c r="AD49" s="2" t="s">
        <v>38</v>
      </c>
      <c r="AE49" s="2" t="s">
        <v>39</v>
      </c>
      <c r="AF49" s="2" t="s">
        <v>40</v>
      </c>
    </row>
    <row r="50">
      <c r="A50" s="4" t="s">
        <v>32</v>
      </c>
      <c r="B50" s="5">
        <v>1711.0</v>
      </c>
      <c r="C50" s="5">
        <v>1255100.0</v>
      </c>
      <c r="D50" s="5">
        <v>1260000.0</v>
      </c>
      <c r="E50" s="2" t="s">
        <v>167</v>
      </c>
      <c r="F50" s="2"/>
      <c r="G50" s="2"/>
      <c r="H50" s="2"/>
      <c r="I50" s="2"/>
      <c r="J50" s="2"/>
      <c r="K50" s="2"/>
      <c r="L50" s="2"/>
      <c r="M50" s="2" t="s">
        <v>187</v>
      </c>
      <c r="N50" s="2" t="s">
        <v>35</v>
      </c>
      <c r="O50" s="2" t="s">
        <v>188</v>
      </c>
      <c r="P50" s="2" t="s">
        <v>65</v>
      </c>
      <c r="Q50" s="5">
        <v>1.0</v>
      </c>
      <c r="R50" s="5">
        <v>0.0</v>
      </c>
      <c r="S50" s="5">
        <v>0.0</v>
      </c>
      <c r="T50" s="5">
        <v>0.0</v>
      </c>
      <c r="U50" s="5">
        <v>0.0</v>
      </c>
      <c r="V50" s="5">
        <v>0.0</v>
      </c>
      <c r="W50" s="5">
        <v>0.0</v>
      </c>
      <c r="X50" s="5">
        <v>0.0</v>
      </c>
      <c r="Y50" s="5">
        <v>0.0</v>
      </c>
      <c r="Z50" s="5">
        <v>0.0</v>
      </c>
      <c r="AA50" s="5">
        <v>0.0</v>
      </c>
      <c r="AB50" s="5">
        <v>0.0</v>
      </c>
      <c r="AC50" s="5">
        <v>0.0</v>
      </c>
      <c r="AD50" s="2" t="s">
        <v>38</v>
      </c>
      <c r="AE50" s="2" t="s">
        <v>39</v>
      </c>
      <c r="AF50" s="2" t="s">
        <v>40</v>
      </c>
    </row>
    <row r="51">
      <c r="A51" s="4" t="s">
        <v>32</v>
      </c>
      <c r="B51" s="5">
        <v>2034.0</v>
      </c>
      <c r="C51" s="5">
        <v>2709900.0</v>
      </c>
      <c r="D51" s="5">
        <v>2713880.0</v>
      </c>
      <c r="E51" s="2" t="s">
        <v>167</v>
      </c>
      <c r="F51" s="2"/>
      <c r="G51" s="2"/>
      <c r="H51" s="2"/>
      <c r="I51" s="2"/>
      <c r="J51" s="2"/>
      <c r="K51" s="2"/>
      <c r="L51" s="2"/>
      <c r="M51" s="2" t="s">
        <v>189</v>
      </c>
      <c r="N51" s="2" t="s">
        <v>35</v>
      </c>
      <c r="O51" s="2" t="s">
        <v>190</v>
      </c>
      <c r="P51" s="2" t="s">
        <v>191</v>
      </c>
      <c r="Q51" s="5">
        <v>1.0</v>
      </c>
      <c r="R51" s="5">
        <v>0.0</v>
      </c>
      <c r="S51" s="5">
        <v>0.0</v>
      </c>
      <c r="T51" s="5">
        <v>0.0</v>
      </c>
      <c r="U51" s="5">
        <v>0.0</v>
      </c>
      <c r="V51" s="5">
        <v>0.0</v>
      </c>
      <c r="W51" s="5">
        <v>0.0</v>
      </c>
      <c r="X51" s="5">
        <v>0.0</v>
      </c>
      <c r="Y51" s="5">
        <v>0.0</v>
      </c>
      <c r="Z51" s="5">
        <v>0.0</v>
      </c>
      <c r="AA51" s="5">
        <v>0.0</v>
      </c>
      <c r="AB51" s="5">
        <v>0.0</v>
      </c>
      <c r="AC51" s="5">
        <v>0.0</v>
      </c>
      <c r="AD51" s="2" t="s">
        <v>38</v>
      </c>
      <c r="AE51" s="2" t="s">
        <v>39</v>
      </c>
      <c r="AF51" s="2" t="s">
        <v>40</v>
      </c>
    </row>
    <row r="52">
      <c r="A52" s="4" t="s">
        <v>32</v>
      </c>
      <c r="B52" s="5">
        <v>2051.0</v>
      </c>
      <c r="C52" s="5">
        <v>2770090.0</v>
      </c>
      <c r="D52" s="5">
        <v>2775070.0</v>
      </c>
      <c r="E52" s="2" t="s">
        <v>167</v>
      </c>
      <c r="F52" s="2"/>
      <c r="G52" s="2"/>
      <c r="H52" s="2"/>
      <c r="I52" s="2"/>
      <c r="J52" s="2"/>
      <c r="K52" s="2"/>
      <c r="L52" s="2"/>
      <c r="M52" s="2" t="s">
        <v>192</v>
      </c>
      <c r="N52" s="2" t="s">
        <v>35</v>
      </c>
      <c r="O52" s="2" t="s">
        <v>193</v>
      </c>
      <c r="P52" s="2" t="s">
        <v>191</v>
      </c>
      <c r="Q52" s="5">
        <v>1.0</v>
      </c>
      <c r="R52" s="5">
        <v>0.0</v>
      </c>
      <c r="S52" s="5">
        <v>0.0</v>
      </c>
      <c r="T52" s="5">
        <v>0.0</v>
      </c>
      <c r="U52" s="5">
        <v>0.0</v>
      </c>
      <c r="V52" s="5">
        <v>0.0</v>
      </c>
      <c r="W52" s="5">
        <v>0.0</v>
      </c>
      <c r="X52" s="5">
        <v>0.0</v>
      </c>
      <c r="Y52" s="5">
        <v>0.0</v>
      </c>
      <c r="Z52" s="5">
        <v>0.0</v>
      </c>
      <c r="AA52" s="5">
        <v>0.0</v>
      </c>
      <c r="AB52" s="5">
        <v>0.0</v>
      </c>
      <c r="AC52" s="5">
        <v>0.0</v>
      </c>
      <c r="AD52" s="2" t="s">
        <v>38</v>
      </c>
      <c r="AE52" s="2" t="s">
        <v>39</v>
      </c>
      <c r="AF52" s="2" t="s">
        <v>40</v>
      </c>
    </row>
    <row r="53">
      <c r="A53" s="4" t="s">
        <v>32</v>
      </c>
      <c r="B53" s="5">
        <v>2099.0</v>
      </c>
      <c r="C53" s="5">
        <v>2944800.0</v>
      </c>
      <c r="D53" s="5">
        <v>2948090.0</v>
      </c>
      <c r="E53" s="2" t="s">
        <v>167</v>
      </c>
      <c r="F53" s="2"/>
      <c r="G53" s="2"/>
      <c r="H53" s="2"/>
      <c r="I53" s="2"/>
      <c r="J53" s="2"/>
      <c r="K53" s="2"/>
      <c r="L53" s="2"/>
      <c r="M53" s="2" t="s">
        <v>194</v>
      </c>
      <c r="N53" s="2" t="s">
        <v>35</v>
      </c>
      <c r="O53" s="2" t="s">
        <v>195</v>
      </c>
      <c r="P53" s="2" t="s">
        <v>196</v>
      </c>
      <c r="Q53" s="5">
        <v>0.0</v>
      </c>
      <c r="R53" s="5">
        <v>1.0</v>
      </c>
      <c r="S53" s="5">
        <v>0.0</v>
      </c>
      <c r="T53" s="5">
        <v>0.0</v>
      </c>
      <c r="U53" s="5">
        <v>0.0</v>
      </c>
      <c r="V53" s="5">
        <v>0.0</v>
      </c>
      <c r="W53" s="5">
        <v>0.0</v>
      </c>
      <c r="X53" s="5">
        <v>0.0</v>
      </c>
      <c r="Y53" s="5">
        <v>0.0</v>
      </c>
      <c r="Z53" s="5">
        <v>0.0</v>
      </c>
      <c r="AA53" s="5">
        <v>0.0</v>
      </c>
      <c r="AB53" s="5">
        <v>0.0</v>
      </c>
      <c r="AC53" s="5">
        <v>0.0</v>
      </c>
      <c r="AD53" s="1" t="s">
        <v>44</v>
      </c>
      <c r="AE53" s="2" t="s">
        <v>40</v>
      </c>
      <c r="AF53" s="2" t="s">
        <v>40</v>
      </c>
    </row>
    <row r="54">
      <c r="A54" s="4" t="s">
        <v>32</v>
      </c>
      <c r="B54" s="5">
        <v>2129.0</v>
      </c>
      <c r="C54" s="5">
        <v>3033810.0</v>
      </c>
      <c r="D54" s="5">
        <v>3039380.0</v>
      </c>
      <c r="E54" s="2" t="s">
        <v>167</v>
      </c>
      <c r="F54" s="2"/>
      <c r="G54" s="2"/>
      <c r="H54" s="2"/>
      <c r="I54" s="2"/>
      <c r="J54" s="2"/>
      <c r="K54" s="2"/>
      <c r="L54" s="2"/>
      <c r="M54" s="2" t="s">
        <v>197</v>
      </c>
      <c r="N54" s="2" t="s">
        <v>35</v>
      </c>
      <c r="O54" s="2" t="s">
        <v>198</v>
      </c>
      <c r="P54" s="2" t="s">
        <v>81</v>
      </c>
      <c r="Q54" s="5">
        <v>1.0</v>
      </c>
      <c r="R54" s="5">
        <v>0.0</v>
      </c>
      <c r="S54" s="5">
        <v>0.0</v>
      </c>
      <c r="T54" s="5">
        <v>0.0</v>
      </c>
      <c r="U54" s="5">
        <v>0.0</v>
      </c>
      <c r="V54" s="5">
        <v>0.0</v>
      </c>
      <c r="W54" s="5">
        <v>0.0</v>
      </c>
      <c r="X54" s="5">
        <v>0.0</v>
      </c>
      <c r="Y54" s="5">
        <v>0.0</v>
      </c>
      <c r="Z54" s="5">
        <v>0.0</v>
      </c>
      <c r="AA54" s="5">
        <v>0.0</v>
      </c>
      <c r="AB54" s="5">
        <v>0.0</v>
      </c>
      <c r="AC54" s="5">
        <v>0.0</v>
      </c>
      <c r="AD54" s="2" t="s">
        <v>38</v>
      </c>
      <c r="AE54" s="2" t="s">
        <v>39</v>
      </c>
      <c r="AF54" s="2" t="s">
        <v>40</v>
      </c>
    </row>
    <row r="55">
      <c r="A55" s="4" t="s">
        <v>32</v>
      </c>
      <c r="B55" s="5">
        <v>2140.0</v>
      </c>
      <c r="C55" s="5">
        <v>3087880.0</v>
      </c>
      <c r="D55" s="5">
        <v>3092420.0</v>
      </c>
      <c r="E55" s="2" t="s">
        <v>167</v>
      </c>
      <c r="F55" s="2"/>
      <c r="G55" s="2"/>
      <c r="H55" s="2"/>
      <c r="I55" s="2"/>
      <c r="J55" s="2"/>
      <c r="K55" s="2"/>
      <c r="L55" s="2"/>
      <c r="M55" s="2" t="s">
        <v>199</v>
      </c>
      <c r="N55" s="2" t="s">
        <v>35</v>
      </c>
      <c r="O55" s="2" t="s">
        <v>200</v>
      </c>
      <c r="P55" s="2" t="s">
        <v>175</v>
      </c>
      <c r="Q55" s="5">
        <v>1.0</v>
      </c>
      <c r="R55" s="5">
        <v>0.0</v>
      </c>
      <c r="S55" s="5">
        <v>0.0</v>
      </c>
      <c r="T55" s="5">
        <v>0.0</v>
      </c>
      <c r="U55" s="5">
        <v>0.0</v>
      </c>
      <c r="V55" s="5">
        <v>0.0</v>
      </c>
      <c r="W55" s="5">
        <v>0.0</v>
      </c>
      <c r="X55" s="5">
        <v>0.0</v>
      </c>
      <c r="Y55" s="5">
        <v>0.0</v>
      </c>
      <c r="Z55" s="5">
        <v>0.0</v>
      </c>
      <c r="AA55" s="5">
        <v>0.0</v>
      </c>
      <c r="AB55" s="5">
        <v>0.0</v>
      </c>
      <c r="AC55" s="5">
        <v>0.0</v>
      </c>
      <c r="AD55" s="1" t="s">
        <v>44</v>
      </c>
      <c r="AE55" s="2" t="s">
        <v>40</v>
      </c>
      <c r="AF55" s="2" t="s">
        <v>40</v>
      </c>
    </row>
    <row r="56">
      <c r="A56" s="4" t="s">
        <v>32</v>
      </c>
      <c r="B56" s="5">
        <v>2337.0</v>
      </c>
      <c r="C56" s="5">
        <v>3883935.0</v>
      </c>
      <c r="D56" s="5">
        <v>3889520.0</v>
      </c>
      <c r="E56" s="2" t="s">
        <v>167</v>
      </c>
      <c r="F56" s="2"/>
      <c r="G56" s="2"/>
      <c r="H56" s="2"/>
      <c r="I56" s="2"/>
      <c r="J56" s="2"/>
      <c r="K56" s="2"/>
      <c r="L56" s="2"/>
      <c r="M56" s="2" t="s">
        <v>201</v>
      </c>
      <c r="N56" s="2" t="s">
        <v>35</v>
      </c>
      <c r="O56" s="2" t="s">
        <v>202</v>
      </c>
      <c r="P56" s="2" t="s">
        <v>203</v>
      </c>
      <c r="Q56" s="5">
        <v>0.0</v>
      </c>
      <c r="R56" s="5">
        <v>0.0</v>
      </c>
      <c r="S56" s="5">
        <v>0.0</v>
      </c>
      <c r="T56" s="5">
        <v>1.0</v>
      </c>
      <c r="U56" s="5">
        <v>0.0</v>
      </c>
      <c r="V56" s="5">
        <v>0.0</v>
      </c>
      <c r="W56" s="5">
        <v>0.0</v>
      </c>
      <c r="X56" s="5">
        <v>0.0</v>
      </c>
      <c r="Y56" s="5">
        <v>0.0</v>
      </c>
      <c r="Z56" s="5">
        <v>0.0</v>
      </c>
      <c r="AA56" s="5">
        <v>0.0</v>
      </c>
      <c r="AB56" s="5">
        <v>0.0</v>
      </c>
      <c r="AC56" s="5">
        <v>0.0</v>
      </c>
      <c r="AD56" s="2" t="s">
        <v>38</v>
      </c>
      <c r="AE56" s="2" t="s">
        <v>39</v>
      </c>
      <c r="AF56" s="2" t="s">
        <v>40</v>
      </c>
    </row>
    <row r="57">
      <c r="A57" s="4" t="s">
        <v>32</v>
      </c>
      <c r="B57" s="5">
        <v>2475.0</v>
      </c>
      <c r="C57" s="5">
        <v>234956.0</v>
      </c>
      <c r="D57" s="5">
        <v>241370.0</v>
      </c>
      <c r="E57" s="2" t="s">
        <v>204</v>
      </c>
      <c r="F57" s="2"/>
      <c r="G57" s="2"/>
      <c r="H57" s="2"/>
      <c r="I57" s="2"/>
      <c r="J57" s="2"/>
      <c r="K57" s="2"/>
      <c r="L57" s="2"/>
      <c r="M57" s="2" t="s">
        <v>205</v>
      </c>
      <c r="N57" s="2" t="s">
        <v>35</v>
      </c>
      <c r="O57" s="2" t="s">
        <v>206</v>
      </c>
      <c r="P57" s="2" t="s">
        <v>207</v>
      </c>
      <c r="Q57" s="5">
        <v>0.0</v>
      </c>
      <c r="R57" s="5">
        <v>0.0</v>
      </c>
      <c r="S57" s="5">
        <v>0.0</v>
      </c>
      <c r="T57" s="5">
        <v>0.0</v>
      </c>
      <c r="U57" s="5">
        <v>0.0</v>
      </c>
      <c r="V57" s="5">
        <v>0.0</v>
      </c>
      <c r="W57" s="5">
        <v>0.0</v>
      </c>
      <c r="X57" s="5">
        <v>0.0</v>
      </c>
      <c r="Y57" s="5">
        <v>0.0</v>
      </c>
      <c r="Z57" s="5">
        <v>1.0</v>
      </c>
      <c r="AA57" s="5">
        <v>0.0</v>
      </c>
      <c r="AB57" s="5">
        <v>0.0</v>
      </c>
      <c r="AC57" s="5">
        <v>0.0</v>
      </c>
      <c r="AD57" s="2" t="s">
        <v>38</v>
      </c>
      <c r="AE57" s="2" t="s">
        <v>39</v>
      </c>
      <c r="AF57" s="2" t="s">
        <v>40</v>
      </c>
    </row>
    <row r="58">
      <c r="A58" s="4" t="s">
        <v>32</v>
      </c>
      <c r="B58" s="5">
        <v>2482.0</v>
      </c>
      <c r="C58" s="5">
        <v>273390.0</v>
      </c>
      <c r="D58" s="5">
        <v>276590.0</v>
      </c>
      <c r="E58" s="2" t="s">
        <v>204</v>
      </c>
      <c r="F58" s="2"/>
      <c r="G58" s="2"/>
      <c r="H58" s="2"/>
      <c r="I58" s="2"/>
      <c r="J58" s="2"/>
      <c r="K58" s="2"/>
      <c r="L58" s="2"/>
      <c r="M58" s="2" t="s">
        <v>208</v>
      </c>
      <c r="N58" s="2" t="s">
        <v>35</v>
      </c>
      <c r="O58" s="2" t="s">
        <v>209</v>
      </c>
      <c r="P58" s="2" t="s">
        <v>99</v>
      </c>
      <c r="Q58" s="5">
        <v>0.0</v>
      </c>
      <c r="R58" s="5">
        <v>1.0</v>
      </c>
      <c r="S58" s="5">
        <v>0.0</v>
      </c>
      <c r="T58" s="5">
        <v>0.0</v>
      </c>
      <c r="U58" s="5">
        <v>0.0</v>
      </c>
      <c r="V58" s="5">
        <v>0.0</v>
      </c>
      <c r="W58" s="5">
        <v>0.0</v>
      </c>
      <c r="X58" s="5">
        <v>0.0</v>
      </c>
      <c r="Y58" s="5">
        <v>0.0</v>
      </c>
      <c r="Z58" s="5">
        <v>0.0</v>
      </c>
      <c r="AA58" s="5">
        <v>0.0</v>
      </c>
      <c r="AB58" s="5">
        <v>0.0</v>
      </c>
      <c r="AC58" s="5">
        <v>0.0</v>
      </c>
      <c r="AD58" s="1" t="s">
        <v>44</v>
      </c>
      <c r="AE58" s="2" t="s">
        <v>40</v>
      </c>
      <c r="AF58" s="2" t="s">
        <v>40</v>
      </c>
    </row>
    <row r="59">
      <c r="A59" s="4" t="s">
        <v>32</v>
      </c>
      <c r="B59" s="5">
        <v>2518.0</v>
      </c>
      <c r="C59" s="5">
        <v>469060.0</v>
      </c>
      <c r="D59" s="5">
        <v>470350.0</v>
      </c>
      <c r="E59" s="2" t="s">
        <v>204</v>
      </c>
      <c r="F59" s="2"/>
      <c r="G59" s="2"/>
      <c r="H59" s="2"/>
      <c r="I59" s="2"/>
      <c r="J59" s="2"/>
      <c r="K59" s="2"/>
      <c r="L59" s="2"/>
      <c r="M59" s="2" t="s">
        <v>210</v>
      </c>
      <c r="N59" s="2" t="s">
        <v>35</v>
      </c>
      <c r="O59" s="2" t="s">
        <v>211</v>
      </c>
      <c r="P59" s="2" t="s">
        <v>212</v>
      </c>
      <c r="Q59" s="5">
        <v>0.0</v>
      </c>
      <c r="R59" s="5">
        <v>0.0</v>
      </c>
      <c r="S59" s="5">
        <v>0.0</v>
      </c>
      <c r="T59" s="5">
        <v>1.0</v>
      </c>
      <c r="U59" s="5">
        <v>0.0</v>
      </c>
      <c r="V59" s="5">
        <v>0.0</v>
      </c>
      <c r="W59" s="5">
        <v>0.0</v>
      </c>
      <c r="X59" s="5">
        <v>0.0</v>
      </c>
      <c r="Y59" s="5">
        <v>0.0</v>
      </c>
      <c r="Z59" s="5">
        <v>0.0</v>
      </c>
      <c r="AA59" s="5">
        <v>0.0</v>
      </c>
      <c r="AB59" s="5">
        <v>0.0</v>
      </c>
      <c r="AC59" s="5">
        <v>0.0</v>
      </c>
      <c r="AD59" s="2" t="s">
        <v>38</v>
      </c>
      <c r="AE59" s="2" t="s">
        <v>39</v>
      </c>
      <c r="AF59" s="2" t="s">
        <v>40</v>
      </c>
    </row>
    <row r="60">
      <c r="A60" s="4" t="s">
        <v>32</v>
      </c>
      <c r="B60" s="5">
        <v>2531.0</v>
      </c>
      <c r="C60" s="5">
        <v>523850.0</v>
      </c>
      <c r="D60" s="5">
        <v>527030.0</v>
      </c>
      <c r="E60" s="2" t="s">
        <v>204</v>
      </c>
      <c r="F60" s="2"/>
      <c r="G60" s="2"/>
      <c r="H60" s="2"/>
      <c r="I60" s="2"/>
      <c r="J60" s="2"/>
      <c r="K60" s="2"/>
      <c r="L60" s="2"/>
      <c r="M60" s="2" t="s">
        <v>213</v>
      </c>
      <c r="N60" s="2" t="s">
        <v>35</v>
      </c>
      <c r="O60" s="2" t="s">
        <v>214</v>
      </c>
      <c r="P60" s="2" t="s">
        <v>81</v>
      </c>
      <c r="Q60" s="5">
        <v>1.0</v>
      </c>
      <c r="R60" s="5">
        <v>0.0</v>
      </c>
      <c r="S60" s="5">
        <v>0.0</v>
      </c>
      <c r="T60" s="5">
        <v>0.0</v>
      </c>
      <c r="U60" s="5">
        <v>0.0</v>
      </c>
      <c r="V60" s="5">
        <v>0.0</v>
      </c>
      <c r="W60" s="5">
        <v>0.0</v>
      </c>
      <c r="X60" s="5">
        <v>0.0</v>
      </c>
      <c r="Y60" s="5">
        <v>0.0</v>
      </c>
      <c r="Z60" s="5">
        <v>0.0</v>
      </c>
      <c r="AA60" s="5">
        <v>0.0</v>
      </c>
      <c r="AB60" s="5">
        <v>0.0</v>
      </c>
      <c r="AC60" s="5">
        <v>0.0</v>
      </c>
      <c r="AD60" s="2" t="s">
        <v>38</v>
      </c>
      <c r="AE60" s="2" t="s">
        <v>39</v>
      </c>
      <c r="AF60" s="2" t="s">
        <v>40</v>
      </c>
    </row>
    <row r="61">
      <c r="A61" s="4" t="s">
        <v>32</v>
      </c>
      <c r="B61" s="5">
        <v>2532.0</v>
      </c>
      <c r="C61" s="5">
        <v>527890.0</v>
      </c>
      <c r="D61" s="5">
        <v>534070.0</v>
      </c>
      <c r="E61" s="2" t="s">
        <v>204</v>
      </c>
      <c r="F61" s="2"/>
      <c r="G61" s="2"/>
      <c r="H61" s="2"/>
      <c r="I61" s="2"/>
      <c r="J61" s="2"/>
      <c r="K61" s="2"/>
      <c r="L61" s="2"/>
      <c r="M61" s="2" t="s">
        <v>215</v>
      </c>
      <c r="N61" s="2" t="s">
        <v>35</v>
      </c>
      <c r="O61" s="2" t="s">
        <v>216</v>
      </c>
      <c r="P61" s="2" t="s">
        <v>191</v>
      </c>
      <c r="Q61" s="5">
        <v>1.0</v>
      </c>
      <c r="R61" s="5">
        <v>0.0</v>
      </c>
      <c r="S61" s="5">
        <v>0.0</v>
      </c>
      <c r="T61" s="5">
        <v>0.0</v>
      </c>
      <c r="U61" s="5">
        <v>0.0</v>
      </c>
      <c r="V61" s="5">
        <v>0.0</v>
      </c>
      <c r="W61" s="5">
        <v>0.0</v>
      </c>
      <c r="X61" s="5">
        <v>0.0</v>
      </c>
      <c r="Y61" s="5">
        <v>0.0</v>
      </c>
      <c r="Z61" s="5">
        <v>0.0</v>
      </c>
      <c r="AA61" s="5">
        <v>0.0</v>
      </c>
      <c r="AB61" s="5">
        <v>0.0</v>
      </c>
      <c r="AC61" s="5">
        <v>0.0</v>
      </c>
      <c r="AD61" s="2" t="s">
        <v>38</v>
      </c>
      <c r="AE61" s="2" t="s">
        <v>39</v>
      </c>
      <c r="AF61" s="2" t="s">
        <v>40</v>
      </c>
    </row>
    <row r="62">
      <c r="A62" s="4" t="s">
        <v>32</v>
      </c>
      <c r="B62" s="5">
        <v>2536.0</v>
      </c>
      <c r="C62" s="5">
        <v>544660.0</v>
      </c>
      <c r="D62" s="5">
        <v>550410.0</v>
      </c>
      <c r="E62" s="2" t="s">
        <v>204</v>
      </c>
      <c r="F62" s="2"/>
      <c r="G62" s="2"/>
      <c r="H62" s="2"/>
      <c r="I62" s="2"/>
      <c r="J62" s="2"/>
      <c r="K62" s="2"/>
      <c r="L62" s="2"/>
      <c r="M62" s="2" t="s">
        <v>217</v>
      </c>
      <c r="N62" s="2" t="s">
        <v>35</v>
      </c>
      <c r="O62" s="2" t="s">
        <v>218</v>
      </c>
      <c r="P62" s="2" t="s">
        <v>191</v>
      </c>
      <c r="Q62" s="5">
        <v>1.0</v>
      </c>
      <c r="R62" s="5">
        <v>0.0</v>
      </c>
      <c r="S62" s="5">
        <v>0.0</v>
      </c>
      <c r="T62" s="5">
        <v>0.0</v>
      </c>
      <c r="U62" s="5">
        <v>0.0</v>
      </c>
      <c r="V62" s="5">
        <v>0.0</v>
      </c>
      <c r="W62" s="5">
        <v>0.0</v>
      </c>
      <c r="X62" s="5">
        <v>0.0</v>
      </c>
      <c r="Y62" s="5">
        <v>0.0</v>
      </c>
      <c r="Z62" s="5">
        <v>0.0</v>
      </c>
      <c r="AA62" s="5">
        <v>0.0</v>
      </c>
      <c r="AB62" s="5">
        <v>0.0</v>
      </c>
      <c r="AC62" s="5">
        <v>0.0</v>
      </c>
      <c r="AD62" s="2" t="s">
        <v>38</v>
      </c>
      <c r="AE62" s="2" t="s">
        <v>39</v>
      </c>
      <c r="AF62" s="2" t="s">
        <v>40</v>
      </c>
    </row>
    <row r="63">
      <c r="A63" s="4" t="s">
        <v>32</v>
      </c>
      <c r="B63" s="5">
        <v>2770.0</v>
      </c>
      <c r="C63" s="5">
        <v>1504430.0</v>
      </c>
      <c r="D63" s="5">
        <v>1514736.0</v>
      </c>
      <c r="E63" s="2" t="s">
        <v>204</v>
      </c>
      <c r="F63" s="2"/>
      <c r="G63" s="2"/>
      <c r="H63" s="2"/>
      <c r="I63" s="2"/>
      <c r="J63" s="2"/>
      <c r="K63" s="2"/>
      <c r="L63" s="2"/>
      <c r="M63" s="2" t="s">
        <v>219</v>
      </c>
      <c r="N63" s="2" t="s">
        <v>35</v>
      </c>
      <c r="O63" s="2" t="s">
        <v>220</v>
      </c>
      <c r="P63" s="2" t="s">
        <v>221</v>
      </c>
      <c r="Q63" s="5">
        <v>0.0</v>
      </c>
      <c r="R63" s="5">
        <v>0.0</v>
      </c>
      <c r="S63" s="5">
        <v>0.0</v>
      </c>
      <c r="T63" s="5">
        <v>0.0</v>
      </c>
      <c r="U63" s="5">
        <v>1.0</v>
      </c>
      <c r="V63" s="5">
        <v>0.0</v>
      </c>
      <c r="W63" s="5">
        <v>0.0</v>
      </c>
      <c r="X63" s="5">
        <v>0.0</v>
      </c>
      <c r="Y63" s="5">
        <v>0.0</v>
      </c>
      <c r="Z63" s="6">
        <v>0.0</v>
      </c>
      <c r="AA63" s="5">
        <v>0.0</v>
      </c>
      <c r="AB63" s="5">
        <v>0.0</v>
      </c>
      <c r="AC63" s="5">
        <v>0.0</v>
      </c>
      <c r="AD63" s="2" t="s">
        <v>38</v>
      </c>
      <c r="AE63" s="2" t="s">
        <v>39</v>
      </c>
      <c r="AF63" s="2" t="s">
        <v>40</v>
      </c>
    </row>
    <row r="64">
      <c r="A64" s="4" t="s">
        <v>32</v>
      </c>
      <c r="B64" s="5">
        <v>2845.0</v>
      </c>
      <c r="C64" s="5">
        <v>1820578.0</v>
      </c>
      <c r="D64" s="5">
        <v>1829030.0</v>
      </c>
      <c r="E64" s="2" t="s">
        <v>204</v>
      </c>
      <c r="F64" s="2"/>
      <c r="G64" s="2"/>
      <c r="H64" s="2"/>
      <c r="I64" s="2"/>
      <c r="J64" s="2"/>
      <c r="K64" s="2"/>
      <c r="L64" s="2"/>
      <c r="M64" s="2" t="s">
        <v>222</v>
      </c>
      <c r="N64" s="2" t="s">
        <v>35</v>
      </c>
      <c r="O64" s="2" t="s">
        <v>223</v>
      </c>
      <c r="P64" s="2" t="s">
        <v>224</v>
      </c>
      <c r="Q64" s="5">
        <v>0.0</v>
      </c>
      <c r="R64" s="5">
        <v>0.0</v>
      </c>
      <c r="S64" s="5">
        <v>0.0</v>
      </c>
      <c r="T64" s="5">
        <v>0.0</v>
      </c>
      <c r="U64" s="5">
        <v>0.0</v>
      </c>
      <c r="V64" s="5">
        <v>0.0</v>
      </c>
      <c r="W64" s="5">
        <v>0.0</v>
      </c>
      <c r="X64" s="5">
        <v>0.0</v>
      </c>
      <c r="Y64" s="5">
        <v>0.0</v>
      </c>
      <c r="Z64" s="5">
        <v>0.0</v>
      </c>
      <c r="AA64" s="6">
        <v>0.0</v>
      </c>
      <c r="AB64" s="5">
        <v>1.0</v>
      </c>
      <c r="AC64" s="5">
        <v>0.0</v>
      </c>
      <c r="AD64" s="2" t="s">
        <v>92</v>
      </c>
      <c r="AE64" s="2" t="s">
        <v>39</v>
      </c>
      <c r="AF64" s="2" t="s">
        <v>166</v>
      </c>
    </row>
    <row r="65">
      <c r="A65" s="4" t="s">
        <v>32</v>
      </c>
      <c r="B65" s="5">
        <v>3160.0</v>
      </c>
      <c r="C65" s="5">
        <v>3427394.0</v>
      </c>
      <c r="D65" s="5">
        <v>3431960.0</v>
      </c>
      <c r="E65" s="2" t="s">
        <v>204</v>
      </c>
      <c r="F65" s="2"/>
      <c r="G65" s="2"/>
      <c r="H65" s="2"/>
      <c r="I65" s="2"/>
      <c r="J65" s="2"/>
      <c r="K65" s="2"/>
      <c r="L65" s="2"/>
      <c r="M65" s="2" t="s">
        <v>225</v>
      </c>
      <c r="N65" s="2" t="s">
        <v>35</v>
      </c>
      <c r="O65" s="2" t="s">
        <v>226</v>
      </c>
      <c r="P65" s="2" t="s">
        <v>227</v>
      </c>
      <c r="Q65" s="5">
        <v>1.0</v>
      </c>
      <c r="R65" s="5">
        <v>0.0</v>
      </c>
      <c r="S65" s="5">
        <v>0.0</v>
      </c>
      <c r="T65" s="5">
        <v>0.0</v>
      </c>
      <c r="U65" s="5">
        <v>0.0</v>
      </c>
      <c r="V65" s="5">
        <v>0.0</v>
      </c>
      <c r="W65" s="5">
        <v>0.0</v>
      </c>
      <c r="X65" s="5">
        <v>0.0</v>
      </c>
      <c r="Y65" s="5">
        <v>0.0</v>
      </c>
      <c r="Z65" s="5">
        <v>0.0</v>
      </c>
      <c r="AA65" s="5">
        <v>0.0</v>
      </c>
      <c r="AB65" s="5">
        <v>0.0</v>
      </c>
      <c r="AC65" s="5">
        <v>0.0</v>
      </c>
      <c r="AD65" s="2" t="s">
        <v>38</v>
      </c>
      <c r="AE65" s="2" t="s">
        <v>39</v>
      </c>
      <c r="AF65" s="2" t="s">
        <v>40</v>
      </c>
    </row>
    <row r="66">
      <c r="A66" s="4" t="s">
        <v>32</v>
      </c>
      <c r="B66" s="5">
        <v>3279.0</v>
      </c>
      <c r="C66" s="5">
        <v>4216947.0</v>
      </c>
      <c r="D66" s="5">
        <v>4224381.0</v>
      </c>
      <c r="E66" s="2" t="s">
        <v>204</v>
      </c>
      <c r="F66" s="2"/>
      <c r="G66" s="2"/>
      <c r="H66" s="2"/>
      <c r="I66" s="2"/>
      <c r="J66" s="2"/>
      <c r="K66" s="2"/>
      <c r="L66" s="2"/>
      <c r="M66" s="2" t="s">
        <v>228</v>
      </c>
      <c r="N66" s="2" t="s">
        <v>35</v>
      </c>
      <c r="O66" s="2" t="s">
        <v>229</v>
      </c>
      <c r="P66" s="2" t="s">
        <v>230</v>
      </c>
      <c r="Q66" s="5">
        <v>0.0</v>
      </c>
      <c r="R66" s="5">
        <v>0.0</v>
      </c>
      <c r="S66" s="5">
        <v>0.0</v>
      </c>
      <c r="T66" s="5">
        <v>0.0</v>
      </c>
      <c r="U66" s="5">
        <v>0.0</v>
      </c>
      <c r="V66" s="5">
        <v>0.0</v>
      </c>
      <c r="W66" s="5">
        <v>0.0</v>
      </c>
      <c r="X66" s="5">
        <v>1.0</v>
      </c>
      <c r="Y66" s="5">
        <v>0.0</v>
      </c>
      <c r="Z66" s="5">
        <v>0.0</v>
      </c>
      <c r="AA66" s="5">
        <v>0.0</v>
      </c>
      <c r="AB66" s="5">
        <v>0.0</v>
      </c>
      <c r="AC66" s="5">
        <v>0.0</v>
      </c>
      <c r="AD66" s="2" t="s">
        <v>38</v>
      </c>
      <c r="AE66" s="2" t="s">
        <v>39</v>
      </c>
      <c r="AF66" s="2" t="s">
        <v>40</v>
      </c>
    </row>
    <row r="67">
      <c r="A67" s="4" t="s">
        <v>32</v>
      </c>
      <c r="B67" s="5">
        <v>3322.0</v>
      </c>
      <c r="C67" s="5">
        <v>4590532.0</v>
      </c>
      <c r="D67" s="5">
        <v>4599575.0</v>
      </c>
      <c r="E67" s="2" t="s">
        <v>204</v>
      </c>
      <c r="F67" s="2"/>
      <c r="G67" s="2"/>
      <c r="H67" s="2"/>
      <c r="I67" s="2"/>
      <c r="J67" s="2"/>
      <c r="K67" s="2"/>
      <c r="L67" s="2"/>
      <c r="M67" s="2" t="s">
        <v>231</v>
      </c>
      <c r="N67" s="2" t="s">
        <v>35</v>
      </c>
      <c r="O67" s="2" t="s">
        <v>232</v>
      </c>
      <c r="P67" s="2" t="s">
        <v>233</v>
      </c>
      <c r="Q67" s="5">
        <v>1.0</v>
      </c>
      <c r="R67" s="5">
        <v>0.0</v>
      </c>
      <c r="S67" s="5">
        <v>0.0</v>
      </c>
      <c r="T67" s="5">
        <v>0.0</v>
      </c>
      <c r="U67" s="5">
        <v>0.0</v>
      </c>
      <c r="V67" s="5">
        <v>0.0</v>
      </c>
      <c r="W67" s="5">
        <v>0.0</v>
      </c>
      <c r="X67" s="5">
        <v>0.0</v>
      </c>
      <c r="Y67" s="5">
        <v>0.0</v>
      </c>
      <c r="Z67" s="5">
        <v>0.0</v>
      </c>
      <c r="AA67" s="5">
        <v>0.0</v>
      </c>
      <c r="AB67" s="5">
        <v>0.0</v>
      </c>
      <c r="AC67" s="5">
        <v>0.0</v>
      </c>
      <c r="AD67" s="2" t="s">
        <v>38</v>
      </c>
      <c r="AE67" s="2" t="s">
        <v>39</v>
      </c>
      <c r="AF67" s="2" t="s">
        <v>40</v>
      </c>
    </row>
    <row r="68">
      <c r="A68" s="4" t="s">
        <v>32</v>
      </c>
      <c r="B68" s="5">
        <v>3335.0</v>
      </c>
      <c r="C68" s="5">
        <v>4719286.0</v>
      </c>
      <c r="D68" s="5">
        <v>4731458.0</v>
      </c>
      <c r="E68" s="2" t="s">
        <v>204</v>
      </c>
      <c r="F68" s="2"/>
      <c r="G68" s="2"/>
      <c r="H68" s="2"/>
      <c r="I68" s="2"/>
      <c r="J68" s="2"/>
      <c r="K68" s="2"/>
      <c r="L68" s="2"/>
      <c r="M68" s="2" t="s">
        <v>234</v>
      </c>
      <c r="N68" s="2" t="s">
        <v>35</v>
      </c>
      <c r="O68" s="2" t="s">
        <v>235</v>
      </c>
      <c r="P68" s="2" t="s">
        <v>236</v>
      </c>
      <c r="Q68" s="5">
        <v>0.0</v>
      </c>
      <c r="R68" s="5">
        <v>0.0</v>
      </c>
      <c r="S68" s="5">
        <v>0.0</v>
      </c>
      <c r="T68" s="5">
        <v>0.0</v>
      </c>
      <c r="U68" s="5">
        <v>0.0</v>
      </c>
      <c r="V68" s="5">
        <v>0.0</v>
      </c>
      <c r="W68" s="5">
        <v>1.0</v>
      </c>
      <c r="X68" s="5">
        <v>0.0</v>
      </c>
      <c r="Y68" s="5">
        <v>0.0</v>
      </c>
      <c r="Z68" s="5">
        <v>0.0</v>
      </c>
      <c r="AA68" s="5">
        <v>0.0</v>
      </c>
      <c r="AB68" s="5">
        <v>0.0</v>
      </c>
      <c r="AC68" s="5">
        <v>0.0</v>
      </c>
      <c r="AD68" s="2" t="s">
        <v>38</v>
      </c>
      <c r="AE68" s="2" t="s">
        <v>39</v>
      </c>
      <c r="AF68" s="2" t="s">
        <v>40</v>
      </c>
    </row>
    <row r="69">
      <c r="A69" s="4" t="s">
        <v>32</v>
      </c>
      <c r="B69" s="5">
        <v>3336.0</v>
      </c>
      <c r="C69" s="5">
        <v>4732086.0</v>
      </c>
      <c r="D69" s="5">
        <v>4741472.0</v>
      </c>
      <c r="E69" s="2" t="s">
        <v>204</v>
      </c>
      <c r="F69" s="2"/>
      <c r="G69" s="2"/>
      <c r="H69" s="2"/>
      <c r="I69" s="2"/>
      <c r="J69" s="2"/>
      <c r="K69" s="2"/>
      <c r="L69" s="2"/>
      <c r="M69" s="2" t="s">
        <v>237</v>
      </c>
      <c r="N69" s="2" t="s">
        <v>35</v>
      </c>
      <c r="O69" s="2" t="s">
        <v>238</v>
      </c>
      <c r="P69" s="2" t="s">
        <v>233</v>
      </c>
      <c r="Q69" s="5">
        <v>1.0</v>
      </c>
      <c r="R69" s="5">
        <v>0.0</v>
      </c>
      <c r="S69" s="5">
        <v>0.0</v>
      </c>
      <c r="T69" s="5">
        <v>0.0</v>
      </c>
      <c r="U69" s="5">
        <v>0.0</v>
      </c>
      <c r="V69" s="5">
        <v>0.0</v>
      </c>
      <c r="W69" s="5">
        <v>0.0</v>
      </c>
      <c r="X69" s="5">
        <v>0.0</v>
      </c>
      <c r="Y69" s="5">
        <v>0.0</v>
      </c>
      <c r="Z69" s="5">
        <v>0.0</v>
      </c>
      <c r="AA69" s="5">
        <v>0.0</v>
      </c>
      <c r="AB69" s="5">
        <v>0.0</v>
      </c>
      <c r="AC69" s="5">
        <v>0.0</v>
      </c>
      <c r="AD69" s="1" t="s">
        <v>44</v>
      </c>
      <c r="AE69" s="2" t="s">
        <v>40</v>
      </c>
      <c r="AF69" s="2" t="s">
        <v>40</v>
      </c>
    </row>
    <row r="70">
      <c r="A70" s="4" t="s">
        <v>32</v>
      </c>
      <c r="B70" s="5">
        <v>3336.0</v>
      </c>
      <c r="C70" s="5">
        <v>4732086.0</v>
      </c>
      <c r="D70" s="5">
        <v>4741472.0</v>
      </c>
      <c r="E70" s="2" t="s">
        <v>204</v>
      </c>
      <c r="F70" s="2"/>
      <c r="G70" s="2"/>
      <c r="H70" s="2"/>
      <c r="I70" s="2"/>
      <c r="J70" s="2"/>
      <c r="K70" s="2"/>
      <c r="L70" s="2"/>
      <c r="M70" s="2" t="s">
        <v>239</v>
      </c>
      <c r="N70" s="2" t="s">
        <v>35</v>
      </c>
      <c r="O70" s="2" t="s">
        <v>240</v>
      </c>
      <c r="P70" s="2" t="s">
        <v>241</v>
      </c>
      <c r="Q70" s="5">
        <v>1.0</v>
      </c>
      <c r="R70" s="5">
        <v>0.0</v>
      </c>
      <c r="S70" s="5">
        <v>0.0</v>
      </c>
      <c r="T70" s="5">
        <v>0.0</v>
      </c>
      <c r="U70" s="5">
        <v>0.0</v>
      </c>
      <c r="V70" s="5">
        <v>0.0</v>
      </c>
      <c r="W70" s="5">
        <v>0.0</v>
      </c>
      <c r="X70" s="5">
        <v>0.0</v>
      </c>
      <c r="Y70" s="5">
        <v>0.0</v>
      </c>
      <c r="Z70" s="5">
        <v>0.0</v>
      </c>
      <c r="AA70" s="5">
        <v>0.0</v>
      </c>
      <c r="AB70" s="5">
        <v>0.0</v>
      </c>
      <c r="AC70" s="5">
        <v>0.0</v>
      </c>
      <c r="AD70" s="1" t="s">
        <v>44</v>
      </c>
      <c r="AE70" s="2" t="s">
        <v>40</v>
      </c>
      <c r="AF70" s="2" t="s">
        <v>40</v>
      </c>
    </row>
    <row r="71">
      <c r="A71" s="4" t="s">
        <v>32</v>
      </c>
      <c r="B71" s="5">
        <v>3338.0</v>
      </c>
      <c r="C71" s="5">
        <v>4767558.0</v>
      </c>
      <c r="D71" s="5">
        <v>4787100.0</v>
      </c>
      <c r="E71" s="2" t="s">
        <v>204</v>
      </c>
      <c r="F71" s="2"/>
      <c r="G71" s="2"/>
      <c r="H71" s="2"/>
      <c r="I71" s="2"/>
      <c r="J71" s="2"/>
      <c r="K71" s="2"/>
      <c r="L71" s="2"/>
      <c r="M71" s="2" t="s">
        <v>242</v>
      </c>
      <c r="N71" s="2" t="s">
        <v>35</v>
      </c>
      <c r="O71" s="2" t="s">
        <v>243</v>
      </c>
      <c r="P71" s="2" t="s">
        <v>244</v>
      </c>
      <c r="Q71" s="5">
        <v>1.0</v>
      </c>
      <c r="R71" s="5">
        <v>0.0</v>
      </c>
      <c r="S71" s="5">
        <v>0.0</v>
      </c>
      <c r="T71" s="5">
        <v>0.0</v>
      </c>
      <c r="U71" s="5">
        <v>0.0</v>
      </c>
      <c r="V71" s="5">
        <v>0.0</v>
      </c>
      <c r="W71" s="5">
        <v>0.0</v>
      </c>
      <c r="X71" s="5">
        <v>0.0</v>
      </c>
      <c r="Y71" s="5">
        <v>0.0</v>
      </c>
      <c r="Z71" s="5">
        <v>0.0</v>
      </c>
      <c r="AA71" s="5">
        <v>0.0</v>
      </c>
      <c r="AB71" s="5">
        <v>0.0</v>
      </c>
      <c r="AC71" s="5">
        <v>0.0</v>
      </c>
      <c r="AD71" s="1" t="s">
        <v>44</v>
      </c>
      <c r="AE71" s="2" t="s">
        <v>40</v>
      </c>
      <c r="AF71" s="2" t="s">
        <v>40</v>
      </c>
    </row>
    <row r="72">
      <c r="A72" s="4" t="s">
        <v>32</v>
      </c>
      <c r="B72" s="5">
        <v>3340.0</v>
      </c>
      <c r="C72" s="5">
        <v>4791486.0</v>
      </c>
      <c r="D72" s="5">
        <v>4805486.0</v>
      </c>
      <c r="E72" s="2" t="s">
        <v>204</v>
      </c>
      <c r="F72" s="2"/>
      <c r="G72" s="2"/>
      <c r="H72" s="2"/>
      <c r="I72" s="2"/>
      <c r="J72" s="2"/>
      <c r="K72" s="2"/>
      <c r="L72" s="2"/>
      <c r="M72" s="2" t="s">
        <v>245</v>
      </c>
      <c r="N72" s="2" t="s">
        <v>35</v>
      </c>
      <c r="O72" s="2" t="s">
        <v>246</v>
      </c>
      <c r="P72" s="2" t="s">
        <v>247</v>
      </c>
      <c r="Q72" s="5">
        <v>1.0</v>
      </c>
      <c r="R72" s="5">
        <v>0.0</v>
      </c>
      <c r="S72" s="5">
        <v>0.0</v>
      </c>
      <c r="T72" s="5">
        <v>0.0</v>
      </c>
      <c r="U72" s="5">
        <v>0.0</v>
      </c>
      <c r="V72" s="5">
        <v>0.0</v>
      </c>
      <c r="W72" s="5">
        <v>0.0</v>
      </c>
      <c r="X72" s="5">
        <v>0.0</v>
      </c>
      <c r="Y72" s="5">
        <v>0.0</v>
      </c>
      <c r="Z72" s="5">
        <v>0.0</v>
      </c>
      <c r="AA72" s="5">
        <v>0.0</v>
      </c>
      <c r="AB72" s="5">
        <v>0.0</v>
      </c>
      <c r="AC72" s="5">
        <v>0.0</v>
      </c>
      <c r="AD72" s="1" t="s">
        <v>44</v>
      </c>
      <c r="AE72" s="2" t="s">
        <v>40</v>
      </c>
      <c r="AF72" s="2" t="s">
        <v>40</v>
      </c>
    </row>
    <row r="73">
      <c r="A73" s="4" t="s">
        <v>32</v>
      </c>
      <c r="B73" s="5">
        <v>3737.0</v>
      </c>
      <c r="C73" s="5">
        <v>1082580.0</v>
      </c>
      <c r="D73" s="5">
        <v>1086630.0</v>
      </c>
      <c r="E73" s="2" t="s">
        <v>248</v>
      </c>
      <c r="F73" s="2"/>
      <c r="G73" s="2"/>
      <c r="H73" s="2"/>
      <c r="I73" s="2"/>
      <c r="J73" s="2"/>
      <c r="K73" s="2"/>
      <c r="L73" s="2"/>
      <c r="M73" s="2" t="s">
        <v>249</v>
      </c>
      <c r="N73" s="2" t="s">
        <v>35</v>
      </c>
      <c r="O73" s="2" t="s">
        <v>250</v>
      </c>
      <c r="P73" s="2" t="s">
        <v>251</v>
      </c>
      <c r="Q73" s="5">
        <v>1.0</v>
      </c>
      <c r="R73" s="5">
        <v>0.0</v>
      </c>
      <c r="S73" s="5">
        <v>0.0</v>
      </c>
      <c r="T73" s="5">
        <v>0.0</v>
      </c>
      <c r="U73" s="5">
        <v>0.0</v>
      </c>
      <c r="V73" s="5">
        <v>0.0</v>
      </c>
      <c r="W73" s="5">
        <v>0.0</v>
      </c>
      <c r="X73" s="5">
        <v>0.0</v>
      </c>
      <c r="Y73" s="5">
        <v>0.0</v>
      </c>
      <c r="Z73" s="5">
        <v>0.0</v>
      </c>
      <c r="AA73" s="5">
        <v>0.0</v>
      </c>
      <c r="AB73" s="5">
        <v>0.0</v>
      </c>
      <c r="AC73" s="5">
        <v>0.0</v>
      </c>
      <c r="AD73" s="2" t="s">
        <v>38</v>
      </c>
      <c r="AE73" s="2" t="s">
        <v>39</v>
      </c>
      <c r="AF73" s="2" t="s">
        <v>40</v>
      </c>
    </row>
    <row r="74">
      <c r="A74" s="4" t="s">
        <v>32</v>
      </c>
      <c r="B74" s="5">
        <v>3799.0</v>
      </c>
      <c r="C74" s="5">
        <v>1255830.0</v>
      </c>
      <c r="D74" s="5">
        <v>1260050.0</v>
      </c>
      <c r="E74" s="2" t="s">
        <v>248</v>
      </c>
      <c r="F74" s="2"/>
      <c r="G74" s="2"/>
      <c r="H74" s="2"/>
      <c r="I74" s="2"/>
      <c r="J74" s="2"/>
      <c r="K74" s="2"/>
      <c r="L74" s="2"/>
      <c r="M74" s="2" t="s">
        <v>252</v>
      </c>
      <c r="N74" s="2" t="s">
        <v>35</v>
      </c>
      <c r="O74" s="2" t="s">
        <v>253</v>
      </c>
      <c r="P74" s="2" t="s">
        <v>254</v>
      </c>
      <c r="Q74" s="5">
        <v>1.0</v>
      </c>
      <c r="R74" s="5">
        <v>0.0</v>
      </c>
      <c r="S74" s="5">
        <v>0.0</v>
      </c>
      <c r="T74" s="5">
        <v>0.0</v>
      </c>
      <c r="U74" s="5">
        <v>0.0</v>
      </c>
      <c r="V74" s="5">
        <v>0.0</v>
      </c>
      <c r="W74" s="5">
        <v>0.0</v>
      </c>
      <c r="X74" s="5">
        <v>0.0</v>
      </c>
      <c r="Y74" s="5">
        <v>0.0</v>
      </c>
      <c r="Z74" s="5">
        <v>0.0</v>
      </c>
      <c r="AA74" s="5">
        <v>0.0</v>
      </c>
      <c r="AB74" s="5">
        <v>0.0</v>
      </c>
      <c r="AC74" s="5">
        <v>0.0</v>
      </c>
      <c r="AD74" s="1" t="s">
        <v>44</v>
      </c>
      <c r="AE74" s="2" t="s">
        <v>40</v>
      </c>
      <c r="AF74" s="2" t="s">
        <v>40</v>
      </c>
    </row>
    <row r="75">
      <c r="A75" s="4" t="s">
        <v>32</v>
      </c>
      <c r="B75" s="5">
        <v>3804.0</v>
      </c>
      <c r="C75" s="5">
        <v>1269890.0</v>
      </c>
      <c r="D75" s="5">
        <v>1273360.0</v>
      </c>
      <c r="E75" s="2" t="s">
        <v>248</v>
      </c>
      <c r="F75" s="2"/>
      <c r="G75" s="2"/>
      <c r="H75" s="2"/>
      <c r="I75" s="2"/>
      <c r="J75" s="2"/>
      <c r="K75" s="2"/>
      <c r="L75" s="2"/>
      <c r="M75" s="2" t="s">
        <v>255</v>
      </c>
      <c r="N75" s="2" t="s">
        <v>35</v>
      </c>
      <c r="O75" s="2" t="s">
        <v>256</v>
      </c>
      <c r="P75" s="2" t="s">
        <v>60</v>
      </c>
      <c r="Q75" s="5">
        <v>1.0</v>
      </c>
      <c r="R75" s="5">
        <v>0.0</v>
      </c>
      <c r="S75" s="5">
        <v>0.0</v>
      </c>
      <c r="T75" s="5">
        <v>0.0</v>
      </c>
      <c r="U75" s="5">
        <v>0.0</v>
      </c>
      <c r="V75" s="5">
        <v>0.0</v>
      </c>
      <c r="W75" s="5">
        <v>0.0</v>
      </c>
      <c r="X75" s="5">
        <v>0.0</v>
      </c>
      <c r="Y75" s="5">
        <v>0.0</v>
      </c>
      <c r="Z75" s="5">
        <v>0.0</v>
      </c>
      <c r="AA75" s="5">
        <v>0.0</v>
      </c>
      <c r="AB75" s="5">
        <v>0.0</v>
      </c>
      <c r="AC75" s="5">
        <v>0.0</v>
      </c>
      <c r="AD75" s="1" t="s">
        <v>44</v>
      </c>
      <c r="AE75" s="2" t="s">
        <v>40</v>
      </c>
      <c r="AF75" s="2" t="s">
        <v>40</v>
      </c>
    </row>
    <row r="76">
      <c r="A76" s="4" t="s">
        <v>32</v>
      </c>
      <c r="B76" s="5">
        <v>3889.0</v>
      </c>
      <c r="C76" s="5">
        <v>1511350.0</v>
      </c>
      <c r="D76" s="5">
        <v>1514520.0</v>
      </c>
      <c r="E76" s="2" t="s">
        <v>248</v>
      </c>
      <c r="F76" s="2"/>
      <c r="G76" s="2"/>
      <c r="H76" s="2"/>
      <c r="I76" s="2"/>
      <c r="J76" s="2"/>
      <c r="K76" s="2"/>
      <c r="L76" s="2"/>
      <c r="M76" s="2" t="s">
        <v>257</v>
      </c>
      <c r="N76" s="2" t="s">
        <v>35</v>
      </c>
      <c r="O76" s="2" t="s">
        <v>258</v>
      </c>
      <c r="P76" s="2" t="s">
        <v>175</v>
      </c>
      <c r="Q76" s="5">
        <v>1.0</v>
      </c>
      <c r="R76" s="5">
        <v>0.0</v>
      </c>
      <c r="S76" s="5">
        <v>0.0</v>
      </c>
      <c r="T76" s="5">
        <v>0.0</v>
      </c>
      <c r="U76" s="5">
        <v>0.0</v>
      </c>
      <c r="V76" s="5">
        <v>0.0</v>
      </c>
      <c r="W76" s="5">
        <v>0.0</v>
      </c>
      <c r="X76" s="5">
        <v>0.0</v>
      </c>
      <c r="Y76" s="5">
        <v>0.0</v>
      </c>
      <c r="Z76" s="5">
        <v>0.0</v>
      </c>
      <c r="AA76" s="5">
        <v>0.0</v>
      </c>
      <c r="AB76" s="5">
        <v>0.0</v>
      </c>
      <c r="AC76" s="5">
        <v>0.0</v>
      </c>
      <c r="AD76" s="1" t="s">
        <v>44</v>
      </c>
      <c r="AE76" s="2" t="s">
        <v>40</v>
      </c>
      <c r="AF76" s="2" t="s">
        <v>40</v>
      </c>
    </row>
    <row r="77">
      <c r="A77" s="4" t="s">
        <v>32</v>
      </c>
      <c r="B77" s="5">
        <v>4057.0</v>
      </c>
      <c r="C77" s="5">
        <v>2096660.0</v>
      </c>
      <c r="D77" s="5">
        <v>2099150.0</v>
      </c>
      <c r="E77" s="2" t="s">
        <v>248</v>
      </c>
      <c r="F77" s="2"/>
      <c r="G77" s="2"/>
      <c r="H77" s="2"/>
      <c r="I77" s="2"/>
      <c r="J77" s="2"/>
      <c r="K77" s="2"/>
      <c r="L77" s="2"/>
      <c r="M77" s="2"/>
      <c r="N77" s="2" t="s">
        <v>45</v>
      </c>
      <c r="O77" s="2" t="s">
        <v>259</v>
      </c>
      <c r="P77" s="2" t="s">
        <v>260</v>
      </c>
      <c r="Q77" s="5">
        <v>1.0</v>
      </c>
      <c r="R77" s="5">
        <v>0.0</v>
      </c>
      <c r="S77" s="5">
        <v>0.0</v>
      </c>
      <c r="T77" s="5">
        <v>0.0</v>
      </c>
      <c r="U77" s="5">
        <v>0.0</v>
      </c>
      <c r="V77" s="5">
        <v>0.0</v>
      </c>
      <c r="W77" s="5">
        <v>0.0</v>
      </c>
      <c r="X77" s="5">
        <v>0.0</v>
      </c>
      <c r="Y77" s="5">
        <v>0.0</v>
      </c>
      <c r="Z77" s="5">
        <v>0.0</v>
      </c>
      <c r="AA77" s="5">
        <v>0.0</v>
      </c>
      <c r="AB77" s="5">
        <v>0.0</v>
      </c>
      <c r="AC77" s="5">
        <v>0.0</v>
      </c>
      <c r="AD77" s="1" t="s">
        <v>44</v>
      </c>
      <c r="AE77" s="2" t="s">
        <v>40</v>
      </c>
      <c r="AF77" s="2" t="s">
        <v>40</v>
      </c>
    </row>
    <row r="78">
      <c r="A78" s="4" t="s">
        <v>32</v>
      </c>
      <c r="B78" s="5">
        <v>4134.0</v>
      </c>
      <c r="C78" s="5">
        <v>2333610.0</v>
      </c>
      <c r="D78" s="5">
        <v>2339270.0</v>
      </c>
      <c r="E78" s="2" t="s">
        <v>248</v>
      </c>
      <c r="F78" s="2"/>
      <c r="G78" s="2"/>
      <c r="H78" s="2"/>
      <c r="I78" s="2"/>
      <c r="J78" s="2"/>
      <c r="K78" s="2"/>
      <c r="L78" s="2"/>
      <c r="M78" s="2" t="s">
        <v>261</v>
      </c>
      <c r="N78" s="2" t="s">
        <v>35</v>
      </c>
      <c r="O78" s="2" t="s">
        <v>262</v>
      </c>
      <c r="P78" s="2" t="s">
        <v>263</v>
      </c>
      <c r="Q78" s="5">
        <v>0.0</v>
      </c>
      <c r="R78" s="5">
        <v>0.0</v>
      </c>
      <c r="S78" s="5">
        <v>0.0</v>
      </c>
      <c r="T78" s="5">
        <v>0.0</v>
      </c>
      <c r="U78" s="5">
        <v>0.0</v>
      </c>
      <c r="V78" s="5">
        <v>0.0</v>
      </c>
      <c r="W78" s="5">
        <v>0.0</v>
      </c>
      <c r="X78" s="5">
        <v>1.0</v>
      </c>
      <c r="Y78" s="5">
        <v>0.0</v>
      </c>
      <c r="Z78" s="5">
        <v>0.0</v>
      </c>
      <c r="AA78" s="5">
        <v>0.0</v>
      </c>
      <c r="AB78" s="5">
        <v>0.0</v>
      </c>
      <c r="AC78" s="5">
        <v>0.0</v>
      </c>
      <c r="AD78" s="2" t="s">
        <v>38</v>
      </c>
      <c r="AE78" s="2" t="s">
        <v>39</v>
      </c>
      <c r="AF78" s="2" t="s">
        <v>40</v>
      </c>
    </row>
    <row r="79">
      <c r="A79" s="4" t="s">
        <v>32</v>
      </c>
      <c r="B79" s="5">
        <v>4235.0</v>
      </c>
      <c r="C79" s="5">
        <v>2657390.0</v>
      </c>
      <c r="D79" s="5">
        <v>2659770.0</v>
      </c>
      <c r="E79" s="2" t="s">
        <v>248</v>
      </c>
      <c r="F79" s="2"/>
      <c r="G79" s="2"/>
      <c r="H79" s="2"/>
      <c r="I79" s="2"/>
      <c r="J79" s="2"/>
      <c r="K79" s="2"/>
      <c r="L79" s="2"/>
      <c r="M79" s="2" t="s">
        <v>264</v>
      </c>
      <c r="N79" s="2" t="s">
        <v>35</v>
      </c>
      <c r="O79" s="2" t="s">
        <v>265</v>
      </c>
      <c r="P79" s="2" t="s">
        <v>266</v>
      </c>
      <c r="Q79" s="5">
        <v>0.0</v>
      </c>
      <c r="R79" s="5">
        <v>0.0</v>
      </c>
      <c r="S79" s="5">
        <v>0.0</v>
      </c>
      <c r="T79" s="5">
        <v>0.0</v>
      </c>
      <c r="U79" s="5">
        <v>0.0</v>
      </c>
      <c r="V79" s="5">
        <v>0.0</v>
      </c>
      <c r="W79" s="5">
        <v>0.0</v>
      </c>
      <c r="X79" s="5">
        <v>1.0</v>
      </c>
      <c r="Y79" s="5">
        <v>0.0</v>
      </c>
      <c r="Z79" s="5">
        <v>0.0</v>
      </c>
      <c r="AA79" s="5">
        <v>0.0</v>
      </c>
      <c r="AB79" s="5">
        <v>0.0</v>
      </c>
      <c r="AC79" s="5">
        <v>0.0</v>
      </c>
      <c r="AD79" s="2" t="s">
        <v>38</v>
      </c>
      <c r="AE79" s="2" t="s">
        <v>39</v>
      </c>
      <c r="AF79" s="2" t="s">
        <v>40</v>
      </c>
    </row>
    <row r="80">
      <c r="A80" s="4" t="s">
        <v>32</v>
      </c>
      <c r="B80" s="5">
        <v>4408.0</v>
      </c>
      <c r="C80" s="5">
        <v>3175420.0</v>
      </c>
      <c r="D80" s="5">
        <v>3184220.0</v>
      </c>
      <c r="E80" s="2" t="s">
        <v>248</v>
      </c>
      <c r="F80" s="2"/>
      <c r="G80" s="2"/>
      <c r="H80" s="2"/>
      <c r="I80" s="2"/>
      <c r="J80" s="2"/>
      <c r="K80" s="2"/>
      <c r="L80" s="2"/>
      <c r="M80" s="2" t="s">
        <v>267</v>
      </c>
      <c r="N80" s="2" t="s">
        <v>35</v>
      </c>
      <c r="O80" s="2" t="s">
        <v>268</v>
      </c>
      <c r="P80" s="2" t="s">
        <v>269</v>
      </c>
      <c r="Q80" s="5">
        <v>0.0</v>
      </c>
      <c r="R80" s="5">
        <v>0.0</v>
      </c>
      <c r="S80" s="5">
        <v>0.0</v>
      </c>
      <c r="T80" s="5">
        <v>0.0</v>
      </c>
      <c r="U80" s="5">
        <v>0.0</v>
      </c>
      <c r="V80" s="5">
        <v>0.0</v>
      </c>
      <c r="W80" s="5">
        <v>0.0</v>
      </c>
      <c r="X80" s="5">
        <v>0.0</v>
      </c>
      <c r="Y80" s="5">
        <v>1.0</v>
      </c>
      <c r="Z80" s="5">
        <v>0.0</v>
      </c>
      <c r="AA80" s="5">
        <v>0.0</v>
      </c>
      <c r="AB80" s="5">
        <v>0.0</v>
      </c>
      <c r="AC80" s="5">
        <v>0.0</v>
      </c>
      <c r="AD80" s="2" t="s">
        <v>92</v>
      </c>
      <c r="AE80" s="2" t="s">
        <v>39</v>
      </c>
      <c r="AF80" s="2" t="s">
        <v>40</v>
      </c>
    </row>
    <row r="81">
      <c r="A81" s="4" t="s">
        <v>32</v>
      </c>
      <c r="B81" s="5">
        <v>4410.0</v>
      </c>
      <c r="C81" s="5">
        <v>3185030.0</v>
      </c>
      <c r="D81" s="5">
        <v>3186490.0</v>
      </c>
      <c r="E81" s="2" t="s">
        <v>248</v>
      </c>
      <c r="F81" s="2"/>
      <c r="G81" s="2"/>
      <c r="H81" s="2"/>
      <c r="I81" s="2"/>
      <c r="J81" s="2"/>
      <c r="K81" s="2"/>
      <c r="L81" s="2"/>
      <c r="M81" s="2"/>
      <c r="N81" s="2" t="s">
        <v>45</v>
      </c>
      <c r="O81" s="2" t="s">
        <v>270</v>
      </c>
      <c r="P81" s="2" t="s">
        <v>271</v>
      </c>
      <c r="Q81" s="5">
        <v>0.0</v>
      </c>
      <c r="R81" s="5">
        <v>0.0</v>
      </c>
      <c r="S81" s="5">
        <v>1.0</v>
      </c>
      <c r="T81" s="5">
        <v>0.0</v>
      </c>
      <c r="U81" s="5">
        <v>0.0</v>
      </c>
      <c r="V81" s="5">
        <v>0.0</v>
      </c>
      <c r="W81" s="5">
        <v>0.0</v>
      </c>
      <c r="X81" s="5">
        <v>0.0</v>
      </c>
      <c r="Y81" s="5">
        <v>0.0</v>
      </c>
      <c r="Z81" s="5">
        <v>0.0</v>
      </c>
      <c r="AA81" s="5">
        <v>0.0</v>
      </c>
      <c r="AB81" s="5">
        <v>0.0</v>
      </c>
      <c r="AC81" s="5">
        <v>0.0</v>
      </c>
      <c r="AD81" s="2" t="s">
        <v>38</v>
      </c>
      <c r="AE81" s="2" t="s">
        <v>39</v>
      </c>
      <c r="AF81" s="2" t="s">
        <v>40</v>
      </c>
    </row>
    <row r="82">
      <c r="A82" s="4" t="s">
        <v>32</v>
      </c>
      <c r="B82" s="5">
        <v>4411.0</v>
      </c>
      <c r="C82" s="5">
        <v>3186850.0</v>
      </c>
      <c r="D82" s="5">
        <v>3190630.0</v>
      </c>
      <c r="E82" s="2" t="s">
        <v>248</v>
      </c>
      <c r="F82" s="2"/>
      <c r="G82" s="2"/>
      <c r="H82" s="2"/>
      <c r="I82" s="2"/>
      <c r="J82" s="2"/>
      <c r="K82" s="2"/>
      <c r="L82" s="2"/>
      <c r="M82" s="2" t="s">
        <v>272</v>
      </c>
      <c r="N82" s="2" t="s">
        <v>35</v>
      </c>
      <c r="O82" s="2" t="s">
        <v>273</v>
      </c>
      <c r="P82" s="2" t="s">
        <v>269</v>
      </c>
      <c r="Q82" s="5">
        <v>0.0</v>
      </c>
      <c r="R82" s="5">
        <v>0.0</v>
      </c>
      <c r="S82" s="5">
        <v>0.0</v>
      </c>
      <c r="T82" s="5">
        <v>0.0</v>
      </c>
      <c r="U82" s="5">
        <v>0.0</v>
      </c>
      <c r="V82" s="5">
        <v>0.0</v>
      </c>
      <c r="W82" s="5">
        <v>0.0</v>
      </c>
      <c r="X82" s="5">
        <v>0.0</v>
      </c>
      <c r="Y82" s="5">
        <v>1.0</v>
      </c>
      <c r="Z82" s="5">
        <v>0.0</v>
      </c>
      <c r="AA82" s="5">
        <v>0.0</v>
      </c>
      <c r="AB82" s="5">
        <v>0.0</v>
      </c>
      <c r="AC82" s="5">
        <v>0.0</v>
      </c>
      <c r="AD82" s="2" t="s">
        <v>92</v>
      </c>
      <c r="AE82" s="2" t="s">
        <v>39</v>
      </c>
      <c r="AF82" s="2" t="s">
        <v>40</v>
      </c>
    </row>
    <row r="83">
      <c r="A83" s="4" t="s">
        <v>32</v>
      </c>
      <c r="B83" s="5">
        <v>4461.0</v>
      </c>
      <c r="C83" s="5">
        <v>3375580.0</v>
      </c>
      <c r="D83" s="5">
        <v>3379690.0</v>
      </c>
      <c r="E83" s="2" t="s">
        <v>248</v>
      </c>
      <c r="F83" s="2"/>
      <c r="G83" s="2"/>
      <c r="H83" s="2"/>
      <c r="I83" s="2"/>
      <c r="J83" s="2"/>
      <c r="K83" s="2"/>
      <c r="L83" s="2"/>
      <c r="M83" s="2" t="s">
        <v>274</v>
      </c>
      <c r="N83" s="2" t="s">
        <v>35</v>
      </c>
      <c r="O83" s="2" t="s">
        <v>275</v>
      </c>
      <c r="P83" s="2" t="s">
        <v>276</v>
      </c>
      <c r="Q83" s="5">
        <v>0.0</v>
      </c>
      <c r="R83" s="5">
        <v>0.0</v>
      </c>
      <c r="S83" s="5">
        <v>0.0</v>
      </c>
      <c r="T83" s="5">
        <v>0.0</v>
      </c>
      <c r="U83" s="5">
        <v>0.0</v>
      </c>
      <c r="V83" s="5">
        <v>0.0</v>
      </c>
      <c r="W83" s="5">
        <v>0.0</v>
      </c>
      <c r="X83" s="5">
        <v>1.0</v>
      </c>
      <c r="Y83" s="5">
        <v>0.0</v>
      </c>
      <c r="Z83" s="5">
        <v>0.0</v>
      </c>
      <c r="AA83" s="5">
        <v>0.0</v>
      </c>
      <c r="AB83" s="5">
        <v>0.0</v>
      </c>
      <c r="AC83" s="5">
        <v>0.0</v>
      </c>
      <c r="AD83" s="2" t="s">
        <v>38</v>
      </c>
      <c r="AE83" s="2" t="s">
        <v>39</v>
      </c>
      <c r="AF83" s="2" t="s">
        <v>40</v>
      </c>
    </row>
    <row r="84">
      <c r="A84" s="4" t="s">
        <v>32</v>
      </c>
      <c r="B84" s="5">
        <v>4752.0</v>
      </c>
      <c r="C84" s="5">
        <v>4179470.0</v>
      </c>
      <c r="D84" s="5">
        <v>4183450.0</v>
      </c>
      <c r="E84" s="2" t="s">
        <v>248</v>
      </c>
      <c r="F84" s="2"/>
      <c r="G84" s="2"/>
      <c r="H84" s="2"/>
      <c r="I84" s="2"/>
      <c r="J84" s="2"/>
      <c r="K84" s="2"/>
      <c r="L84" s="2"/>
      <c r="M84" s="2" t="s">
        <v>277</v>
      </c>
      <c r="N84" s="2" t="s">
        <v>35</v>
      </c>
      <c r="O84" s="2" t="s">
        <v>278</v>
      </c>
      <c r="P84" s="2" t="s">
        <v>279</v>
      </c>
      <c r="Q84" s="5">
        <v>0.0</v>
      </c>
      <c r="R84" s="5">
        <v>0.0</v>
      </c>
      <c r="S84" s="5">
        <v>0.0</v>
      </c>
      <c r="T84" s="5">
        <v>0.0</v>
      </c>
      <c r="U84" s="5">
        <v>0.0</v>
      </c>
      <c r="V84" s="5">
        <v>0.0</v>
      </c>
      <c r="W84" s="5">
        <v>0.0</v>
      </c>
      <c r="X84" s="5">
        <v>1.0</v>
      </c>
      <c r="Y84" s="5">
        <v>0.0</v>
      </c>
      <c r="Z84" s="5">
        <v>0.0</v>
      </c>
      <c r="AA84" s="5">
        <v>0.0</v>
      </c>
      <c r="AB84" s="5">
        <v>0.0</v>
      </c>
      <c r="AC84" s="5">
        <v>0.0</v>
      </c>
      <c r="AD84" s="2" t="s">
        <v>38</v>
      </c>
      <c r="AE84" s="2" t="s">
        <v>39</v>
      </c>
      <c r="AF84" s="2" t="s">
        <v>40</v>
      </c>
    </row>
    <row r="85">
      <c r="A85" s="4" t="s">
        <v>32</v>
      </c>
      <c r="B85" s="5">
        <v>4902.0</v>
      </c>
      <c r="C85" s="5">
        <v>4570480.0</v>
      </c>
      <c r="D85" s="5">
        <v>4573260.0</v>
      </c>
      <c r="E85" s="2" t="s">
        <v>248</v>
      </c>
      <c r="F85" s="2"/>
      <c r="G85" s="2"/>
      <c r="H85" s="2"/>
      <c r="I85" s="2"/>
      <c r="J85" s="2"/>
      <c r="K85" s="2"/>
      <c r="L85" s="2"/>
      <c r="M85" s="2" t="s">
        <v>88</v>
      </c>
      <c r="N85" s="2" t="s">
        <v>35</v>
      </c>
      <c r="O85" s="2" t="s">
        <v>280</v>
      </c>
      <c r="P85" s="2" t="s">
        <v>281</v>
      </c>
      <c r="Q85" s="5">
        <v>0.0</v>
      </c>
      <c r="R85" s="5">
        <v>0.0</v>
      </c>
      <c r="S85" s="5">
        <v>0.0</v>
      </c>
      <c r="T85" s="5">
        <v>1.0</v>
      </c>
      <c r="U85" s="5">
        <v>0.0</v>
      </c>
      <c r="V85" s="5">
        <v>0.0</v>
      </c>
      <c r="W85" s="5">
        <v>0.0</v>
      </c>
      <c r="X85" s="5">
        <v>0.0</v>
      </c>
      <c r="Y85" s="5">
        <v>0.0</v>
      </c>
      <c r="Z85" s="5">
        <v>0.0</v>
      </c>
      <c r="AA85" s="5">
        <v>0.0</v>
      </c>
      <c r="AB85" s="5">
        <v>0.0</v>
      </c>
      <c r="AC85" s="5">
        <v>0.0</v>
      </c>
      <c r="AD85" s="2" t="s">
        <v>38</v>
      </c>
      <c r="AE85" s="2" t="s">
        <v>39</v>
      </c>
      <c r="AF85" s="2" t="s">
        <v>40</v>
      </c>
    </row>
    <row r="86">
      <c r="A86" s="4" t="s">
        <v>32</v>
      </c>
      <c r="B86" s="5">
        <v>4983.0</v>
      </c>
      <c r="C86" s="5">
        <v>4833000.0</v>
      </c>
      <c r="D86" s="5">
        <v>4838210.0</v>
      </c>
      <c r="E86" s="2" t="s">
        <v>248</v>
      </c>
      <c r="F86" s="2"/>
      <c r="G86" s="2"/>
      <c r="H86" s="2"/>
      <c r="I86" s="2"/>
      <c r="J86" s="2"/>
      <c r="K86" s="2"/>
      <c r="L86" s="2"/>
      <c r="M86" s="2" t="s">
        <v>282</v>
      </c>
      <c r="N86" s="2" t="s">
        <v>35</v>
      </c>
      <c r="O86" s="2" t="s">
        <v>283</v>
      </c>
      <c r="P86" s="2" t="s">
        <v>207</v>
      </c>
      <c r="Q86" s="5">
        <v>0.0</v>
      </c>
      <c r="R86" s="5">
        <v>0.0</v>
      </c>
      <c r="S86" s="5">
        <v>0.0</v>
      </c>
      <c r="T86" s="5">
        <v>0.0</v>
      </c>
      <c r="U86" s="5">
        <v>0.0</v>
      </c>
      <c r="V86" s="5">
        <v>0.0</v>
      </c>
      <c r="W86" s="5">
        <v>0.0</v>
      </c>
      <c r="X86" s="5">
        <v>0.0</v>
      </c>
      <c r="Y86" s="5">
        <v>0.0</v>
      </c>
      <c r="Z86" s="5">
        <v>1.0</v>
      </c>
      <c r="AA86" s="5">
        <v>0.0</v>
      </c>
      <c r="AB86" s="5">
        <v>0.0</v>
      </c>
      <c r="AC86" s="5">
        <v>0.0</v>
      </c>
      <c r="AD86" s="2" t="s">
        <v>38</v>
      </c>
      <c r="AE86" s="2" t="s">
        <v>39</v>
      </c>
      <c r="AF86" s="2" t="s">
        <v>40</v>
      </c>
    </row>
    <row r="87">
      <c r="A87" s="4" t="s">
        <v>32</v>
      </c>
      <c r="B87" s="5">
        <v>5157.0</v>
      </c>
      <c r="C87" s="5">
        <v>180799.0</v>
      </c>
      <c r="D87" s="5">
        <v>191649.0</v>
      </c>
      <c r="E87" s="2" t="s">
        <v>284</v>
      </c>
      <c r="F87" s="2"/>
      <c r="G87" s="2"/>
      <c r="H87" s="2"/>
      <c r="I87" s="2"/>
      <c r="J87" s="2"/>
      <c r="K87" s="2"/>
      <c r="L87" s="2"/>
      <c r="M87" s="2" t="s">
        <v>285</v>
      </c>
      <c r="N87" s="2" t="s">
        <v>35</v>
      </c>
      <c r="O87" s="2" t="s">
        <v>286</v>
      </c>
      <c r="P87" s="2" t="s">
        <v>186</v>
      </c>
      <c r="Q87" s="5">
        <v>1.0</v>
      </c>
      <c r="R87" s="5">
        <v>0.0</v>
      </c>
      <c r="S87" s="5">
        <v>0.0</v>
      </c>
      <c r="T87" s="5">
        <v>0.0</v>
      </c>
      <c r="U87" s="5">
        <v>0.0</v>
      </c>
      <c r="V87" s="5">
        <v>0.0</v>
      </c>
      <c r="W87" s="5">
        <v>0.0</v>
      </c>
      <c r="X87" s="5">
        <v>0.0</v>
      </c>
      <c r="Y87" s="5">
        <v>0.0</v>
      </c>
      <c r="Z87" s="5">
        <v>0.0</v>
      </c>
      <c r="AA87" s="5">
        <v>0.0</v>
      </c>
      <c r="AB87" s="5">
        <v>0.0</v>
      </c>
      <c r="AC87" s="5">
        <v>0.0</v>
      </c>
      <c r="AD87" s="2" t="s">
        <v>38</v>
      </c>
      <c r="AE87" s="2" t="s">
        <v>39</v>
      </c>
      <c r="AF87" s="2" t="s">
        <v>40</v>
      </c>
    </row>
    <row r="88">
      <c r="A88" s="4" t="s">
        <v>32</v>
      </c>
      <c r="B88" s="5">
        <v>5198.0</v>
      </c>
      <c r="C88" s="5">
        <v>1300600.0</v>
      </c>
      <c r="D88" s="5">
        <v>1309300.0</v>
      </c>
      <c r="E88" s="2" t="s">
        <v>284</v>
      </c>
      <c r="F88" s="2"/>
      <c r="G88" s="2"/>
      <c r="H88" s="2"/>
      <c r="I88" s="2"/>
      <c r="J88" s="2"/>
      <c r="K88" s="2"/>
      <c r="L88" s="2"/>
      <c r="M88" s="2" t="s">
        <v>287</v>
      </c>
      <c r="N88" s="2" t="s">
        <v>35</v>
      </c>
      <c r="O88" s="2" t="s">
        <v>288</v>
      </c>
      <c r="P88" s="2" t="s">
        <v>289</v>
      </c>
      <c r="Q88" s="5">
        <v>0.0</v>
      </c>
      <c r="R88" s="5">
        <v>0.0</v>
      </c>
      <c r="S88" s="5">
        <v>0.0</v>
      </c>
      <c r="T88" s="5">
        <v>0.0</v>
      </c>
      <c r="U88" s="5">
        <v>1.0</v>
      </c>
      <c r="V88" s="5">
        <v>0.0</v>
      </c>
      <c r="W88" s="5">
        <v>0.0</v>
      </c>
      <c r="X88" s="5">
        <v>0.0</v>
      </c>
      <c r="Y88" s="5">
        <v>0.0</v>
      </c>
      <c r="Z88" s="5">
        <v>0.0</v>
      </c>
      <c r="AA88" s="5">
        <v>0.0</v>
      </c>
      <c r="AB88" s="5">
        <v>0.0</v>
      </c>
      <c r="AC88" s="5">
        <v>0.0</v>
      </c>
      <c r="AD88" s="2" t="s">
        <v>38</v>
      </c>
      <c r="AE88" s="2" t="s">
        <v>39</v>
      </c>
      <c r="AF88" s="2" t="s">
        <v>40</v>
      </c>
    </row>
    <row r="89">
      <c r="A89" s="4" t="s">
        <v>32</v>
      </c>
      <c r="B89" s="5">
        <v>5209.0</v>
      </c>
      <c r="C89" s="5">
        <v>1593900.0</v>
      </c>
      <c r="D89" s="5">
        <v>1611500.0</v>
      </c>
      <c r="E89" s="2" t="s">
        <v>284</v>
      </c>
      <c r="F89" s="2"/>
      <c r="G89" s="2"/>
      <c r="H89" s="2"/>
      <c r="I89" s="2"/>
      <c r="J89" s="2"/>
      <c r="K89" s="2"/>
      <c r="L89" s="2"/>
      <c r="M89" s="2" t="s">
        <v>290</v>
      </c>
      <c r="N89" s="2" t="s">
        <v>35</v>
      </c>
      <c r="O89" s="2" t="s">
        <v>291</v>
      </c>
      <c r="P89" s="2" t="s">
        <v>191</v>
      </c>
      <c r="Q89" s="5">
        <v>1.0</v>
      </c>
      <c r="R89" s="5">
        <v>0.0</v>
      </c>
      <c r="S89" s="5">
        <v>0.0</v>
      </c>
      <c r="T89" s="5">
        <v>0.0</v>
      </c>
      <c r="U89" s="5">
        <v>0.0</v>
      </c>
      <c r="V89" s="5">
        <v>0.0</v>
      </c>
      <c r="W89" s="5">
        <v>0.0</v>
      </c>
      <c r="X89" s="5">
        <v>0.0</v>
      </c>
      <c r="Y89" s="5">
        <v>0.0</v>
      </c>
      <c r="Z89" s="5">
        <v>0.0</v>
      </c>
      <c r="AA89" s="5">
        <v>0.0</v>
      </c>
      <c r="AB89" s="5">
        <v>0.0</v>
      </c>
      <c r="AC89" s="5">
        <v>0.0</v>
      </c>
      <c r="AD89" s="2" t="s">
        <v>38</v>
      </c>
      <c r="AE89" s="2" t="s">
        <v>39</v>
      </c>
      <c r="AF89" s="2" t="s">
        <v>40</v>
      </c>
    </row>
    <row r="90">
      <c r="A90" s="4" t="s">
        <v>32</v>
      </c>
      <c r="B90" s="5">
        <v>5218.0</v>
      </c>
      <c r="C90" s="5">
        <v>1657639.0</v>
      </c>
      <c r="D90" s="5">
        <v>1659773.0</v>
      </c>
      <c r="E90" s="2" t="s">
        <v>284</v>
      </c>
      <c r="F90" s="2"/>
      <c r="G90" s="2"/>
      <c r="H90" s="2"/>
      <c r="I90" s="2"/>
      <c r="J90" s="2"/>
      <c r="K90" s="2"/>
      <c r="L90" s="2"/>
      <c r="M90" s="2" t="s">
        <v>292</v>
      </c>
      <c r="N90" s="2" t="s">
        <v>35</v>
      </c>
      <c r="O90" s="2" t="s">
        <v>293</v>
      </c>
      <c r="P90" s="2" t="s">
        <v>294</v>
      </c>
      <c r="Q90" s="5">
        <v>0.0</v>
      </c>
      <c r="R90" s="5">
        <v>0.0</v>
      </c>
      <c r="S90" s="5">
        <v>0.0</v>
      </c>
      <c r="T90" s="5">
        <v>0.0</v>
      </c>
      <c r="U90" s="6">
        <v>1.0</v>
      </c>
      <c r="V90" s="5">
        <v>0.0</v>
      </c>
      <c r="W90" s="6">
        <v>0.0</v>
      </c>
      <c r="X90" s="5">
        <v>0.0</v>
      </c>
      <c r="Y90" s="5">
        <v>0.0</v>
      </c>
      <c r="Z90" s="5">
        <v>0.0</v>
      </c>
      <c r="AA90" s="5">
        <v>0.0</v>
      </c>
      <c r="AB90" s="5">
        <v>0.0</v>
      </c>
      <c r="AC90" s="5">
        <v>0.0</v>
      </c>
      <c r="AD90" s="2" t="s">
        <v>38</v>
      </c>
      <c r="AE90" s="2" t="s">
        <v>39</v>
      </c>
      <c r="AF90" s="2" t="s">
        <v>40</v>
      </c>
    </row>
    <row r="91">
      <c r="A91" s="4" t="s">
        <v>32</v>
      </c>
      <c r="B91" s="5">
        <v>5260.0</v>
      </c>
      <c r="C91" s="5">
        <v>2498500.0</v>
      </c>
      <c r="D91" s="5">
        <v>2607700.0</v>
      </c>
      <c r="E91" s="2" t="s">
        <v>284</v>
      </c>
      <c r="F91" s="2"/>
      <c r="G91" s="2"/>
      <c r="H91" s="2"/>
      <c r="I91" s="2"/>
      <c r="J91" s="2"/>
      <c r="K91" s="2"/>
      <c r="L91" s="2"/>
      <c r="M91" s="2" t="s">
        <v>295</v>
      </c>
      <c r="N91" s="2" t="s">
        <v>35</v>
      </c>
      <c r="O91" s="2" t="s">
        <v>296</v>
      </c>
      <c r="P91" s="2" t="s">
        <v>297</v>
      </c>
      <c r="Q91" s="5">
        <v>1.0</v>
      </c>
      <c r="R91" s="5">
        <v>0.0</v>
      </c>
      <c r="S91" s="5">
        <v>0.0</v>
      </c>
      <c r="T91" s="5">
        <v>0.0</v>
      </c>
      <c r="U91" s="5">
        <v>0.0</v>
      </c>
      <c r="V91" s="5">
        <v>0.0</v>
      </c>
      <c r="W91" s="5">
        <v>0.0</v>
      </c>
      <c r="X91" s="5">
        <v>0.0</v>
      </c>
      <c r="Y91" s="5">
        <v>0.0</v>
      </c>
      <c r="Z91" s="5">
        <v>0.0</v>
      </c>
      <c r="AA91" s="5">
        <v>0.0</v>
      </c>
      <c r="AB91" s="5">
        <v>0.0</v>
      </c>
      <c r="AC91" s="5">
        <v>0.0</v>
      </c>
      <c r="AD91" s="2" t="s">
        <v>38</v>
      </c>
      <c r="AE91" s="2" t="s">
        <v>39</v>
      </c>
      <c r="AF91" s="2" t="s">
        <v>166</v>
      </c>
    </row>
    <row r="92">
      <c r="A92" s="4" t="s">
        <v>32</v>
      </c>
      <c r="B92" s="5">
        <v>5271.0</v>
      </c>
      <c r="C92" s="5">
        <v>3091200.0</v>
      </c>
      <c r="D92" s="5">
        <v>3164300.0</v>
      </c>
      <c r="E92" s="2" t="s">
        <v>284</v>
      </c>
      <c r="F92" s="2"/>
      <c r="G92" s="2"/>
      <c r="H92" s="2"/>
      <c r="I92" s="2"/>
      <c r="J92" s="2"/>
      <c r="K92" s="2"/>
      <c r="L92" s="2"/>
      <c r="M92" s="2" t="s">
        <v>298</v>
      </c>
      <c r="N92" s="2" t="s">
        <v>35</v>
      </c>
      <c r="O92" s="2" t="s">
        <v>299</v>
      </c>
      <c r="P92" s="2" t="s">
        <v>300</v>
      </c>
      <c r="Q92" s="5">
        <v>0.0</v>
      </c>
      <c r="R92" s="5">
        <v>0.0</v>
      </c>
      <c r="S92" s="5">
        <v>0.0</v>
      </c>
      <c r="T92" s="5">
        <v>0.0</v>
      </c>
      <c r="U92" s="5">
        <v>0.0</v>
      </c>
      <c r="V92" s="5">
        <v>0.0</v>
      </c>
      <c r="W92" s="5">
        <v>0.0</v>
      </c>
      <c r="X92" s="5">
        <v>1.0</v>
      </c>
      <c r="Y92" s="5">
        <v>0.0</v>
      </c>
      <c r="Z92" s="5">
        <v>0.0</v>
      </c>
      <c r="AA92" s="5">
        <v>0.0</v>
      </c>
      <c r="AB92" s="5">
        <v>0.0</v>
      </c>
      <c r="AC92" s="5">
        <v>0.0</v>
      </c>
      <c r="AD92" s="2" t="s">
        <v>38</v>
      </c>
      <c r="AE92" s="2" t="s">
        <v>39</v>
      </c>
      <c r="AF92" s="2" t="s">
        <v>40</v>
      </c>
    </row>
    <row r="93">
      <c r="A93" s="4" t="s">
        <v>32</v>
      </c>
      <c r="B93" s="5">
        <v>5311.0</v>
      </c>
      <c r="C93" s="5">
        <v>4342000.0</v>
      </c>
      <c r="D93" s="5">
        <v>4367000.0</v>
      </c>
      <c r="E93" s="2" t="s">
        <v>284</v>
      </c>
      <c r="F93" s="2"/>
      <c r="G93" s="2"/>
      <c r="H93" s="2"/>
      <c r="I93" s="2"/>
      <c r="J93" s="2"/>
      <c r="K93" s="2"/>
      <c r="L93" s="2"/>
      <c r="M93" s="2" t="s">
        <v>301</v>
      </c>
      <c r="N93" s="2" t="s">
        <v>35</v>
      </c>
      <c r="O93" s="2" t="s">
        <v>302</v>
      </c>
      <c r="P93" s="2" t="s">
        <v>303</v>
      </c>
      <c r="Q93" s="5">
        <v>0.0</v>
      </c>
      <c r="R93" s="5">
        <v>0.0</v>
      </c>
      <c r="S93" s="5">
        <v>0.0</v>
      </c>
      <c r="T93" s="5">
        <v>0.0</v>
      </c>
      <c r="U93" s="5">
        <v>0.0</v>
      </c>
      <c r="V93" s="5">
        <v>0.0</v>
      </c>
      <c r="W93" s="5">
        <v>0.0</v>
      </c>
      <c r="X93" s="5">
        <v>0.0</v>
      </c>
      <c r="Y93" s="5">
        <v>1.0</v>
      </c>
      <c r="Z93" s="5">
        <v>0.0</v>
      </c>
      <c r="AA93" s="5">
        <v>0.0</v>
      </c>
      <c r="AB93" s="5">
        <v>0.0</v>
      </c>
      <c r="AC93" s="5">
        <v>0.0</v>
      </c>
      <c r="AD93" s="2" t="s">
        <v>92</v>
      </c>
      <c r="AE93" s="2" t="s">
        <v>39</v>
      </c>
      <c r="AF93" s="2" t="s">
        <v>40</v>
      </c>
    </row>
    <row r="94">
      <c r="A94" s="4" t="s">
        <v>32</v>
      </c>
      <c r="B94" s="5">
        <v>5347.0</v>
      </c>
      <c r="C94" s="5">
        <v>164260.0</v>
      </c>
      <c r="D94" s="5">
        <v>169000.0</v>
      </c>
      <c r="E94" s="2" t="s">
        <v>304</v>
      </c>
      <c r="F94" s="2"/>
      <c r="G94" s="2" t="s">
        <v>305</v>
      </c>
      <c r="H94" s="2"/>
      <c r="I94" s="5">
        <v>1934.0</v>
      </c>
      <c r="J94" s="2" t="s">
        <v>63</v>
      </c>
      <c r="K94" s="2" t="s">
        <v>306</v>
      </c>
      <c r="L94" s="2" t="s">
        <v>65</v>
      </c>
      <c r="M94" s="2" t="s">
        <v>307</v>
      </c>
      <c r="N94" s="2" t="s">
        <v>45</v>
      </c>
      <c r="O94" s="2" t="s">
        <v>308</v>
      </c>
      <c r="P94" s="2" t="s">
        <v>81</v>
      </c>
      <c r="Q94" s="5">
        <v>1.0</v>
      </c>
      <c r="R94" s="5">
        <v>0.0</v>
      </c>
      <c r="S94" s="5">
        <v>0.0</v>
      </c>
      <c r="T94" s="5">
        <v>0.0</v>
      </c>
      <c r="U94" s="5">
        <v>0.0</v>
      </c>
      <c r="V94" s="5">
        <v>0.0</v>
      </c>
      <c r="W94" s="5">
        <v>0.0</v>
      </c>
      <c r="X94" s="5">
        <v>0.0</v>
      </c>
      <c r="Y94" s="5">
        <v>0.0</v>
      </c>
      <c r="Z94" s="5">
        <v>0.0</v>
      </c>
      <c r="AA94" s="5">
        <v>0.0</v>
      </c>
      <c r="AB94" s="5">
        <v>0.0</v>
      </c>
      <c r="AC94" s="5">
        <v>0.0</v>
      </c>
      <c r="AD94" s="2" t="s">
        <v>38</v>
      </c>
      <c r="AE94" s="2" t="s">
        <v>39</v>
      </c>
      <c r="AF94" s="2" t="s">
        <v>40</v>
      </c>
    </row>
    <row r="95">
      <c r="A95" s="4" t="s">
        <v>32</v>
      </c>
      <c r="B95" s="5">
        <v>5387.0</v>
      </c>
      <c r="C95" s="5">
        <v>704120.0</v>
      </c>
      <c r="D95" s="5">
        <v>786800.0</v>
      </c>
      <c r="E95" s="2" t="s">
        <v>304</v>
      </c>
      <c r="F95" s="2"/>
      <c r="G95" s="2" t="s">
        <v>305</v>
      </c>
      <c r="H95" s="2"/>
      <c r="I95" s="5">
        <v>1934.0</v>
      </c>
      <c r="J95" s="2" t="s">
        <v>63</v>
      </c>
      <c r="K95" s="2" t="s">
        <v>306</v>
      </c>
      <c r="L95" s="2" t="s">
        <v>65</v>
      </c>
      <c r="M95" s="2" t="s">
        <v>309</v>
      </c>
      <c r="N95" s="2" t="s">
        <v>35</v>
      </c>
      <c r="O95" s="2" t="s">
        <v>310</v>
      </c>
      <c r="P95" s="2" t="s">
        <v>306</v>
      </c>
      <c r="Q95" s="5">
        <v>1.0</v>
      </c>
      <c r="R95" s="5">
        <v>0.0</v>
      </c>
      <c r="S95" s="5">
        <v>0.0</v>
      </c>
      <c r="T95" s="5">
        <v>0.0</v>
      </c>
      <c r="U95" s="5">
        <v>0.0</v>
      </c>
      <c r="V95" s="5">
        <v>0.0</v>
      </c>
      <c r="W95" s="5">
        <v>0.0</v>
      </c>
      <c r="X95" s="5">
        <v>0.0</v>
      </c>
      <c r="Y95" s="5">
        <v>0.0</v>
      </c>
      <c r="Z95" s="5">
        <v>0.0</v>
      </c>
      <c r="AA95" s="5">
        <v>0.0</v>
      </c>
      <c r="AB95" s="5">
        <v>0.0</v>
      </c>
      <c r="AC95" s="5">
        <v>0.0</v>
      </c>
      <c r="AD95" s="2" t="s">
        <v>38</v>
      </c>
      <c r="AE95" s="2" t="s">
        <v>39</v>
      </c>
      <c r="AF95" s="2" t="s">
        <v>40</v>
      </c>
    </row>
    <row r="96">
      <c r="A96" s="4" t="s">
        <v>32</v>
      </c>
      <c r="B96" s="5">
        <v>5408.0</v>
      </c>
      <c r="C96" s="5">
        <v>1186732.0</v>
      </c>
      <c r="D96" s="5">
        <v>1196165.0</v>
      </c>
      <c r="E96" s="2" t="s">
        <v>304</v>
      </c>
      <c r="F96" s="2"/>
      <c r="G96" s="2" t="s">
        <v>305</v>
      </c>
      <c r="H96" s="2"/>
      <c r="I96" s="5">
        <v>1934.0</v>
      </c>
      <c r="J96" s="2" t="s">
        <v>63</v>
      </c>
      <c r="K96" s="2" t="s">
        <v>306</v>
      </c>
      <c r="L96" s="2" t="s">
        <v>65</v>
      </c>
      <c r="M96" s="2" t="s">
        <v>311</v>
      </c>
      <c r="N96" s="2" t="s">
        <v>35</v>
      </c>
      <c r="O96" s="2" t="s">
        <v>312</v>
      </c>
      <c r="P96" s="2" t="s">
        <v>99</v>
      </c>
      <c r="Q96" s="5">
        <v>0.0</v>
      </c>
      <c r="R96" s="5">
        <v>1.0</v>
      </c>
      <c r="S96" s="5">
        <v>0.0</v>
      </c>
      <c r="T96" s="5">
        <v>0.0</v>
      </c>
      <c r="U96" s="5">
        <v>0.0</v>
      </c>
      <c r="V96" s="5">
        <v>0.0</v>
      </c>
      <c r="W96" s="5">
        <v>0.0</v>
      </c>
      <c r="X96" s="5">
        <v>0.0</v>
      </c>
      <c r="Y96" s="5">
        <v>0.0</v>
      </c>
      <c r="Z96" s="5">
        <v>0.0</v>
      </c>
      <c r="AA96" s="5">
        <v>0.0</v>
      </c>
      <c r="AB96" s="5">
        <v>0.0</v>
      </c>
      <c r="AC96" s="5">
        <v>0.0</v>
      </c>
      <c r="AD96" s="2" t="s">
        <v>38</v>
      </c>
      <c r="AE96" s="2" t="s">
        <v>39</v>
      </c>
      <c r="AF96" s="2" t="s">
        <v>40</v>
      </c>
    </row>
    <row r="97">
      <c r="A97" s="4" t="s">
        <v>32</v>
      </c>
      <c r="B97" s="5">
        <v>5631.0</v>
      </c>
      <c r="C97" s="5">
        <v>2644240.0</v>
      </c>
      <c r="D97" s="5">
        <v>2652080.0</v>
      </c>
      <c r="E97" s="2" t="s">
        <v>304</v>
      </c>
      <c r="F97" s="2"/>
      <c r="G97" s="2" t="s">
        <v>305</v>
      </c>
      <c r="H97" s="2"/>
      <c r="I97" s="5">
        <v>1934.0</v>
      </c>
      <c r="J97" s="2" t="s">
        <v>63</v>
      </c>
      <c r="K97" s="2" t="s">
        <v>306</v>
      </c>
      <c r="L97" s="2" t="s">
        <v>65</v>
      </c>
      <c r="M97" s="2" t="s">
        <v>313</v>
      </c>
      <c r="N97" s="2" t="s">
        <v>35</v>
      </c>
      <c r="O97" s="2" t="s">
        <v>314</v>
      </c>
      <c r="P97" s="2" t="s">
        <v>289</v>
      </c>
      <c r="Q97" s="5">
        <v>0.0</v>
      </c>
      <c r="R97" s="5">
        <v>0.0</v>
      </c>
      <c r="S97" s="5">
        <v>0.0</v>
      </c>
      <c r="T97" s="5">
        <v>0.0</v>
      </c>
      <c r="U97" s="6">
        <v>1.0</v>
      </c>
      <c r="V97" s="5">
        <v>0.0</v>
      </c>
      <c r="W97" s="6">
        <v>0.0</v>
      </c>
      <c r="X97" s="5">
        <v>0.0</v>
      </c>
      <c r="Y97" s="5">
        <v>0.0</v>
      </c>
      <c r="Z97" s="5">
        <v>0.0</v>
      </c>
      <c r="AA97" s="5">
        <v>0.0</v>
      </c>
      <c r="AB97" s="5">
        <v>0.0</v>
      </c>
      <c r="AC97" s="5">
        <v>0.0</v>
      </c>
      <c r="AD97" s="2" t="s">
        <v>38</v>
      </c>
      <c r="AE97" s="2" t="s">
        <v>39</v>
      </c>
      <c r="AF97" s="2" t="s">
        <v>40</v>
      </c>
    </row>
    <row r="98">
      <c r="A98" s="4" t="s">
        <v>32</v>
      </c>
      <c r="B98" s="5">
        <v>5633.0</v>
      </c>
      <c r="C98" s="5">
        <v>2657880.0</v>
      </c>
      <c r="D98" s="5">
        <v>2660900.0</v>
      </c>
      <c r="E98" s="2" t="s">
        <v>304</v>
      </c>
      <c r="F98" s="2"/>
      <c r="G98" s="2" t="s">
        <v>305</v>
      </c>
      <c r="H98" s="2"/>
      <c r="I98" s="5">
        <v>1934.0</v>
      </c>
      <c r="J98" s="2" t="s">
        <v>63</v>
      </c>
      <c r="K98" s="2" t="s">
        <v>306</v>
      </c>
      <c r="L98" s="2" t="s">
        <v>65</v>
      </c>
      <c r="M98" s="2" t="s">
        <v>315</v>
      </c>
      <c r="N98" s="2" t="s">
        <v>35</v>
      </c>
      <c r="O98" s="2" t="s">
        <v>316</v>
      </c>
      <c r="P98" s="2" t="s">
        <v>289</v>
      </c>
      <c r="Q98" s="5">
        <v>0.0</v>
      </c>
      <c r="R98" s="5">
        <v>0.0</v>
      </c>
      <c r="S98" s="5">
        <v>0.0</v>
      </c>
      <c r="T98" s="5">
        <v>0.0</v>
      </c>
      <c r="U98" s="6">
        <v>1.0</v>
      </c>
      <c r="V98" s="5">
        <v>0.0</v>
      </c>
      <c r="W98" s="6">
        <v>0.0</v>
      </c>
      <c r="X98" s="5">
        <v>0.0</v>
      </c>
      <c r="Y98" s="5">
        <v>0.0</v>
      </c>
      <c r="Z98" s="5">
        <v>0.0</v>
      </c>
      <c r="AA98" s="5">
        <v>0.0</v>
      </c>
      <c r="AB98" s="5">
        <v>0.0</v>
      </c>
      <c r="AC98" s="5">
        <v>0.0</v>
      </c>
      <c r="AD98" s="2" t="s">
        <v>38</v>
      </c>
      <c r="AE98" s="2" t="s">
        <v>39</v>
      </c>
      <c r="AF98" s="2" t="s">
        <v>40</v>
      </c>
    </row>
    <row r="99">
      <c r="A99" s="4" t="s">
        <v>32</v>
      </c>
      <c r="B99" s="5">
        <v>5700.0</v>
      </c>
      <c r="C99" s="5">
        <v>2965220.0</v>
      </c>
      <c r="D99" s="5">
        <v>2966460.0</v>
      </c>
      <c r="E99" s="2" t="s">
        <v>304</v>
      </c>
      <c r="F99" s="2"/>
      <c r="G99" s="2" t="s">
        <v>305</v>
      </c>
      <c r="H99" s="2"/>
      <c r="I99" s="5">
        <v>1934.0</v>
      </c>
      <c r="J99" s="2" t="s">
        <v>63</v>
      </c>
      <c r="K99" s="2" t="s">
        <v>306</v>
      </c>
      <c r="L99" s="2" t="s">
        <v>65</v>
      </c>
      <c r="M99" s="2" t="s">
        <v>317</v>
      </c>
      <c r="N99" s="2" t="s">
        <v>35</v>
      </c>
      <c r="O99" s="2" t="s">
        <v>318</v>
      </c>
      <c r="P99" s="2" t="s">
        <v>319</v>
      </c>
      <c r="Q99" s="5">
        <v>1.0</v>
      </c>
      <c r="R99" s="5">
        <v>0.0</v>
      </c>
      <c r="S99" s="5">
        <v>0.0</v>
      </c>
      <c r="T99" s="5">
        <v>0.0</v>
      </c>
      <c r="U99" s="5">
        <v>0.0</v>
      </c>
      <c r="V99" s="5">
        <v>0.0</v>
      </c>
      <c r="W99" s="5">
        <v>0.0</v>
      </c>
      <c r="X99" s="5">
        <v>0.0</v>
      </c>
      <c r="Y99" s="5">
        <v>0.0</v>
      </c>
      <c r="Z99" s="5">
        <v>0.0</v>
      </c>
      <c r="AA99" s="5">
        <v>0.0</v>
      </c>
      <c r="AB99" s="5">
        <v>0.0</v>
      </c>
      <c r="AC99" s="5">
        <v>0.0</v>
      </c>
      <c r="AD99" s="2" t="s">
        <v>38</v>
      </c>
      <c r="AE99" s="2" t="s">
        <v>39</v>
      </c>
      <c r="AF99" s="2" t="s">
        <v>40</v>
      </c>
    </row>
    <row r="100">
      <c r="A100" s="4" t="s">
        <v>32</v>
      </c>
      <c r="B100" s="5">
        <v>4408.0</v>
      </c>
      <c r="C100" s="5">
        <v>3175420.0</v>
      </c>
      <c r="D100" s="5">
        <v>3184220.0</v>
      </c>
      <c r="E100" s="2" t="s">
        <v>248</v>
      </c>
      <c r="F100" s="2"/>
      <c r="G100" s="2"/>
      <c r="H100" s="2"/>
      <c r="I100" s="2"/>
      <c r="J100" s="2"/>
      <c r="K100" s="2"/>
      <c r="L100" s="2"/>
      <c r="M100" s="2" t="s">
        <v>320</v>
      </c>
      <c r="N100" s="2" t="s">
        <v>35</v>
      </c>
      <c r="O100" s="2" t="s">
        <v>321</v>
      </c>
      <c r="P100" s="2" t="s">
        <v>269</v>
      </c>
      <c r="Q100" s="5">
        <v>0.0</v>
      </c>
      <c r="R100" s="5">
        <v>0.0</v>
      </c>
      <c r="S100" s="5">
        <v>0.0</v>
      </c>
      <c r="T100" s="5">
        <v>0.0</v>
      </c>
      <c r="U100" s="5">
        <v>0.0</v>
      </c>
      <c r="V100" s="5">
        <v>0.0</v>
      </c>
      <c r="W100" s="5">
        <v>0.0</v>
      </c>
      <c r="X100" s="5">
        <v>0.0</v>
      </c>
      <c r="Y100" s="5">
        <v>1.0</v>
      </c>
      <c r="Z100" s="5">
        <v>0.0</v>
      </c>
      <c r="AA100" s="5">
        <v>0.0</v>
      </c>
      <c r="AB100" s="5">
        <v>0.0</v>
      </c>
      <c r="AC100" s="5">
        <v>0.0</v>
      </c>
      <c r="AD100" s="2" t="s">
        <v>92</v>
      </c>
      <c r="AE100" s="2" t="s">
        <v>39</v>
      </c>
      <c r="AF100" s="2" t="s">
        <v>40</v>
      </c>
    </row>
    <row r="101">
      <c r="A101" s="4" t="s">
        <v>32</v>
      </c>
      <c r="B101" s="5">
        <v>5294.0</v>
      </c>
      <c r="C101" s="5">
        <v>3765200.0</v>
      </c>
      <c r="D101" s="5">
        <v>3767240.0</v>
      </c>
      <c r="E101" s="2" t="s">
        <v>284</v>
      </c>
      <c r="F101" s="2"/>
      <c r="G101" s="2"/>
      <c r="H101" s="2"/>
      <c r="I101" s="2"/>
      <c r="J101" s="2"/>
      <c r="K101" s="2"/>
      <c r="L101" s="2"/>
      <c r="M101" s="2" t="s">
        <v>322</v>
      </c>
      <c r="N101" s="2" t="s">
        <v>35</v>
      </c>
      <c r="O101" s="2" t="s">
        <v>323</v>
      </c>
      <c r="P101" s="2" t="s">
        <v>324</v>
      </c>
      <c r="Q101" s="5">
        <v>0.0</v>
      </c>
      <c r="R101" s="5">
        <v>0.0</v>
      </c>
      <c r="S101" s="5">
        <v>0.0</v>
      </c>
      <c r="T101" s="5">
        <v>0.0</v>
      </c>
      <c r="U101" s="5">
        <v>0.0</v>
      </c>
      <c r="V101" s="6">
        <v>1.0</v>
      </c>
      <c r="W101" s="6">
        <v>0.0</v>
      </c>
      <c r="X101" s="5">
        <v>0.0</v>
      </c>
      <c r="Y101" s="5">
        <v>0.0</v>
      </c>
      <c r="Z101" s="5">
        <v>0.0</v>
      </c>
      <c r="AA101" s="5">
        <v>0.0</v>
      </c>
      <c r="AB101" s="5">
        <v>0.0</v>
      </c>
      <c r="AC101" s="5">
        <v>0.0</v>
      </c>
      <c r="AD101" s="2" t="s">
        <v>38</v>
      </c>
      <c r="AE101" s="2" t="s">
        <v>39</v>
      </c>
      <c r="AF101" s="2" t="s">
        <v>40</v>
      </c>
    </row>
    <row r="102">
      <c r="A102" s="4" t="s">
        <v>32</v>
      </c>
      <c r="B102" s="5">
        <v>5295.0</v>
      </c>
      <c r="C102" s="5">
        <v>3767240.0</v>
      </c>
      <c r="D102" s="5">
        <v>3812000.0</v>
      </c>
      <c r="E102" s="2" t="s">
        <v>284</v>
      </c>
      <c r="F102" s="2"/>
      <c r="G102" s="2"/>
      <c r="H102" s="2"/>
      <c r="I102" s="2"/>
      <c r="J102" s="2"/>
      <c r="K102" s="2"/>
      <c r="L102" s="2"/>
      <c r="M102" s="2"/>
      <c r="N102" s="2" t="s">
        <v>35</v>
      </c>
      <c r="O102" s="2" t="s">
        <v>325</v>
      </c>
      <c r="P102" s="2" t="s">
        <v>324</v>
      </c>
      <c r="Q102" s="5">
        <v>0.0</v>
      </c>
      <c r="R102" s="5">
        <v>0.0</v>
      </c>
      <c r="S102" s="5">
        <v>0.0</v>
      </c>
      <c r="T102" s="5">
        <v>0.0</v>
      </c>
      <c r="U102" s="5">
        <v>0.0</v>
      </c>
      <c r="V102" s="6">
        <v>1.0</v>
      </c>
      <c r="W102" s="6">
        <v>0.0</v>
      </c>
      <c r="X102" s="5">
        <v>0.0</v>
      </c>
      <c r="Y102" s="5">
        <v>0.0</v>
      </c>
      <c r="Z102" s="5">
        <v>0.0</v>
      </c>
      <c r="AA102" s="5">
        <v>0.0</v>
      </c>
      <c r="AB102" s="5">
        <v>0.0</v>
      </c>
      <c r="AC102" s="5">
        <v>0.0</v>
      </c>
      <c r="AD102" s="2" t="s">
        <v>38</v>
      </c>
      <c r="AE102" s="2" t="s">
        <v>39</v>
      </c>
      <c r="AF102" s="2" t="s">
        <v>40</v>
      </c>
    </row>
    <row r="103">
      <c r="A103" s="4" t="s">
        <v>32</v>
      </c>
      <c r="B103" s="5">
        <v>5307.0</v>
      </c>
      <c r="C103" s="5">
        <v>4186800.0</v>
      </c>
      <c r="D103" s="5">
        <v>4277560.0</v>
      </c>
      <c r="E103" s="2" t="s">
        <v>284</v>
      </c>
      <c r="F103" s="2"/>
      <c r="G103" s="2"/>
      <c r="H103" s="2"/>
      <c r="I103" s="2"/>
      <c r="J103" s="2"/>
      <c r="K103" s="2"/>
      <c r="L103" s="2"/>
      <c r="M103" s="2" t="s">
        <v>326</v>
      </c>
      <c r="N103" s="2" t="s">
        <v>35</v>
      </c>
      <c r="O103" s="2" t="s">
        <v>327</v>
      </c>
      <c r="P103" s="2" t="s">
        <v>328</v>
      </c>
      <c r="Q103" s="5">
        <v>0.0</v>
      </c>
      <c r="R103" s="5">
        <v>0.0</v>
      </c>
      <c r="S103" s="5">
        <v>0.0</v>
      </c>
      <c r="T103" s="5">
        <v>0.0</v>
      </c>
      <c r="U103" s="5">
        <v>0.0</v>
      </c>
      <c r="V103" s="5">
        <v>0.0</v>
      </c>
      <c r="W103" s="5">
        <v>0.0</v>
      </c>
      <c r="X103" s="5">
        <v>0.0</v>
      </c>
      <c r="Y103" s="5">
        <v>1.0</v>
      </c>
      <c r="Z103" s="5">
        <v>0.0</v>
      </c>
      <c r="AA103" s="5">
        <v>0.0</v>
      </c>
      <c r="AB103" s="5">
        <v>0.0</v>
      </c>
      <c r="AC103" s="5">
        <v>0.0</v>
      </c>
      <c r="AD103" s="2" t="s">
        <v>92</v>
      </c>
      <c r="AE103" s="2" t="s">
        <v>39</v>
      </c>
      <c r="AF103" s="2" t="s">
        <v>40</v>
      </c>
    </row>
    <row r="104">
      <c r="A104" s="4" t="s">
        <v>32</v>
      </c>
      <c r="B104" s="5">
        <v>5310.0</v>
      </c>
      <c r="C104" s="5">
        <v>4338600.0</v>
      </c>
      <c r="D104" s="5">
        <v>4340440.0</v>
      </c>
      <c r="E104" s="2" t="s">
        <v>284</v>
      </c>
      <c r="F104" s="2"/>
      <c r="G104" s="2"/>
      <c r="H104" s="2"/>
      <c r="I104" s="2"/>
      <c r="J104" s="2"/>
      <c r="K104" s="2"/>
      <c r="L104" s="2"/>
      <c r="M104" s="2"/>
      <c r="N104" s="2" t="s">
        <v>35</v>
      </c>
      <c r="O104" s="2" t="s">
        <v>329</v>
      </c>
      <c r="P104" s="2" t="s">
        <v>330</v>
      </c>
      <c r="Q104" s="5">
        <v>0.0</v>
      </c>
      <c r="R104" s="5">
        <v>0.0</v>
      </c>
      <c r="S104" s="5">
        <v>0.0</v>
      </c>
      <c r="T104" s="5">
        <v>0.0</v>
      </c>
      <c r="U104" s="5">
        <v>0.0</v>
      </c>
      <c r="V104" s="5">
        <v>0.0</v>
      </c>
      <c r="W104" s="5">
        <v>0.0</v>
      </c>
      <c r="X104" s="5">
        <v>0.0</v>
      </c>
      <c r="Y104" s="5">
        <v>1.0</v>
      </c>
      <c r="Z104" s="5">
        <v>0.0</v>
      </c>
      <c r="AA104" s="5">
        <v>0.0</v>
      </c>
      <c r="AB104" s="5">
        <v>0.0</v>
      </c>
      <c r="AC104" s="5">
        <v>0.0</v>
      </c>
      <c r="AD104" s="2" t="s">
        <v>92</v>
      </c>
      <c r="AE104" s="2" t="s">
        <v>39</v>
      </c>
      <c r="AF104" s="2" t="s">
        <v>40</v>
      </c>
    </row>
    <row r="105">
      <c r="A105" s="4" t="s">
        <v>32</v>
      </c>
      <c r="B105" s="5">
        <v>384.0</v>
      </c>
      <c r="C105" s="5">
        <v>858525.0</v>
      </c>
      <c r="D105" s="5">
        <v>868587.0</v>
      </c>
      <c r="E105" s="2" t="s">
        <v>61</v>
      </c>
      <c r="F105" s="2"/>
      <c r="G105" s="2" t="s">
        <v>62</v>
      </c>
      <c r="H105" s="2"/>
      <c r="I105" s="5">
        <v>1937.0</v>
      </c>
      <c r="J105" s="2" t="s">
        <v>63</v>
      </c>
      <c r="K105" s="2" t="s">
        <v>64</v>
      </c>
      <c r="L105" s="2" t="s">
        <v>65</v>
      </c>
      <c r="M105" s="2" t="s">
        <v>331</v>
      </c>
      <c r="N105" s="2" t="s">
        <v>89</v>
      </c>
      <c r="O105" s="2" t="s">
        <v>332</v>
      </c>
      <c r="P105" s="2"/>
      <c r="Q105" s="5">
        <v>1.0</v>
      </c>
      <c r="R105" s="5">
        <v>0.0</v>
      </c>
      <c r="S105" s="5">
        <v>0.0</v>
      </c>
      <c r="T105" s="5">
        <v>0.0</v>
      </c>
      <c r="U105" s="5">
        <v>0.0</v>
      </c>
      <c r="V105" s="5">
        <v>0.0</v>
      </c>
      <c r="W105" s="5">
        <v>0.0</v>
      </c>
      <c r="X105" s="5">
        <v>0.0</v>
      </c>
      <c r="Y105" s="5">
        <v>0.0</v>
      </c>
      <c r="Z105" s="5">
        <v>0.0</v>
      </c>
      <c r="AA105" s="5">
        <v>0.0</v>
      </c>
      <c r="AB105" s="5">
        <v>0.0</v>
      </c>
      <c r="AC105" s="5">
        <v>0.0</v>
      </c>
      <c r="AD105" s="2" t="s">
        <v>38</v>
      </c>
      <c r="AE105" s="2" t="s">
        <v>39</v>
      </c>
      <c r="AF105" s="2" t="s">
        <v>40</v>
      </c>
    </row>
    <row r="106">
      <c r="A106" s="4" t="s">
        <v>32</v>
      </c>
      <c r="B106" s="5">
        <v>715.0</v>
      </c>
      <c r="C106" s="5">
        <v>2682340.0</v>
      </c>
      <c r="D106" s="5">
        <v>2685260.0</v>
      </c>
      <c r="E106" s="2" t="s">
        <v>61</v>
      </c>
      <c r="F106" s="2"/>
      <c r="G106" s="2" t="s">
        <v>62</v>
      </c>
      <c r="H106" s="2"/>
      <c r="I106" s="5">
        <v>1937.0</v>
      </c>
      <c r="J106" s="2" t="s">
        <v>63</v>
      </c>
      <c r="K106" s="2" t="s">
        <v>64</v>
      </c>
      <c r="L106" s="2" t="s">
        <v>65</v>
      </c>
      <c r="M106" s="2"/>
      <c r="N106" s="2" t="s">
        <v>333</v>
      </c>
      <c r="O106" s="2" t="s">
        <v>334</v>
      </c>
      <c r="P106" s="2"/>
      <c r="Q106" s="5">
        <v>0.0</v>
      </c>
      <c r="R106" s="5">
        <v>0.0</v>
      </c>
      <c r="S106" s="5">
        <v>0.0</v>
      </c>
      <c r="T106" s="5">
        <v>0.0</v>
      </c>
      <c r="U106" s="5">
        <v>0.0</v>
      </c>
      <c r="V106" s="5">
        <v>0.0</v>
      </c>
      <c r="W106" s="5">
        <v>0.0</v>
      </c>
      <c r="X106" s="5">
        <v>0.0</v>
      </c>
      <c r="Y106" s="5">
        <v>1.0</v>
      </c>
      <c r="Z106" s="5">
        <v>0.0</v>
      </c>
      <c r="AA106" s="5">
        <v>0.0</v>
      </c>
      <c r="AB106" s="5">
        <v>0.0</v>
      </c>
      <c r="AC106" s="5">
        <v>0.0</v>
      </c>
      <c r="AD106" s="2" t="s">
        <v>92</v>
      </c>
      <c r="AE106" s="2" t="s">
        <v>39</v>
      </c>
      <c r="AF106" s="2" t="s">
        <v>40</v>
      </c>
    </row>
    <row r="107">
      <c r="A107" s="4" t="s">
        <v>32</v>
      </c>
      <c r="B107" s="5">
        <v>716.0</v>
      </c>
      <c r="C107" s="5">
        <v>2686180.0</v>
      </c>
      <c r="D107" s="5">
        <v>2688610.0</v>
      </c>
      <c r="E107" s="2" t="s">
        <v>61</v>
      </c>
      <c r="F107" s="2"/>
      <c r="G107" s="2" t="s">
        <v>62</v>
      </c>
      <c r="H107" s="2"/>
      <c r="I107" s="5">
        <v>1937.0</v>
      </c>
      <c r="J107" s="2" t="s">
        <v>63</v>
      </c>
      <c r="K107" s="2" t="s">
        <v>64</v>
      </c>
      <c r="L107" s="2" t="s">
        <v>65</v>
      </c>
      <c r="M107" s="2" t="s">
        <v>88</v>
      </c>
      <c r="N107" s="2" t="s">
        <v>89</v>
      </c>
      <c r="O107" s="2" t="s">
        <v>335</v>
      </c>
      <c r="P107" s="2"/>
      <c r="Q107" s="5">
        <v>0.0</v>
      </c>
      <c r="R107" s="5">
        <v>0.0</v>
      </c>
      <c r="S107" s="5">
        <v>0.0</v>
      </c>
      <c r="T107" s="5">
        <v>0.0</v>
      </c>
      <c r="U107" s="5">
        <v>0.0</v>
      </c>
      <c r="V107" s="5">
        <v>0.0</v>
      </c>
      <c r="W107" s="5">
        <v>0.0</v>
      </c>
      <c r="X107" s="5">
        <v>0.0</v>
      </c>
      <c r="Y107" s="5">
        <v>1.0</v>
      </c>
      <c r="Z107" s="5">
        <v>0.0</v>
      </c>
      <c r="AA107" s="5">
        <v>0.0</v>
      </c>
      <c r="AB107" s="5">
        <v>0.0</v>
      </c>
      <c r="AC107" s="5">
        <v>0.0</v>
      </c>
      <c r="AD107" s="2" t="s">
        <v>92</v>
      </c>
      <c r="AE107" s="2" t="s">
        <v>39</v>
      </c>
      <c r="AF107" s="2" t="s">
        <v>40</v>
      </c>
    </row>
    <row r="108">
      <c r="A108" s="4" t="s">
        <v>32</v>
      </c>
      <c r="B108" s="5">
        <v>743.0</v>
      </c>
      <c r="C108" s="5">
        <v>2802927.0</v>
      </c>
      <c r="D108" s="5">
        <v>2809144.0</v>
      </c>
      <c r="E108" s="2" t="s">
        <v>61</v>
      </c>
      <c r="F108" s="2"/>
      <c r="G108" s="2" t="s">
        <v>62</v>
      </c>
      <c r="H108" s="2"/>
      <c r="I108" s="5">
        <v>1937.0</v>
      </c>
      <c r="J108" s="2" t="s">
        <v>63</v>
      </c>
      <c r="K108" s="2" t="s">
        <v>64</v>
      </c>
      <c r="L108" s="2" t="s">
        <v>65</v>
      </c>
      <c r="M108" s="2" t="s">
        <v>336</v>
      </c>
      <c r="N108" s="2" t="s">
        <v>89</v>
      </c>
      <c r="O108" s="2" t="s">
        <v>337</v>
      </c>
      <c r="P108" s="2"/>
      <c r="Q108" s="5">
        <v>0.0</v>
      </c>
      <c r="R108" s="5">
        <v>1.0</v>
      </c>
      <c r="S108" s="5">
        <v>0.0</v>
      </c>
      <c r="T108" s="5">
        <v>0.0</v>
      </c>
      <c r="U108" s="5">
        <v>0.0</v>
      </c>
      <c r="V108" s="5">
        <v>0.0</v>
      </c>
      <c r="W108" s="5">
        <v>0.0</v>
      </c>
      <c r="X108" s="5">
        <v>0.0</v>
      </c>
      <c r="Y108" s="5">
        <v>0.0</v>
      </c>
      <c r="Z108" s="5">
        <v>0.0</v>
      </c>
      <c r="AA108" s="5">
        <v>0.0</v>
      </c>
      <c r="AB108" s="5">
        <v>0.0</v>
      </c>
      <c r="AC108" s="5">
        <v>0.0</v>
      </c>
      <c r="AD108" s="2" t="s">
        <v>38</v>
      </c>
      <c r="AE108" s="2" t="s">
        <v>39</v>
      </c>
      <c r="AF108" s="2" t="s">
        <v>40</v>
      </c>
    </row>
    <row r="109">
      <c r="A109" s="4" t="s">
        <v>32</v>
      </c>
      <c r="B109" s="5">
        <v>2185.0</v>
      </c>
      <c r="C109" s="5">
        <v>3280890.0</v>
      </c>
      <c r="D109" s="5">
        <v>3285480.0</v>
      </c>
      <c r="E109" s="2" t="s">
        <v>167</v>
      </c>
      <c r="F109" s="2"/>
      <c r="G109" s="2"/>
      <c r="H109" s="2"/>
      <c r="I109" s="2"/>
      <c r="J109" s="2"/>
      <c r="K109" s="2"/>
      <c r="L109" s="2"/>
      <c r="M109" s="2" t="s">
        <v>338</v>
      </c>
      <c r="N109" s="2" t="s">
        <v>89</v>
      </c>
      <c r="O109" s="2" t="s">
        <v>339</v>
      </c>
      <c r="P109" s="2"/>
      <c r="Q109" s="5">
        <v>0.0</v>
      </c>
      <c r="R109" s="5">
        <v>1.0</v>
      </c>
      <c r="S109" s="5">
        <v>0.0</v>
      </c>
      <c r="T109" s="5">
        <v>0.0</v>
      </c>
      <c r="U109" s="5">
        <v>0.0</v>
      </c>
      <c r="V109" s="5">
        <v>0.0</v>
      </c>
      <c r="W109" s="5">
        <v>0.0</v>
      </c>
      <c r="X109" s="5">
        <v>0.0</v>
      </c>
      <c r="Y109" s="5">
        <v>0.0</v>
      </c>
      <c r="Z109" s="5">
        <v>0.0</v>
      </c>
      <c r="AA109" s="5">
        <v>0.0</v>
      </c>
      <c r="AB109" s="5">
        <v>0.0</v>
      </c>
      <c r="AC109" s="5">
        <v>0.0</v>
      </c>
      <c r="AD109" s="1" t="s">
        <v>44</v>
      </c>
      <c r="AE109" s="2" t="s">
        <v>40</v>
      </c>
      <c r="AF109" s="2" t="s">
        <v>40</v>
      </c>
    </row>
    <row r="110">
      <c r="A110" s="4" t="s">
        <v>32</v>
      </c>
      <c r="B110" s="5">
        <v>3800.0</v>
      </c>
      <c r="C110" s="5">
        <v>1260440.0</v>
      </c>
      <c r="D110" s="5">
        <v>1264960.0</v>
      </c>
      <c r="E110" s="2" t="s">
        <v>248</v>
      </c>
      <c r="F110" s="2"/>
      <c r="G110" s="2"/>
      <c r="H110" s="2"/>
      <c r="I110" s="2"/>
      <c r="J110" s="2"/>
      <c r="K110" s="2"/>
      <c r="L110" s="2"/>
      <c r="M110" s="2" t="s">
        <v>340</v>
      </c>
      <c r="N110" s="2" t="s">
        <v>89</v>
      </c>
      <c r="O110" s="2" t="s">
        <v>341</v>
      </c>
      <c r="P110" s="2"/>
      <c r="Q110" s="5">
        <v>1.0</v>
      </c>
      <c r="R110" s="5">
        <v>0.0</v>
      </c>
      <c r="S110" s="5">
        <v>0.0</v>
      </c>
      <c r="T110" s="5">
        <v>0.0</v>
      </c>
      <c r="U110" s="5">
        <v>0.0</v>
      </c>
      <c r="V110" s="5">
        <v>0.0</v>
      </c>
      <c r="W110" s="5">
        <v>0.0</v>
      </c>
      <c r="X110" s="5">
        <v>0.0</v>
      </c>
      <c r="Y110" s="5">
        <v>0.0</v>
      </c>
      <c r="Z110" s="5">
        <v>0.0</v>
      </c>
      <c r="AA110" s="5">
        <v>0.0</v>
      </c>
      <c r="AB110" s="5">
        <v>0.0</v>
      </c>
      <c r="AC110" s="5">
        <v>0.0</v>
      </c>
      <c r="AD110" s="1" t="s">
        <v>44</v>
      </c>
      <c r="AE110" s="2" t="s">
        <v>40</v>
      </c>
      <c r="AF110" s="2" t="s">
        <v>40</v>
      </c>
    </row>
    <row r="111">
      <c r="A111" s="7" t="s">
        <v>342</v>
      </c>
      <c r="B111" s="8">
        <v>106.0</v>
      </c>
      <c r="C111" s="8">
        <v>863280.0</v>
      </c>
      <c r="D111" s="8">
        <v>874500.0</v>
      </c>
      <c r="E111" s="9" t="s">
        <v>343</v>
      </c>
      <c r="F111" s="9"/>
      <c r="G111" s="9" t="s">
        <v>344</v>
      </c>
      <c r="H111" s="9" t="s">
        <v>345</v>
      </c>
      <c r="I111" s="8">
        <v>1940.0</v>
      </c>
      <c r="J111" s="9" t="s">
        <v>346</v>
      </c>
      <c r="K111" s="9" t="s">
        <v>347</v>
      </c>
      <c r="L111" s="9" t="s">
        <v>43</v>
      </c>
      <c r="M111" s="9" t="s">
        <v>348</v>
      </c>
      <c r="N111" s="9" t="s">
        <v>35</v>
      </c>
      <c r="O111" s="9" t="s">
        <v>349</v>
      </c>
      <c r="P111" s="9" t="s">
        <v>350</v>
      </c>
      <c r="Q111" s="8">
        <v>0.0</v>
      </c>
      <c r="R111" s="8">
        <v>0.0</v>
      </c>
      <c r="S111" s="8">
        <v>0.0</v>
      </c>
      <c r="T111" s="8">
        <v>0.0</v>
      </c>
      <c r="U111" s="8">
        <v>0.0</v>
      </c>
      <c r="V111" s="8">
        <v>0.0</v>
      </c>
      <c r="W111" s="8">
        <v>0.0</v>
      </c>
      <c r="X111" s="8">
        <v>0.0</v>
      </c>
      <c r="Y111" s="8">
        <v>1.0</v>
      </c>
      <c r="Z111" s="8">
        <v>0.0</v>
      </c>
      <c r="AA111" s="8">
        <v>0.0</v>
      </c>
      <c r="AB111" s="8">
        <v>0.0</v>
      </c>
      <c r="AC111" s="8">
        <v>0.0</v>
      </c>
      <c r="AD111" s="9" t="s">
        <v>44</v>
      </c>
      <c r="AE111" s="9" t="s">
        <v>40</v>
      </c>
      <c r="AF111" s="9" t="s">
        <v>40</v>
      </c>
    </row>
    <row r="112">
      <c r="A112" s="7" t="s">
        <v>342</v>
      </c>
      <c r="B112" s="8">
        <v>207.0</v>
      </c>
      <c r="C112" s="8">
        <v>1645300.0</v>
      </c>
      <c r="D112" s="8">
        <v>1657560.0</v>
      </c>
      <c r="E112" s="9" t="s">
        <v>343</v>
      </c>
      <c r="F112" s="9"/>
      <c r="G112" s="9" t="s">
        <v>344</v>
      </c>
      <c r="H112" s="9" t="s">
        <v>345</v>
      </c>
      <c r="I112" s="8">
        <v>1940.0</v>
      </c>
      <c r="J112" s="9" t="s">
        <v>346</v>
      </c>
      <c r="K112" s="9" t="s">
        <v>347</v>
      </c>
      <c r="L112" s="9" t="s">
        <v>43</v>
      </c>
      <c r="M112" s="9" t="s">
        <v>351</v>
      </c>
      <c r="N112" s="9" t="s">
        <v>35</v>
      </c>
      <c r="O112" s="9" t="s">
        <v>352</v>
      </c>
      <c r="P112" s="9" t="s">
        <v>37</v>
      </c>
      <c r="Q112" s="8">
        <v>0.0</v>
      </c>
      <c r="R112" s="8">
        <v>1.0</v>
      </c>
      <c r="S112" s="8">
        <v>0.0</v>
      </c>
      <c r="T112" s="8">
        <v>0.0</v>
      </c>
      <c r="U112" s="8">
        <v>0.0</v>
      </c>
      <c r="V112" s="8">
        <v>0.0</v>
      </c>
      <c r="W112" s="8">
        <v>0.0</v>
      </c>
      <c r="X112" s="8">
        <v>0.0</v>
      </c>
      <c r="Y112" s="8">
        <v>0.0</v>
      </c>
      <c r="Z112" s="8">
        <v>0.0</v>
      </c>
      <c r="AA112" s="8">
        <v>0.0</v>
      </c>
      <c r="AB112" s="8">
        <v>0.0</v>
      </c>
      <c r="AC112" s="8">
        <v>0.0</v>
      </c>
      <c r="AD112" s="9" t="s">
        <v>38</v>
      </c>
      <c r="AE112" s="9" t="s">
        <v>39</v>
      </c>
      <c r="AF112" s="9" t="s">
        <v>40</v>
      </c>
    </row>
    <row r="113">
      <c r="A113" s="7" t="s">
        <v>342</v>
      </c>
      <c r="B113" s="8">
        <v>211.0</v>
      </c>
      <c r="C113" s="8">
        <v>1681140.0</v>
      </c>
      <c r="D113" s="8">
        <v>1688020.0</v>
      </c>
      <c r="E113" s="9" t="s">
        <v>343</v>
      </c>
      <c r="F113" s="9"/>
      <c r="G113" s="9" t="s">
        <v>344</v>
      </c>
      <c r="H113" s="9" t="s">
        <v>345</v>
      </c>
      <c r="I113" s="8">
        <v>1940.0</v>
      </c>
      <c r="J113" s="9" t="s">
        <v>346</v>
      </c>
      <c r="K113" s="9" t="s">
        <v>347</v>
      </c>
      <c r="L113" s="9" t="s">
        <v>43</v>
      </c>
      <c r="M113" s="9" t="s">
        <v>353</v>
      </c>
      <c r="N113" s="9" t="s">
        <v>35</v>
      </c>
      <c r="O113" s="9" t="s">
        <v>354</v>
      </c>
      <c r="P113" s="9" t="s">
        <v>347</v>
      </c>
      <c r="Q113" s="8">
        <v>1.0</v>
      </c>
      <c r="R113" s="8">
        <v>0.0</v>
      </c>
      <c r="S113" s="8">
        <v>0.0</v>
      </c>
      <c r="T113" s="8">
        <v>0.0</v>
      </c>
      <c r="U113" s="8">
        <v>0.0</v>
      </c>
      <c r="V113" s="8">
        <v>0.0</v>
      </c>
      <c r="W113" s="8">
        <v>0.0</v>
      </c>
      <c r="X113" s="8">
        <v>0.0</v>
      </c>
      <c r="Y113" s="8">
        <v>0.0</v>
      </c>
      <c r="Z113" s="8">
        <v>0.0</v>
      </c>
      <c r="AA113" s="8">
        <v>0.0</v>
      </c>
      <c r="AB113" s="8">
        <v>0.0</v>
      </c>
      <c r="AC113" s="8">
        <v>0.0</v>
      </c>
      <c r="AD113" s="9" t="s">
        <v>38</v>
      </c>
      <c r="AE113" s="9" t="s">
        <v>39</v>
      </c>
      <c r="AF113" s="9" t="s">
        <v>40</v>
      </c>
    </row>
    <row r="114">
      <c r="A114" s="7" t="s">
        <v>342</v>
      </c>
      <c r="B114" s="8">
        <v>211.0</v>
      </c>
      <c r="C114" s="8">
        <v>1681140.0</v>
      </c>
      <c r="D114" s="8">
        <v>1688020.0</v>
      </c>
      <c r="E114" s="9" t="s">
        <v>343</v>
      </c>
      <c r="F114" s="9"/>
      <c r="G114" s="9" t="s">
        <v>344</v>
      </c>
      <c r="H114" s="9" t="s">
        <v>345</v>
      </c>
      <c r="I114" s="8">
        <v>1940.0</v>
      </c>
      <c r="J114" s="9" t="s">
        <v>346</v>
      </c>
      <c r="K114" s="9" t="s">
        <v>347</v>
      </c>
      <c r="L114" s="9" t="s">
        <v>43</v>
      </c>
      <c r="M114" s="9" t="s">
        <v>355</v>
      </c>
      <c r="N114" s="9" t="s">
        <v>35</v>
      </c>
      <c r="O114" s="9" t="s">
        <v>356</v>
      </c>
      <c r="P114" s="9" t="s">
        <v>37</v>
      </c>
      <c r="Q114" s="8">
        <v>0.0</v>
      </c>
      <c r="R114" s="8">
        <v>1.0</v>
      </c>
      <c r="S114" s="8">
        <v>0.0</v>
      </c>
      <c r="T114" s="8">
        <v>0.0</v>
      </c>
      <c r="U114" s="8">
        <v>0.0</v>
      </c>
      <c r="V114" s="8">
        <v>0.0</v>
      </c>
      <c r="W114" s="8">
        <v>0.0</v>
      </c>
      <c r="X114" s="8">
        <v>0.0</v>
      </c>
      <c r="Y114" s="8">
        <v>0.0</v>
      </c>
      <c r="Z114" s="8">
        <v>0.0</v>
      </c>
      <c r="AA114" s="8">
        <v>0.0</v>
      </c>
      <c r="AB114" s="8">
        <v>0.0</v>
      </c>
      <c r="AC114" s="8">
        <v>0.0</v>
      </c>
      <c r="AD114" s="9" t="s">
        <v>38</v>
      </c>
      <c r="AE114" s="9" t="s">
        <v>39</v>
      </c>
      <c r="AF114" s="9" t="s">
        <v>40</v>
      </c>
    </row>
    <row r="115">
      <c r="A115" s="7" t="s">
        <v>342</v>
      </c>
      <c r="B115" s="8">
        <v>222.0</v>
      </c>
      <c r="C115" s="8">
        <v>1773560.0</v>
      </c>
      <c r="D115" s="8">
        <v>1782720.0</v>
      </c>
      <c r="E115" s="9" t="s">
        <v>343</v>
      </c>
      <c r="F115" s="9"/>
      <c r="G115" s="9" t="s">
        <v>344</v>
      </c>
      <c r="H115" s="9" t="s">
        <v>345</v>
      </c>
      <c r="I115" s="8">
        <v>1940.0</v>
      </c>
      <c r="J115" s="9" t="s">
        <v>346</v>
      </c>
      <c r="K115" s="9" t="s">
        <v>347</v>
      </c>
      <c r="L115" s="9" t="s">
        <v>43</v>
      </c>
      <c r="M115" s="9" t="s">
        <v>357</v>
      </c>
      <c r="N115" s="9" t="s">
        <v>35</v>
      </c>
      <c r="O115" s="9" t="s">
        <v>358</v>
      </c>
      <c r="P115" s="9" t="s">
        <v>359</v>
      </c>
      <c r="Q115" s="8">
        <v>1.0</v>
      </c>
      <c r="R115" s="8">
        <v>0.0</v>
      </c>
      <c r="S115" s="8">
        <v>0.0</v>
      </c>
      <c r="T115" s="8">
        <v>0.0</v>
      </c>
      <c r="U115" s="8">
        <v>0.0</v>
      </c>
      <c r="V115" s="8">
        <v>0.0</v>
      </c>
      <c r="W115" s="8">
        <v>0.0</v>
      </c>
      <c r="X115" s="8">
        <v>0.0</v>
      </c>
      <c r="Y115" s="8">
        <v>0.0</v>
      </c>
      <c r="Z115" s="8">
        <v>0.0</v>
      </c>
      <c r="AA115" s="8">
        <v>0.0</v>
      </c>
      <c r="AB115" s="8">
        <v>0.0</v>
      </c>
      <c r="AC115" s="8">
        <v>0.0</v>
      </c>
      <c r="AD115" s="9" t="s">
        <v>38</v>
      </c>
      <c r="AE115" s="9" t="s">
        <v>39</v>
      </c>
      <c r="AF115" s="9" t="s">
        <v>40</v>
      </c>
    </row>
    <row r="116">
      <c r="A116" s="7" t="s">
        <v>342</v>
      </c>
      <c r="B116" s="8">
        <v>259.0</v>
      </c>
      <c r="C116" s="8">
        <v>2131240.0</v>
      </c>
      <c r="D116" s="8">
        <v>2145500.0</v>
      </c>
      <c r="E116" s="9" t="s">
        <v>343</v>
      </c>
      <c r="F116" s="9"/>
      <c r="G116" s="9" t="s">
        <v>344</v>
      </c>
      <c r="H116" s="9" t="s">
        <v>345</v>
      </c>
      <c r="I116" s="8">
        <v>1940.0</v>
      </c>
      <c r="J116" s="9" t="s">
        <v>346</v>
      </c>
      <c r="K116" s="9" t="s">
        <v>347</v>
      </c>
      <c r="L116" s="9" t="s">
        <v>43</v>
      </c>
      <c r="M116" s="9" t="s">
        <v>360</v>
      </c>
      <c r="N116" s="9" t="s">
        <v>35</v>
      </c>
      <c r="O116" s="9" t="s">
        <v>361</v>
      </c>
      <c r="P116" s="9" t="s">
        <v>359</v>
      </c>
      <c r="Q116" s="8">
        <v>1.0</v>
      </c>
      <c r="R116" s="8">
        <v>0.0</v>
      </c>
      <c r="S116" s="8">
        <v>0.0</v>
      </c>
      <c r="T116" s="8">
        <v>0.0</v>
      </c>
      <c r="U116" s="8">
        <v>0.0</v>
      </c>
      <c r="V116" s="8">
        <v>0.0</v>
      </c>
      <c r="W116" s="8">
        <v>0.0</v>
      </c>
      <c r="X116" s="8">
        <v>0.0</v>
      </c>
      <c r="Y116" s="8">
        <v>0.0</v>
      </c>
      <c r="Z116" s="8">
        <v>0.0</v>
      </c>
      <c r="AA116" s="8">
        <v>0.0</v>
      </c>
      <c r="AB116" s="8">
        <v>0.0</v>
      </c>
      <c r="AC116" s="8">
        <v>0.0</v>
      </c>
      <c r="AD116" s="9" t="s">
        <v>38</v>
      </c>
      <c r="AE116" s="9" t="s">
        <v>39</v>
      </c>
      <c r="AF116" s="9" t="s">
        <v>40</v>
      </c>
    </row>
    <row r="117">
      <c r="A117" s="7" t="s">
        <v>342</v>
      </c>
      <c r="B117" s="8">
        <v>275.0</v>
      </c>
      <c r="C117" s="8">
        <v>2260100.0</v>
      </c>
      <c r="D117" s="8">
        <v>2268940.0</v>
      </c>
      <c r="E117" s="9" t="s">
        <v>343</v>
      </c>
      <c r="F117" s="9"/>
      <c r="G117" s="9" t="s">
        <v>344</v>
      </c>
      <c r="H117" s="9" t="s">
        <v>345</v>
      </c>
      <c r="I117" s="8">
        <v>1940.0</v>
      </c>
      <c r="J117" s="9" t="s">
        <v>346</v>
      </c>
      <c r="K117" s="9" t="s">
        <v>347</v>
      </c>
      <c r="L117" s="9" t="s">
        <v>43</v>
      </c>
      <c r="M117" s="9" t="s">
        <v>362</v>
      </c>
      <c r="N117" s="9" t="s">
        <v>35</v>
      </c>
      <c r="O117" s="9" t="s">
        <v>363</v>
      </c>
      <c r="P117" s="9" t="s">
        <v>364</v>
      </c>
      <c r="Q117" s="8">
        <v>1.0</v>
      </c>
      <c r="R117" s="8">
        <v>0.0</v>
      </c>
      <c r="S117" s="8">
        <v>0.0</v>
      </c>
      <c r="T117" s="8">
        <v>0.0</v>
      </c>
      <c r="U117" s="8">
        <v>0.0</v>
      </c>
      <c r="V117" s="8">
        <v>0.0</v>
      </c>
      <c r="W117" s="8">
        <v>0.0</v>
      </c>
      <c r="X117" s="8">
        <v>0.0</v>
      </c>
      <c r="Y117" s="8">
        <v>0.0</v>
      </c>
      <c r="Z117" s="8">
        <v>0.0</v>
      </c>
      <c r="AA117" s="8">
        <v>0.0</v>
      </c>
      <c r="AB117" s="8">
        <v>0.0</v>
      </c>
      <c r="AC117" s="8">
        <v>0.0</v>
      </c>
      <c r="AD117" s="9" t="s">
        <v>38</v>
      </c>
      <c r="AE117" s="9" t="s">
        <v>39</v>
      </c>
      <c r="AF117" s="9" t="s">
        <v>40</v>
      </c>
    </row>
    <row r="118">
      <c r="A118" s="7" t="s">
        <v>342</v>
      </c>
      <c r="B118" s="8">
        <v>289.0</v>
      </c>
      <c r="C118" s="8">
        <v>2375300.0</v>
      </c>
      <c r="D118" s="8">
        <v>2392680.0</v>
      </c>
      <c r="E118" s="9" t="s">
        <v>343</v>
      </c>
      <c r="F118" s="9"/>
      <c r="G118" s="9" t="s">
        <v>344</v>
      </c>
      <c r="H118" s="9" t="s">
        <v>345</v>
      </c>
      <c r="I118" s="8">
        <v>1940.0</v>
      </c>
      <c r="J118" s="9" t="s">
        <v>346</v>
      </c>
      <c r="K118" s="9" t="s">
        <v>347</v>
      </c>
      <c r="L118" s="9" t="s">
        <v>43</v>
      </c>
      <c r="M118" s="9" t="s">
        <v>365</v>
      </c>
      <c r="N118" s="9" t="s">
        <v>35</v>
      </c>
      <c r="O118" s="9" t="s">
        <v>366</v>
      </c>
      <c r="P118" s="9" t="s">
        <v>367</v>
      </c>
      <c r="Q118" s="8">
        <v>0.0</v>
      </c>
      <c r="R118" s="8">
        <v>0.0</v>
      </c>
      <c r="S118" s="8">
        <v>0.0</v>
      </c>
      <c r="T118" s="8">
        <v>0.0</v>
      </c>
      <c r="U118" s="8">
        <v>0.0</v>
      </c>
      <c r="V118" s="8">
        <v>0.0</v>
      </c>
      <c r="W118" s="8">
        <v>0.0</v>
      </c>
      <c r="X118" s="8">
        <v>0.0</v>
      </c>
      <c r="Y118" s="8">
        <v>1.0</v>
      </c>
      <c r="Z118" s="8">
        <v>0.0</v>
      </c>
      <c r="AA118" s="8">
        <v>0.0</v>
      </c>
      <c r="AB118" s="8">
        <v>0.0</v>
      </c>
      <c r="AC118" s="8">
        <v>0.0</v>
      </c>
      <c r="AD118" s="9" t="s">
        <v>92</v>
      </c>
      <c r="AE118" s="9" t="s">
        <v>39</v>
      </c>
      <c r="AF118" s="9" t="s">
        <v>40</v>
      </c>
    </row>
    <row r="119">
      <c r="A119" s="7" t="s">
        <v>342</v>
      </c>
      <c r="B119" s="8">
        <v>301.0</v>
      </c>
      <c r="C119" s="8">
        <v>2459020.0</v>
      </c>
      <c r="D119" s="8">
        <v>2463880.0</v>
      </c>
      <c r="E119" s="9" t="s">
        <v>343</v>
      </c>
      <c r="F119" s="9"/>
      <c r="G119" s="9" t="s">
        <v>344</v>
      </c>
      <c r="H119" s="9" t="s">
        <v>345</v>
      </c>
      <c r="I119" s="8">
        <v>1940.0</v>
      </c>
      <c r="J119" s="9" t="s">
        <v>346</v>
      </c>
      <c r="K119" s="9" t="s">
        <v>347</v>
      </c>
      <c r="L119" s="9" t="s">
        <v>43</v>
      </c>
      <c r="M119" s="9" t="s">
        <v>368</v>
      </c>
      <c r="N119" s="9" t="s">
        <v>35</v>
      </c>
      <c r="O119" s="9" t="s">
        <v>369</v>
      </c>
      <c r="P119" s="9" t="s">
        <v>37</v>
      </c>
      <c r="Q119" s="8">
        <v>0.0</v>
      </c>
      <c r="R119" s="8">
        <v>1.0</v>
      </c>
      <c r="S119" s="8">
        <v>0.0</v>
      </c>
      <c r="T119" s="8">
        <v>0.0</v>
      </c>
      <c r="U119" s="8">
        <v>0.0</v>
      </c>
      <c r="V119" s="8">
        <v>0.0</v>
      </c>
      <c r="W119" s="8">
        <v>0.0</v>
      </c>
      <c r="X119" s="8">
        <v>0.0</v>
      </c>
      <c r="Y119" s="8">
        <v>0.0</v>
      </c>
      <c r="Z119" s="8">
        <v>0.0</v>
      </c>
      <c r="AA119" s="8">
        <v>0.0</v>
      </c>
      <c r="AB119" s="8">
        <v>0.0</v>
      </c>
      <c r="AC119" s="8">
        <v>0.0</v>
      </c>
      <c r="AD119" s="9" t="s">
        <v>38</v>
      </c>
      <c r="AE119" s="9" t="s">
        <v>39</v>
      </c>
      <c r="AF119" s="9" t="s">
        <v>40</v>
      </c>
    </row>
    <row r="120">
      <c r="A120" s="7" t="s">
        <v>342</v>
      </c>
      <c r="B120" s="8">
        <v>337.0</v>
      </c>
      <c r="C120" s="8">
        <v>2688620.0</v>
      </c>
      <c r="D120" s="8">
        <v>2700440.0</v>
      </c>
      <c r="E120" s="9" t="s">
        <v>343</v>
      </c>
      <c r="F120" s="9"/>
      <c r="G120" s="9" t="s">
        <v>344</v>
      </c>
      <c r="H120" s="9" t="s">
        <v>345</v>
      </c>
      <c r="I120" s="8">
        <v>1940.0</v>
      </c>
      <c r="J120" s="9" t="s">
        <v>346</v>
      </c>
      <c r="K120" s="9" t="s">
        <v>347</v>
      </c>
      <c r="L120" s="9" t="s">
        <v>43</v>
      </c>
      <c r="M120" s="9" t="s">
        <v>370</v>
      </c>
      <c r="N120" s="9" t="s">
        <v>35</v>
      </c>
      <c r="O120" s="9" t="s">
        <v>371</v>
      </c>
      <c r="P120" s="9" t="s">
        <v>121</v>
      </c>
      <c r="Q120" s="8">
        <v>0.0</v>
      </c>
      <c r="R120" s="8">
        <v>0.0</v>
      </c>
      <c r="S120" s="8">
        <v>0.0</v>
      </c>
      <c r="T120" s="8">
        <v>0.0</v>
      </c>
      <c r="U120" s="8">
        <v>0.0</v>
      </c>
      <c r="V120" s="8">
        <v>0.0</v>
      </c>
      <c r="W120" s="8">
        <v>0.0</v>
      </c>
      <c r="X120" s="8">
        <v>0.0</v>
      </c>
      <c r="Y120" s="8">
        <v>0.0</v>
      </c>
      <c r="Z120" s="8">
        <v>1.0</v>
      </c>
      <c r="AA120" s="8">
        <v>0.0</v>
      </c>
      <c r="AB120" s="8">
        <v>0.0</v>
      </c>
      <c r="AC120" s="8">
        <v>0.0</v>
      </c>
      <c r="AD120" s="9" t="s">
        <v>38</v>
      </c>
      <c r="AE120" s="9" t="s">
        <v>39</v>
      </c>
      <c r="AF120" s="9" t="s">
        <v>40</v>
      </c>
    </row>
    <row r="121">
      <c r="A121" s="7" t="s">
        <v>342</v>
      </c>
      <c r="B121" s="8">
        <v>362.0</v>
      </c>
      <c r="C121" s="8">
        <v>2850700.0</v>
      </c>
      <c r="D121" s="8">
        <v>2858760.0</v>
      </c>
      <c r="E121" s="9" t="s">
        <v>343</v>
      </c>
      <c r="F121" s="9"/>
      <c r="G121" s="9" t="s">
        <v>344</v>
      </c>
      <c r="H121" s="9" t="s">
        <v>345</v>
      </c>
      <c r="I121" s="8">
        <v>1940.0</v>
      </c>
      <c r="J121" s="9" t="s">
        <v>346</v>
      </c>
      <c r="K121" s="9" t="s">
        <v>347</v>
      </c>
      <c r="L121" s="9" t="s">
        <v>43</v>
      </c>
      <c r="M121" s="9" t="s">
        <v>372</v>
      </c>
      <c r="N121" s="9" t="s">
        <v>35</v>
      </c>
      <c r="O121" s="9" t="s">
        <v>373</v>
      </c>
      <c r="P121" s="9" t="s">
        <v>374</v>
      </c>
      <c r="Q121" s="8">
        <v>0.0</v>
      </c>
      <c r="R121" s="8">
        <v>0.0</v>
      </c>
      <c r="S121" s="8">
        <v>0.0</v>
      </c>
      <c r="T121" s="8">
        <v>0.0</v>
      </c>
      <c r="U121" s="8">
        <v>0.0</v>
      </c>
      <c r="V121" s="8">
        <v>0.0</v>
      </c>
      <c r="W121" s="8">
        <v>0.0</v>
      </c>
      <c r="X121" s="8">
        <v>0.0</v>
      </c>
      <c r="Y121" s="8">
        <v>1.0</v>
      </c>
      <c r="Z121" s="8">
        <v>0.0</v>
      </c>
      <c r="AA121" s="8">
        <v>0.0</v>
      </c>
      <c r="AB121" s="8">
        <v>0.0</v>
      </c>
      <c r="AC121" s="8">
        <v>0.0</v>
      </c>
      <c r="AD121" s="9" t="s">
        <v>92</v>
      </c>
      <c r="AE121" s="9" t="s">
        <v>39</v>
      </c>
      <c r="AF121" s="9" t="s">
        <v>40</v>
      </c>
    </row>
    <row r="122">
      <c r="A122" s="7" t="s">
        <v>342</v>
      </c>
      <c r="B122" s="8">
        <v>428.0</v>
      </c>
      <c r="C122" s="8">
        <v>346782.0</v>
      </c>
      <c r="D122" s="8">
        <v>348302.0</v>
      </c>
      <c r="E122" s="9" t="s">
        <v>375</v>
      </c>
      <c r="F122" s="9"/>
      <c r="G122" s="9" t="s">
        <v>376</v>
      </c>
      <c r="H122" s="9" t="s">
        <v>377</v>
      </c>
      <c r="I122" s="8">
        <v>1941.0</v>
      </c>
      <c r="J122" s="9" t="s">
        <v>378</v>
      </c>
      <c r="K122" s="9" t="s">
        <v>379</v>
      </c>
      <c r="L122" s="9" t="s">
        <v>43</v>
      </c>
      <c r="M122" s="9" t="s">
        <v>380</v>
      </c>
      <c r="N122" s="9" t="s">
        <v>35</v>
      </c>
      <c r="O122" s="9" t="s">
        <v>381</v>
      </c>
      <c r="P122" s="9" t="s">
        <v>359</v>
      </c>
      <c r="Q122" s="8">
        <v>1.0</v>
      </c>
      <c r="R122" s="8">
        <v>0.0</v>
      </c>
      <c r="S122" s="8">
        <v>0.0</v>
      </c>
      <c r="T122" s="8">
        <v>0.0</v>
      </c>
      <c r="U122" s="8">
        <v>0.0</v>
      </c>
      <c r="V122" s="8">
        <v>0.0</v>
      </c>
      <c r="W122" s="8">
        <v>0.0</v>
      </c>
      <c r="X122" s="8">
        <v>0.0</v>
      </c>
      <c r="Y122" s="8">
        <v>0.0</v>
      </c>
      <c r="Z122" s="8">
        <v>0.0</v>
      </c>
      <c r="AA122" s="8">
        <v>0.0</v>
      </c>
      <c r="AB122" s="8">
        <v>0.0</v>
      </c>
      <c r="AC122" s="8">
        <v>0.0</v>
      </c>
      <c r="AD122" s="10" t="s">
        <v>44</v>
      </c>
      <c r="AE122" s="9" t="s">
        <v>40</v>
      </c>
      <c r="AF122" s="9" t="s">
        <v>40</v>
      </c>
    </row>
    <row r="123">
      <c r="A123" s="7" t="s">
        <v>342</v>
      </c>
      <c r="B123" s="8">
        <v>445.0</v>
      </c>
      <c r="C123" s="8">
        <v>440933.0</v>
      </c>
      <c r="D123" s="8">
        <v>454399.0</v>
      </c>
      <c r="E123" s="9" t="s">
        <v>375</v>
      </c>
      <c r="F123" s="9"/>
      <c r="G123" s="9" t="s">
        <v>376</v>
      </c>
      <c r="H123" s="9" t="s">
        <v>377</v>
      </c>
      <c r="I123" s="8">
        <v>1941.0</v>
      </c>
      <c r="J123" s="9" t="s">
        <v>378</v>
      </c>
      <c r="K123" s="9" t="s">
        <v>379</v>
      </c>
      <c r="L123" s="9" t="s">
        <v>43</v>
      </c>
      <c r="M123" s="9" t="s">
        <v>382</v>
      </c>
      <c r="N123" s="9" t="s">
        <v>35</v>
      </c>
      <c r="O123" s="9" t="s">
        <v>383</v>
      </c>
      <c r="P123" s="9" t="s">
        <v>384</v>
      </c>
      <c r="Q123" s="8">
        <v>1.0</v>
      </c>
      <c r="R123" s="8">
        <v>0.0</v>
      </c>
      <c r="S123" s="8">
        <v>0.0</v>
      </c>
      <c r="T123" s="8">
        <v>0.0</v>
      </c>
      <c r="U123" s="8">
        <v>0.0</v>
      </c>
      <c r="V123" s="8">
        <v>0.0</v>
      </c>
      <c r="W123" s="8">
        <v>0.0</v>
      </c>
      <c r="X123" s="8">
        <v>0.0</v>
      </c>
      <c r="Y123" s="8">
        <v>0.0</v>
      </c>
      <c r="Z123" s="8">
        <v>0.0</v>
      </c>
      <c r="AA123" s="8">
        <v>0.0</v>
      </c>
      <c r="AB123" s="8">
        <v>0.0</v>
      </c>
      <c r="AC123" s="8">
        <v>0.0</v>
      </c>
      <c r="AD123" s="9" t="s">
        <v>38</v>
      </c>
      <c r="AE123" s="9" t="s">
        <v>39</v>
      </c>
      <c r="AF123" s="9" t="s">
        <v>40</v>
      </c>
    </row>
    <row r="124">
      <c r="A124" s="7" t="s">
        <v>342</v>
      </c>
      <c r="B124" s="8">
        <v>542.0</v>
      </c>
      <c r="C124" s="8">
        <v>1106272.0</v>
      </c>
      <c r="D124" s="8">
        <v>1122363.0</v>
      </c>
      <c r="E124" s="9" t="s">
        <v>375</v>
      </c>
      <c r="F124" s="9"/>
      <c r="G124" s="9" t="s">
        <v>376</v>
      </c>
      <c r="H124" s="9" t="s">
        <v>377</v>
      </c>
      <c r="I124" s="8">
        <v>1941.0</v>
      </c>
      <c r="J124" s="9" t="s">
        <v>378</v>
      </c>
      <c r="K124" s="9" t="s">
        <v>379</v>
      </c>
      <c r="L124" s="9" t="s">
        <v>43</v>
      </c>
      <c r="M124" s="9" t="s">
        <v>385</v>
      </c>
      <c r="N124" s="9" t="s">
        <v>35</v>
      </c>
      <c r="O124" s="9" t="s">
        <v>386</v>
      </c>
      <c r="P124" s="9" t="s">
        <v>359</v>
      </c>
      <c r="Q124" s="8">
        <v>1.0</v>
      </c>
      <c r="R124" s="8">
        <v>0.0</v>
      </c>
      <c r="S124" s="8">
        <v>0.0</v>
      </c>
      <c r="T124" s="8">
        <v>0.0</v>
      </c>
      <c r="U124" s="8">
        <v>0.0</v>
      </c>
      <c r="V124" s="8">
        <v>0.0</v>
      </c>
      <c r="W124" s="8">
        <v>0.0</v>
      </c>
      <c r="X124" s="8">
        <v>0.0</v>
      </c>
      <c r="Y124" s="8">
        <v>0.0</v>
      </c>
      <c r="Z124" s="8">
        <v>0.0</v>
      </c>
      <c r="AA124" s="8">
        <v>0.0</v>
      </c>
      <c r="AB124" s="8">
        <v>0.0</v>
      </c>
      <c r="AC124" s="8">
        <v>0.0</v>
      </c>
      <c r="AD124" s="9" t="s">
        <v>38</v>
      </c>
      <c r="AE124" s="9" t="s">
        <v>39</v>
      </c>
      <c r="AF124" s="9" t="s">
        <v>40</v>
      </c>
    </row>
    <row r="125">
      <c r="A125" s="7" t="s">
        <v>342</v>
      </c>
      <c r="B125" s="8">
        <v>598.0</v>
      </c>
      <c r="C125" s="8">
        <v>91160.0</v>
      </c>
      <c r="D125" s="8">
        <v>95510.0</v>
      </c>
      <c r="E125" s="9" t="s">
        <v>387</v>
      </c>
      <c r="F125" s="9"/>
      <c r="G125" s="9" t="s">
        <v>388</v>
      </c>
      <c r="H125" s="9" t="s">
        <v>345</v>
      </c>
      <c r="I125" s="8">
        <v>1932.0</v>
      </c>
      <c r="J125" s="9" t="s">
        <v>389</v>
      </c>
      <c r="K125" s="9" t="s">
        <v>390</v>
      </c>
      <c r="L125" s="9" t="s">
        <v>391</v>
      </c>
      <c r="M125" s="9" t="s">
        <v>392</v>
      </c>
      <c r="N125" s="9" t="s">
        <v>35</v>
      </c>
      <c r="O125" s="9" t="s">
        <v>393</v>
      </c>
      <c r="P125" s="9" t="s">
        <v>394</v>
      </c>
      <c r="Q125" s="8">
        <v>1.0</v>
      </c>
      <c r="R125" s="8">
        <v>0.0</v>
      </c>
      <c r="S125" s="8">
        <v>0.0</v>
      </c>
      <c r="T125" s="8">
        <v>0.0</v>
      </c>
      <c r="U125" s="8">
        <v>0.0</v>
      </c>
      <c r="V125" s="8">
        <v>0.0</v>
      </c>
      <c r="W125" s="8">
        <v>0.0</v>
      </c>
      <c r="X125" s="8">
        <v>0.0</v>
      </c>
      <c r="Y125" s="8">
        <v>0.0</v>
      </c>
      <c r="Z125" s="8">
        <v>0.0</v>
      </c>
      <c r="AA125" s="8">
        <v>0.0</v>
      </c>
      <c r="AB125" s="8">
        <v>0.0</v>
      </c>
      <c r="AC125" s="8">
        <v>0.0</v>
      </c>
      <c r="AD125" s="9" t="s">
        <v>38</v>
      </c>
      <c r="AE125" s="9" t="s">
        <v>39</v>
      </c>
      <c r="AF125" s="9" t="s">
        <v>40</v>
      </c>
    </row>
    <row r="126">
      <c r="A126" s="7" t="s">
        <v>342</v>
      </c>
      <c r="B126" s="8">
        <v>612.0</v>
      </c>
      <c r="C126" s="8">
        <v>155040.0</v>
      </c>
      <c r="D126" s="8">
        <v>158050.0</v>
      </c>
      <c r="E126" s="9" t="s">
        <v>387</v>
      </c>
      <c r="F126" s="9"/>
      <c r="G126" s="9" t="s">
        <v>388</v>
      </c>
      <c r="H126" s="9" t="s">
        <v>345</v>
      </c>
      <c r="I126" s="8">
        <v>1932.0</v>
      </c>
      <c r="J126" s="9" t="s">
        <v>389</v>
      </c>
      <c r="K126" s="9" t="s">
        <v>390</v>
      </c>
      <c r="L126" s="9" t="s">
        <v>391</v>
      </c>
      <c r="M126" s="9" t="s">
        <v>395</v>
      </c>
      <c r="N126" s="9" t="s">
        <v>35</v>
      </c>
      <c r="O126" s="9" t="s">
        <v>396</v>
      </c>
      <c r="P126" s="9" t="s">
        <v>364</v>
      </c>
      <c r="Q126" s="8">
        <v>1.0</v>
      </c>
      <c r="R126" s="8">
        <v>0.0</v>
      </c>
      <c r="S126" s="8">
        <v>0.0</v>
      </c>
      <c r="T126" s="8">
        <v>0.0</v>
      </c>
      <c r="U126" s="8">
        <v>0.0</v>
      </c>
      <c r="V126" s="8">
        <v>0.0</v>
      </c>
      <c r="W126" s="8">
        <v>0.0</v>
      </c>
      <c r="X126" s="8">
        <v>0.0</v>
      </c>
      <c r="Y126" s="8">
        <v>0.0</v>
      </c>
      <c r="Z126" s="8">
        <v>0.0</v>
      </c>
      <c r="AA126" s="8">
        <v>0.0</v>
      </c>
      <c r="AB126" s="8">
        <v>0.0</v>
      </c>
      <c r="AC126" s="8">
        <v>0.0</v>
      </c>
      <c r="AD126" s="9" t="s">
        <v>38</v>
      </c>
      <c r="AE126" s="9" t="s">
        <v>39</v>
      </c>
      <c r="AF126" s="9" t="s">
        <v>40</v>
      </c>
    </row>
    <row r="127">
      <c r="A127" s="7" t="s">
        <v>342</v>
      </c>
      <c r="B127" s="8">
        <v>687.0</v>
      </c>
      <c r="C127" s="8">
        <v>521044.0</v>
      </c>
      <c r="D127" s="8">
        <v>539029.0</v>
      </c>
      <c r="E127" s="9" t="s">
        <v>387</v>
      </c>
      <c r="F127" s="9"/>
      <c r="G127" s="9" t="s">
        <v>388</v>
      </c>
      <c r="H127" s="9" t="s">
        <v>345</v>
      </c>
      <c r="I127" s="8">
        <v>1932.0</v>
      </c>
      <c r="J127" s="9" t="s">
        <v>389</v>
      </c>
      <c r="K127" s="9" t="s">
        <v>390</v>
      </c>
      <c r="L127" s="9" t="s">
        <v>391</v>
      </c>
      <c r="M127" s="9" t="s">
        <v>397</v>
      </c>
      <c r="N127" s="9" t="s">
        <v>35</v>
      </c>
      <c r="O127" s="9" t="s">
        <v>398</v>
      </c>
      <c r="P127" s="9" t="s">
        <v>364</v>
      </c>
      <c r="Q127" s="8">
        <v>1.0</v>
      </c>
      <c r="R127" s="8">
        <v>0.0</v>
      </c>
      <c r="S127" s="8">
        <v>0.0</v>
      </c>
      <c r="T127" s="8">
        <v>0.0</v>
      </c>
      <c r="U127" s="8">
        <v>0.0</v>
      </c>
      <c r="V127" s="8">
        <v>0.0</v>
      </c>
      <c r="W127" s="8">
        <v>0.0</v>
      </c>
      <c r="X127" s="8">
        <v>0.0</v>
      </c>
      <c r="Y127" s="8">
        <v>0.0</v>
      </c>
      <c r="Z127" s="8">
        <v>0.0</v>
      </c>
      <c r="AA127" s="8">
        <v>0.0</v>
      </c>
      <c r="AB127" s="8">
        <v>0.0</v>
      </c>
      <c r="AC127" s="8">
        <v>0.0</v>
      </c>
      <c r="AD127" s="9" t="s">
        <v>38</v>
      </c>
      <c r="AE127" s="9" t="s">
        <v>39</v>
      </c>
      <c r="AF127" s="9" t="s">
        <v>40</v>
      </c>
    </row>
    <row r="128">
      <c r="A128" s="7" t="s">
        <v>342</v>
      </c>
      <c r="B128" s="8">
        <v>689.0</v>
      </c>
      <c r="C128" s="8">
        <v>554148.0</v>
      </c>
      <c r="D128" s="8">
        <v>558133.0</v>
      </c>
      <c r="E128" s="9" t="s">
        <v>387</v>
      </c>
      <c r="F128" s="9"/>
      <c r="G128" s="9" t="s">
        <v>388</v>
      </c>
      <c r="H128" s="9" t="s">
        <v>345</v>
      </c>
      <c r="I128" s="8">
        <v>1932.0</v>
      </c>
      <c r="J128" s="9" t="s">
        <v>389</v>
      </c>
      <c r="K128" s="9" t="s">
        <v>390</v>
      </c>
      <c r="L128" s="9" t="s">
        <v>391</v>
      </c>
      <c r="M128" s="9" t="s">
        <v>399</v>
      </c>
      <c r="N128" s="9" t="s">
        <v>35</v>
      </c>
      <c r="O128" s="9" t="s">
        <v>400</v>
      </c>
      <c r="P128" s="9" t="s">
        <v>37</v>
      </c>
      <c r="Q128" s="8">
        <v>0.0</v>
      </c>
      <c r="R128" s="8">
        <v>1.0</v>
      </c>
      <c r="S128" s="8">
        <v>0.0</v>
      </c>
      <c r="T128" s="8">
        <v>0.0</v>
      </c>
      <c r="U128" s="8">
        <v>0.0</v>
      </c>
      <c r="V128" s="8">
        <v>0.0</v>
      </c>
      <c r="W128" s="8">
        <v>0.0</v>
      </c>
      <c r="X128" s="8">
        <v>0.0</v>
      </c>
      <c r="Y128" s="8">
        <v>0.0</v>
      </c>
      <c r="Z128" s="8">
        <v>0.0</v>
      </c>
      <c r="AA128" s="8">
        <v>0.0</v>
      </c>
      <c r="AB128" s="8">
        <v>0.0</v>
      </c>
      <c r="AC128" s="8">
        <v>0.0</v>
      </c>
      <c r="AD128" s="10" t="s">
        <v>44</v>
      </c>
      <c r="AE128" s="10" t="s">
        <v>40</v>
      </c>
      <c r="AF128" s="9" t="s">
        <v>40</v>
      </c>
    </row>
    <row r="129">
      <c r="A129" s="7" t="s">
        <v>342</v>
      </c>
      <c r="B129" s="8">
        <v>690.0</v>
      </c>
      <c r="C129" s="8">
        <v>558313.0</v>
      </c>
      <c r="D129" s="8">
        <v>568492.0</v>
      </c>
      <c r="E129" s="9" t="s">
        <v>387</v>
      </c>
      <c r="F129" s="9"/>
      <c r="G129" s="9" t="s">
        <v>388</v>
      </c>
      <c r="H129" s="9" t="s">
        <v>345</v>
      </c>
      <c r="I129" s="8">
        <v>1932.0</v>
      </c>
      <c r="J129" s="9" t="s">
        <v>389</v>
      </c>
      <c r="K129" s="9" t="s">
        <v>390</v>
      </c>
      <c r="L129" s="9" t="s">
        <v>391</v>
      </c>
      <c r="M129" s="9" t="s">
        <v>401</v>
      </c>
      <c r="N129" s="9" t="s">
        <v>35</v>
      </c>
      <c r="O129" s="9" t="s">
        <v>402</v>
      </c>
      <c r="P129" s="9" t="s">
        <v>403</v>
      </c>
      <c r="Q129" s="8">
        <v>1.0</v>
      </c>
      <c r="R129" s="8">
        <v>0.0</v>
      </c>
      <c r="S129" s="8">
        <v>0.0</v>
      </c>
      <c r="T129" s="8">
        <v>0.0</v>
      </c>
      <c r="U129" s="8">
        <v>0.0</v>
      </c>
      <c r="V129" s="8">
        <v>0.0</v>
      </c>
      <c r="W129" s="8">
        <v>0.0</v>
      </c>
      <c r="X129" s="8">
        <v>0.0</v>
      </c>
      <c r="Y129" s="8">
        <v>0.0</v>
      </c>
      <c r="Z129" s="8">
        <v>0.0</v>
      </c>
      <c r="AA129" s="8">
        <v>0.0</v>
      </c>
      <c r="AB129" s="8">
        <v>0.0</v>
      </c>
      <c r="AC129" s="8">
        <v>0.0</v>
      </c>
      <c r="AD129" s="10" t="s">
        <v>44</v>
      </c>
      <c r="AE129" s="9" t="s">
        <v>40</v>
      </c>
      <c r="AF129" s="9" t="s">
        <v>40</v>
      </c>
    </row>
    <row r="130">
      <c r="A130" s="7" t="s">
        <v>342</v>
      </c>
      <c r="B130" s="8">
        <v>736.0</v>
      </c>
      <c r="C130" s="8">
        <v>804805.0</v>
      </c>
      <c r="D130" s="8">
        <v>808387.0</v>
      </c>
      <c r="E130" s="9" t="s">
        <v>387</v>
      </c>
      <c r="F130" s="9"/>
      <c r="G130" s="9" t="s">
        <v>388</v>
      </c>
      <c r="H130" s="9" t="s">
        <v>345</v>
      </c>
      <c r="I130" s="8">
        <v>1932.0</v>
      </c>
      <c r="J130" s="9" t="s">
        <v>389</v>
      </c>
      <c r="K130" s="9" t="s">
        <v>390</v>
      </c>
      <c r="L130" s="9" t="s">
        <v>391</v>
      </c>
      <c r="M130" s="9" t="s">
        <v>404</v>
      </c>
      <c r="N130" s="9" t="s">
        <v>35</v>
      </c>
      <c r="O130" s="9" t="s">
        <v>405</v>
      </c>
      <c r="P130" s="9" t="s">
        <v>364</v>
      </c>
      <c r="Q130" s="8">
        <v>1.0</v>
      </c>
      <c r="R130" s="8">
        <v>0.0</v>
      </c>
      <c r="S130" s="8">
        <v>0.0</v>
      </c>
      <c r="T130" s="8">
        <v>0.0</v>
      </c>
      <c r="U130" s="8">
        <v>0.0</v>
      </c>
      <c r="V130" s="8">
        <v>0.0</v>
      </c>
      <c r="W130" s="8">
        <v>0.0</v>
      </c>
      <c r="X130" s="8">
        <v>0.0</v>
      </c>
      <c r="Y130" s="8">
        <v>0.0</v>
      </c>
      <c r="Z130" s="8">
        <v>0.0</v>
      </c>
      <c r="AA130" s="8">
        <v>0.0</v>
      </c>
      <c r="AB130" s="8">
        <v>0.0</v>
      </c>
      <c r="AC130" s="8">
        <v>0.0</v>
      </c>
      <c r="AD130" s="9" t="s">
        <v>38</v>
      </c>
      <c r="AE130" s="9" t="s">
        <v>39</v>
      </c>
      <c r="AF130" s="9" t="s">
        <v>40</v>
      </c>
    </row>
    <row r="131">
      <c r="A131" s="7" t="s">
        <v>342</v>
      </c>
      <c r="B131" s="8">
        <v>764.0</v>
      </c>
      <c r="C131" s="8">
        <v>976178.0</v>
      </c>
      <c r="D131" s="8">
        <v>986074.0</v>
      </c>
      <c r="E131" s="9" t="s">
        <v>387</v>
      </c>
      <c r="F131" s="9"/>
      <c r="G131" s="9" t="s">
        <v>388</v>
      </c>
      <c r="H131" s="9" t="s">
        <v>345</v>
      </c>
      <c r="I131" s="8">
        <v>1932.0</v>
      </c>
      <c r="J131" s="9" t="s">
        <v>389</v>
      </c>
      <c r="K131" s="9" t="s">
        <v>390</v>
      </c>
      <c r="L131" s="9" t="s">
        <v>391</v>
      </c>
      <c r="M131" s="9" t="s">
        <v>406</v>
      </c>
      <c r="N131" s="9" t="s">
        <v>35</v>
      </c>
      <c r="O131" s="9" t="s">
        <v>407</v>
      </c>
      <c r="P131" s="9" t="s">
        <v>408</v>
      </c>
      <c r="Q131" s="8">
        <v>1.0</v>
      </c>
      <c r="R131" s="8">
        <v>0.0</v>
      </c>
      <c r="S131" s="8">
        <v>0.0</v>
      </c>
      <c r="T131" s="8">
        <v>0.0</v>
      </c>
      <c r="U131" s="8">
        <v>0.0</v>
      </c>
      <c r="V131" s="8">
        <v>0.0</v>
      </c>
      <c r="W131" s="8">
        <v>0.0</v>
      </c>
      <c r="X131" s="8">
        <v>0.0</v>
      </c>
      <c r="Y131" s="8">
        <v>0.0</v>
      </c>
      <c r="Z131" s="8">
        <v>0.0</v>
      </c>
      <c r="AA131" s="8">
        <v>0.0</v>
      </c>
      <c r="AB131" s="8">
        <v>0.0</v>
      </c>
      <c r="AC131" s="8">
        <v>0.0</v>
      </c>
      <c r="AD131" s="10" t="s">
        <v>44</v>
      </c>
      <c r="AE131" s="10" t="s">
        <v>40</v>
      </c>
      <c r="AF131" s="9" t="s">
        <v>40</v>
      </c>
    </row>
    <row r="132">
      <c r="A132" s="7" t="s">
        <v>342</v>
      </c>
      <c r="B132" s="8">
        <v>995.0</v>
      </c>
      <c r="C132" s="8">
        <v>2268611.0</v>
      </c>
      <c r="D132" s="8">
        <v>2271372.0</v>
      </c>
      <c r="E132" s="9" t="s">
        <v>387</v>
      </c>
      <c r="F132" s="9"/>
      <c r="G132" s="9" t="s">
        <v>388</v>
      </c>
      <c r="H132" s="9" t="s">
        <v>345</v>
      </c>
      <c r="I132" s="8">
        <v>1932.0</v>
      </c>
      <c r="J132" s="9" t="s">
        <v>389</v>
      </c>
      <c r="K132" s="9" t="s">
        <v>390</v>
      </c>
      <c r="L132" s="9" t="s">
        <v>391</v>
      </c>
      <c r="M132" s="9"/>
      <c r="N132" s="9" t="s">
        <v>45</v>
      </c>
      <c r="O132" s="9" t="s">
        <v>409</v>
      </c>
      <c r="P132" s="9" t="s">
        <v>364</v>
      </c>
      <c r="Q132" s="8">
        <v>1.0</v>
      </c>
      <c r="R132" s="8">
        <v>0.0</v>
      </c>
      <c r="S132" s="8">
        <v>0.0</v>
      </c>
      <c r="T132" s="8">
        <v>0.0</v>
      </c>
      <c r="U132" s="8">
        <v>0.0</v>
      </c>
      <c r="V132" s="8">
        <v>0.0</v>
      </c>
      <c r="W132" s="8">
        <v>0.0</v>
      </c>
      <c r="X132" s="8">
        <v>0.0</v>
      </c>
      <c r="Y132" s="8">
        <v>0.0</v>
      </c>
      <c r="Z132" s="8">
        <v>0.0</v>
      </c>
      <c r="AA132" s="8">
        <v>0.0</v>
      </c>
      <c r="AB132" s="8">
        <v>0.0</v>
      </c>
      <c r="AC132" s="8">
        <v>0.0</v>
      </c>
      <c r="AD132" s="9" t="s">
        <v>38</v>
      </c>
      <c r="AE132" s="9" t="s">
        <v>39</v>
      </c>
      <c r="AF132" s="9" t="s">
        <v>40</v>
      </c>
    </row>
    <row r="133">
      <c r="A133" s="7" t="s">
        <v>342</v>
      </c>
      <c r="B133" s="8">
        <v>996.0</v>
      </c>
      <c r="C133" s="8">
        <v>2284700.0</v>
      </c>
      <c r="D133" s="8">
        <v>2288297.0</v>
      </c>
      <c r="E133" s="9" t="s">
        <v>387</v>
      </c>
      <c r="F133" s="9"/>
      <c r="G133" s="9" t="s">
        <v>388</v>
      </c>
      <c r="H133" s="9" t="s">
        <v>345</v>
      </c>
      <c r="I133" s="8">
        <v>1932.0</v>
      </c>
      <c r="J133" s="9" t="s">
        <v>389</v>
      </c>
      <c r="K133" s="9" t="s">
        <v>390</v>
      </c>
      <c r="L133" s="9" t="s">
        <v>391</v>
      </c>
      <c r="M133" s="9" t="s">
        <v>410</v>
      </c>
      <c r="N133" s="9" t="s">
        <v>35</v>
      </c>
      <c r="O133" s="9" t="s">
        <v>411</v>
      </c>
      <c r="P133" s="9" t="s">
        <v>364</v>
      </c>
      <c r="Q133" s="8">
        <v>1.0</v>
      </c>
      <c r="R133" s="8">
        <v>0.0</v>
      </c>
      <c r="S133" s="8">
        <v>0.0</v>
      </c>
      <c r="T133" s="8">
        <v>0.0</v>
      </c>
      <c r="U133" s="8">
        <v>0.0</v>
      </c>
      <c r="V133" s="8">
        <v>0.0</v>
      </c>
      <c r="W133" s="8">
        <v>0.0</v>
      </c>
      <c r="X133" s="8">
        <v>0.0</v>
      </c>
      <c r="Y133" s="8">
        <v>0.0</v>
      </c>
      <c r="Z133" s="8">
        <v>0.0</v>
      </c>
      <c r="AA133" s="8">
        <v>0.0</v>
      </c>
      <c r="AB133" s="8">
        <v>0.0</v>
      </c>
      <c r="AC133" s="8">
        <v>0.0</v>
      </c>
      <c r="AD133" s="9" t="s">
        <v>38</v>
      </c>
      <c r="AE133" s="9" t="s">
        <v>39</v>
      </c>
      <c r="AF133" s="9" t="s">
        <v>40</v>
      </c>
    </row>
    <row r="134">
      <c r="A134" s="7" t="s">
        <v>342</v>
      </c>
      <c r="B134" s="8">
        <v>999.0</v>
      </c>
      <c r="C134" s="8">
        <v>2298405.0</v>
      </c>
      <c r="D134" s="8">
        <v>2319759.0</v>
      </c>
      <c r="E134" s="9" t="s">
        <v>387</v>
      </c>
      <c r="F134" s="9"/>
      <c r="G134" s="9" t="s">
        <v>388</v>
      </c>
      <c r="H134" s="9" t="s">
        <v>345</v>
      </c>
      <c r="I134" s="8">
        <v>1932.0</v>
      </c>
      <c r="J134" s="9" t="s">
        <v>389</v>
      </c>
      <c r="K134" s="9" t="s">
        <v>390</v>
      </c>
      <c r="L134" s="9" t="s">
        <v>391</v>
      </c>
      <c r="M134" s="9" t="s">
        <v>412</v>
      </c>
      <c r="N134" s="9" t="s">
        <v>35</v>
      </c>
      <c r="O134" s="9" t="s">
        <v>413</v>
      </c>
      <c r="P134" s="9" t="s">
        <v>364</v>
      </c>
      <c r="Q134" s="8">
        <v>1.0</v>
      </c>
      <c r="R134" s="8">
        <v>0.0</v>
      </c>
      <c r="S134" s="8">
        <v>0.0</v>
      </c>
      <c r="T134" s="8">
        <v>0.0</v>
      </c>
      <c r="U134" s="8">
        <v>0.0</v>
      </c>
      <c r="V134" s="8">
        <v>0.0</v>
      </c>
      <c r="W134" s="8">
        <v>0.0</v>
      </c>
      <c r="X134" s="8">
        <v>0.0</v>
      </c>
      <c r="Y134" s="8">
        <v>0.0</v>
      </c>
      <c r="Z134" s="8">
        <v>0.0</v>
      </c>
      <c r="AA134" s="8">
        <v>0.0</v>
      </c>
      <c r="AB134" s="8">
        <v>0.0</v>
      </c>
      <c r="AC134" s="8">
        <v>0.0</v>
      </c>
      <c r="AD134" s="9" t="s">
        <v>38</v>
      </c>
      <c r="AE134" s="9" t="s">
        <v>39</v>
      </c>
      <c r="AF134" s="9" t="s">
        <v>40</v>
      </c>
    </row>
    <row r="135">
      <c r="A135" s="7" t="s">
        <v>342</v>
      </c>
      <c r="B135" s="8">
        <v>1010.0</v>
      </c>
      <c r="C135" s="8">
        <v>2401046.0</v>
      </c>
      <c r="D135" s="8">
        <v>2406827.0</v>
      </c>
      <c r="E135" s="9" t="s">
        <v>387</v>
      </c>
      <c r="F135" s="9"/>
      <c r="G135" s="9" t="s">
        <v>388</v>
      </c>
      <c r="H135" s="9" t="s">
        <v>345</v>
      </c>
      <c r="I135" s="8">
        <v>1932.0</v>
      </c>
      <c r="J135" s="9" t="s">
        <v>389</v>
      </c>
      <c r="K135" s="9" t="s">
        <v>390</v>
      </c>
      <c r="L135" s="9" t="s">
        <v>391</v>
      </c>
      <c r="M135" s="9" t="s">
        <v>414</v>
      </c>
      <c r="N135" s="9" t="s">
        <v>35</v>
      </c>
      <c r="O135" s="9" t="s">
        <v>415</v>
      </c>
      <c r="P135" s="9" t="s">
        <v>43</v>
      </c>
      <c r="Q135" s="8">
        <v>1.0</v>
      </c>
      <c r="R135" s="8">
        <v>0.0</v>
      </c>
      <c r="S135" s="8">
        <v>0.0</v>
      </c>
      <c r="T135" s="8">
        <v>0.0</v>
      </c>
      <c r="U135" s="8">
        <v>0.0</v>
      </c>
      <c r="V135" s="8">
        <v>0.0</v>
      </c>
      <c r="W135" s="8">
        <v>0.0</v>
      </c>
      <c r="X135" s="8">
        <v>0.0</v>
      </c>
      <c r="Y135" s="8">
        <v>0.0</v>
      </c>
      <c r="Z135" s="8">
        <v>0.0</v>
      </c>
      <c r="AA135" s="8">
        <v>0.0</v>
      </c>
      <c r="AB135" s="8">
        <v>0.0</v>
      </c>
      <c r="AC135" s="8">
        <v>0.0</v>
      </c>
      <c r="AD135" s="9" t="s">
        <v>38</v>
      </c>
      <c r="AE135" s="9" t="s">
        <v>39</v>
      </c>
      <c r="AF135" s="9" t="s">
        <v>40</v>
      </c>
    </row>
    <row r="136">
      <c r="A136" s="7" t="s">
        <v>342</v>
      </c>
      <c r="B136" s="8">
        <v>1127.0</v>
      </c>
      <c r="C136" s="8">
        <v>3163359.0</v>
      </c>
      <c r="D136" s="8">
        <v>3172140.0</v>
      </c>
      <c r="E136" s="9" t="s">
        <v>387</v>
      </c>
      <c r="F136" s="9"/>
      <c r="G136" s="9" t="s">
        <v>388</v>
      </c>
      <c r="H136" s="9" t="s">
        <v>345</v>
      </c>
      <c r="I136" s="8">
        <v>1932.0</v>
      </c>
      <c r="J136" s="9" t="s">
        <v>389</v>
      </c>
      <c r="K136" s="9" t="s">
        <v>390</v>
      </c>
      <c r="L136" s="9" t="s">
        <v>391</v>
      </c>
      <c r="M136" s="9" t="s">
        <v>416</v>
      </c>
      <c r="N136" s="9" t="s">
        <v>35</v>
      </c>
      <c r="O136" s="9" t="s">
        <v>417</v>
      </c>
      <c r="P136" s="9" t="s">
        <v>418</v>
      </c>
      <c r="Q136" s="8">
        <v>0.0</v>
      </c>
      <c r="R136" s="8">
        <v>1.0</v>
      </c>
      <c r="S136" s="8">
        <v>0.0</v>
      </c>
      <c r="T136" s="8">
        <v>0.0</v>
      </c>
      <c r="U136" s="8">
        <v>0.0</v>
      </c>
      <c r="V136" s="8">
        <v>0.0</v>
      </c>
      <c r="W136" s="8">
        <v>0.0</v>
      </c>
      <c r="X136" s="8">
        <v>0.0</v>
      </c>
      <c r="Y136" s="8">
        <v>0.0</v>
      </c>
      <c r="Z136" s="8">
        <v>0.0</v>
      </c>
      <c r="AA136" s="8">
        <v>0.0</v>
      </c>
      <c r="AB136" s="8">
        <v>0.0</v>
      </c>
      <c r="AC136" s="8">
        <v>0.0</v>
      </c>
      <c r="AD136" s="10" t="s">
        <v>44</v>
      </c>
      <c r="AE136" s="9" t="s">
        <v>40</v>
      </c>
      <c r="AF136" s="9" t="s">
        <v>40</v>
      </c>
    </row>
    <row r="137">
      <c r="A137" s="7" t="s">
        <v>342</v>
      </c>
      <c r="B137" s="8">
        <v>1144.0</v>
      </c>
      <c r="C137" s="8">
        <v>3263890.0</v>
      </c>
      <c r="D137" s="8">
        <v>3276140.0</v>
      </c>
      <c r="E137" s="9" t="s">
        <v>387</v>
      </c>
      <c r="F137" s="9"/>
      <c r="G137" s="9" t="s">
        <v>388</v>
      </c>
      <c r="H137" s="9" t="s">
        <v>345</v>
      </c>
      <c r="I137" s="8">
        <v>1932.0</v>
      </c>
      <c r="J137" s="9" t="s">
        <v>389</v>
      </c>
      <c r="K137" s="9" t="s">
        <v>390</v>
      </c>
      <c r="L137" s="9" t="s">
        <v>391</v>
      </c>
      <c r="M137" s="9" t="s">
        <v>419</v>
      </c>
      <c r="N137" s="9" t="s">
        <v>35</v>
      </c>
      <c r="O137" s="9" t="s">
        <v>420</v>
      </c>
      <c r="P137" s="9" t="s">
        <v>421</v>
      </c>
      <c r="Q137" s="8">
        <v>1.0</v>
      </c>
      <c r="R137" s="8">
        <v>0.0</v>
      </c>
      <c r="S137" s="8">
        <v>0.0</v>
      </c>
      <c r="T137" s="8">
        <v>0.0</v>
      </c>
      <c r="U137" s="8">
        <v>0.0</v>
      </c>
      <c r="V137" s="8">
        <v>0.0</v>
      </c>
      <c r="W137" s="8">
        <v>0.0</v>
      </c>
      <c r="X137" s="8">
        <v>0.0</v>
      </c>
      <c r="Y137" s="8">
        <v>0.0</v>
      </c>
      <c r="Z137" s="8">
        <v>0.0</v>
      </c>
      <c r="AA137" s="8">
        <v>0.0</v>
      </c>
      <c r="AB137" s="8">
        <v>0.0</v>
      </c>
      <c r="AC137" s="8">
        <v>0.0</v>
      </c>
      <c r="AD137" s="9" t="s">
        <v>38</v>
      </c>
      <c r="AE137" s="9" t="s">
        <v>39</v>
      </c>
      <c r="AF137" s="9" t="s">
        <v>40</v>
      </c>
    </row>
    <row r="138">
      <c r="A138" s="7" t="s">
        <v>342</v>
      </c>
      <c r="B138" s="8">
        <v>1400.0</v>
      </c>
      <c r="C138" s="8">
        <v>5041097.0</v>
      </c>
      <c r="D138" s="8">
        <v>5050392.0</v>
      </c>
      <c r="E138" s="9" t="s">
        <v>387</v>
      </c>
      <c r="F138" s="9"/>
      <c r="G138" s="9" t="s">
        <v>388</v>
      </c>
      <c r="H138" s="9" t="s">
        <v>345</v>
      </c>
      <c r="I138" s="8">
        <v>1932.0</v>
      </c>
      <c r="J138" s="9" t="s">
        <v>389</v>
      </c>
      <c r="K138" s="9" t="s">
        <v>390</v>
      </c>
      <c r="L138" s="9" t="s">
        <v>391</v>
      </c>
      <c r="M138" s="9" t="s">
        <v>422</v>
      </c>
      <c r="N138" s="9" t="s">
        <v>35</v>
      </c>
      <c r="O138" s="9" t="s">
        <v>423</v>
      </c>
      <c r="P138" s="9" t="s">
        <v>424</v>
      </c>
      <c r="Q138" s="8">
        <v>0.0</v>
      </c>
      <c r="R138" s="8">
        <v>0.0</v>
      </c>
      <c r="S138" s="8">
        <v>0.0</v>
      </c>
      <c r="T138" s="8">
        <v>0.0</v>
      </c>
      <c r="U138" s="8">
        <v>0.0</v>
      </c>
      <c r="V138" s="8">
        <v>0.0</v>
      </c>
      <c r="W138" s="8">
        <v>0.0</v>
      </c>
      <c r="X138" s="8">
        <v>0.0</v>
      </c>
      <c r="Y138" s="8">
        <v>1.0</v>
      </c>
      <c r="Z138" s="8">
        <v>0.0</v>
      </c>
      <c r="AA138" s="8">
        <v>0.0</v>
      </c>
      <c r="AB138" s="8">
        <v>0.0</v>
      </c>
      <c r="AC138" s="8">
        <v>0.0</v>
      </c>
      <c r="AD138" s="9" t="s">
        <v>44</v>
      </c>
      <c r="AE138" s="9" t="s">
        <v>40</v>
      </c>
      <c r="AF138" s="9" t="s">
        <v>40</v>
      </c>
    </row>
    <row r="139">
      <c r="A139" s="7" t="s">
        <v>342</v>
      </c>
      <c r="B139" s="8">
        <v>1500.0</v>
      </c>
      <c r="C139" s="8">
        <v>363883.0</v>
      </c>
      <c r="D139" s="8">
        <v>369400.0</v>
      </c>
      <c r="E139" s="9" t="s">
        <v>425</v>
      </c>
      <c r="F139" s="9"/>
      <c r="G139" s="9" t="s">
        <v>426</v>
      </c>
      <c r="H139" s="9" t="s">
        <v>345</v>
      </c>
      <c r="I139" s="8">
        <v>1953.0</v>
      </c>
      <c r="J139" s="9" t="s">
        <v>346</v>
      </c>
      <c r="K139" s="9" t="s">
        <v>43</v>
      </c>
      <c r="L139" s="9" t="s">
        <v>43</v>
      </c>
      <c r="M139" s="9" t="s">
        <v>427</v>
      </c>
      <c r="N139" s="9" t="s">
        <v>35</v>
      </c>
      <c r="O139" s="9" t="s">
        <v>428</v>
      </c>
      <c r="P139" s="9" t="s">
        <v>429</v>
      </c>
      <c r="Q139" s="8">
        <v>0.0</v>
      </c>
      <c r="R139" s="8">
        <v>0.0</v>
      </c>
      <c r="S139" s="8">
        <v>0.0</v>
      </c>
      <c r="T139" s="8">
        <v>0.0</v>
      </c>
      <c r="U139" s="8">
        <v>0.0</v>
      </c>
      <c r="V139" s="8">
        <v>0.0</v>
      </c>
      <c r="W139" s="8">
        <v>0.0</v>
      </c>
      <c r="X139" s="8">
        <v>1.0</v>
      </c>
      <c r="Y139" s="8">
        <v>0.0</v>
      </c>
      <c r="Z139" s="8">
        <v>0.0</v>
      </c>
      <c r="AA139" s="8">
        <v>0.0</v>
      </c>
      <c r="AB139" s="8">
        <v>0.0</v>
      </c>
      <c r="AC139" s="8">
        <v>0.0</v>
      </c>
      <c r="AD139" s="9" t="s">
        <v>44</v>
      </c>
      <c r="AE139" s="9" t="s">
        <v>40</v>
      </c>
      <c r="AF139" s="9" t="s">
        <v>40</v>
      </c>
    </row>
    <row r="140">
      <c r="A140" s="7" t="s">
        <v>342</v>
      </c>
      <c r="B140" s="8">
        <v>1527.0</v>
      </c>
      <c r="C140" s="8">
        <v>505171.0</v>
      </c>
      <c r="D140" s="8">
        <v>511833.0</v>
      </c>
      <c r="E140" s="9" t="s">
        <v>425</v>
      </c>
      <c r="F140" s="9"/>
      <c r="G140" s="9" t="s">
        <v>426</v>
      </c>
      <c r="H140" s="9" t="s">
        <v>345</v>
      </c>
      <c r="I140" s="8">
        <v>1953.0</v>
      </c>
      <c r="J140" s="9" t="s">
        <v>346</v>
      </c>
      <c r="K140" s="9" t="s">
        <v>43</v>
      </c>
      <c r="L140" s="9" t="s">
        <v>43</v>
      </c>
      <c r="M140" s="9"/>
      <c r="N140" s="9" t="s">
        <v>45</v>
      </c>
      <c r="O140" s="9" t="s">
        <v>430</v>
      </c>
      <c r="P140" s="9" t="s">
        <v>52</v>
      </c>
      <c r="Q140" s="8">
        <v>0.0</v>
      </c>
      <c r="R140" s="8">
        <v>0.0</v>
      </c>
      <c r="S140" s="8">
        <v>1.0</v>
      </c>
      <c r="T140" s="8">
        <v>0.0</v>
      </c>
      <c r="U140" s="8">
        <v>0.0</v>
      </c>
      <c r="V140" s="8">
        <v>0.0</v>
      </c>
      <c r="W140" s="8">
        <v>0.0</v>
      </c>
      <c r="X140" s="8">
        <v>0.0</v>
      </c>
      <c r="Y140" s="8">
        <v>0.0</v>
      </c>
      <c r="Z140" s="8">
        <v>0.0</v>
      </c>
      <c r="AA140" s="8">
        <v>0.0</v>
      </c>
      <c r="AB140" s="8">
        <v>0.0</v>
      </c>
      <c r="AC140" s="8">
        <v>0.0</v>
      </c>
      <c r="AD140" s="9" t="s">
        <v>38</v>
      </c>
      <c r="AE140" s="9" t="s">
        <v>39</v>
      </c>
      <c r="AF140" s="9" t="s">
        <v>40</v>
      </c>
    </row>
    <row r="141">
      <c r="A141" s="7" t="s">
        <v>342</v>
      </c>
      <c r="B141" s="8">
        <v>1543.0</v>
      </c>
      <c r="C141" s="8">
        <v>597653.0</v>
      </c>
      <c r="D141" s="8">
        <v>605144.0</v>
      </c>
      <c r="E141" s="9" t="s">
        <v>425</v>
      </c>
      <c r="F141" s="9"/>
      <c r="G141" s="9" t="s">
        <v>426</v>
      </c>
      <c r="H141" s="9" t="s">
        <v>345</v>
      </c>
      <c r="I141" s="8">
        <v>1953.0</v>
      </c>
      <c r="J141" s="9" t="s">
        <v>346</v>
      </c>
      <c r="K141" s="9" t="s">
        <v>43</v>
      </c>
      <c r="L141" s="9" t="s">
        <v>43</v>
      </c>
      <c r="M141" s="9" t="s">
        <v>431</v>
      </c>
      <c r="N141" s="9" t="s">
        <v>35</v>
      </c>
      <c r="O141" s="9" t="s">
        <v>432</v>
      </c>
      <c r="P141" s="9" t="s">
        <v>52</v>
      </c>
      <c r="Q141" s="8">
        <v>0.0</v>
      </c>
      <c r="R141" s="8">
        <v>0.0</v>
      </c>
      <c r="S141" s="8">
        <v>1.0</v>
      </c>
      <c r="T141" s="8">
        <v>0.0</v>
      </c>
      <c r="U141" s="8">
        <v>0.0</v>
      </c>
      <c r="V141" s="8">
        <v>0.0</v>
      </c>
      <c r="W141" s="8">
        <v>0.0</v>
      </c>
      <c r="X141" s="8">
        <v>0.0</v>
      </c>
      <c r="Y141" s="8">
        <v>0.0</v>
      </c>
      <c r="Z141" s="8">
        <v>0.0</v>
      </c>
      <c r="AA141" s="8">
        <v>0.0</v>
      </c>
      <c r="AB141" s="8">
        <v>0.0</v>
      </c>
      <c r="AC141" s="8">
        <v>0.0</v>
      </c>
      <c r="AD141" s="9" t="s">
        <v>38</v>
      </c>
      <c r="AE141" s="9" t="s">
        <v>39</v>
      </c>
      <c r="AF141" s="9" t="s">
        <v>40</v>
      </c>
    </row>
    <row r="142">
      <c r="A142" s="7" t="s">
        <v>342</v>
      </c>
      <c r="B142" s="8">
        <v>1587.0</v>
      </c>
      <c r="C142" s="8">
        <v>865187.0</v>
      </c>
      <c r="D142" s="8">
        <v>877511.0</v>
      </c>
      <c r="E142" s="9" t="s">
        <v>425</v>
      </c>
      <c r="F142" s="9"/>
      <c r="G142" s="9" t="s">
        <v>426</v>
      </c>
      <c r="H142" s="9" t="s">
        <v>345</v>
      </c>
      <c r="I142" s="8">
        <v>1953.0</v>
      </c>
      <c r="J142" s="9" t="s">
        <v>346</v>
      </c>
      <c r="K142" s="9" t="s">
        <v>43</v>
      </c>
      <c r="L142" s="9" t="s">
        <v>43</v>
      </c>
      <c r="M142" s="9" t="s">
        <v>433</v>
      </c>
      <c r="N142" s="9" t="s">
        <v>35</v>
      </c>
      <c r="O142" s="9" t="s">
        <v>434</v>
      </c>
      <c r="P142" s="9" t="s">
        <v>347</v>
      </c>
      <c r="Q142" s="8">
        <v>1.0</v>
      </c>
      <c r="R142" s="8">
        <v>0.0</v>
      </c>
      <c r="S142" s="8">
        <v>0.0</v>
      </c>
      <c r="T142" s="8">
        <v>0.0</v>
      </c>
      <c r="U142" s="8">
        <v>0.0</v>
      </c>
      <c r="V142" s="8">
        <v>0.0</v>
      </c>
      <c r="W142" s="8">
        <v>0.0</v>
      </c>
      <c r="X142" s="8">
        <v>0.0</v>
      </c>
      <c r="Y142" s="8">
        <v>0.0</v>
      </c>
      <c r="Z142" s="8">
        <v>0.0</v>
      </c>
      <c r="AA142" s="8">
        <v>0.0</v>
      </c>
      <c r="AB142" s="8">
        <v>0.0</v>
      </c>
      <c r="AC142" s="8">
        <v>0.0</v>
      </c>
      <c r="AD142" s="9" t="s">
        <v>38</v>
      </c>
      <c r="AE142" s="9" t="s">
        <v>39</v>
      </c>
      <c r="AF142" s="9" t="s">
        <v>40</v>
      </c>
    </row>
    <row r="143">
      <c r="A143" s="7" t="s">
        <v>342</v>
      </c>
      <c r="B143" s="8">
        <v>1587.0</v>
      </c>
      <c r="C143" s="8">
        <v>865187.0</v>
      </c>
      <c r="D143" s="8">
        <v>877511.0</v>
      </c>
      <c r="E143" s="9" t="s">
        <v>425</v>
      </c>
      <c r="F143" s="9"/>
      <c r="G143" s="9" t="s">
        <v>426</v>
      </c>
      <c r="H143" s="9" t="s">
        <v>345</v>
      </c>
      <c r="I143" s="8">
        <v>1953.0</v>
      </c>
      <c r="J143" s="9" t="s">
        <v>346</v>
      </c>
      <c r="K143" s="9" t="s">
        <v>43</v>
      </c>
      <c r="L143" s="9" t="s">
        <v>43</v>
      </c>
      <c r="M143" s="9" t="s">
        <v>435</v>
      </c>
      <c r="N143" s="9" t="s">
        <v>35</v>
      </c>
      <c r="O143" s="9" t="s">
        <v>436</v>
      </c>
      <c r="P143" s="9" t="s">
        <v>437</v>
      </c>
      <c r="Q143" s="8">
        <v>1.0</v>
      </c>
      <c r="R143" s="8">
        <v>0.0</v>
      </c>
      <c r="S143" s="8">
        <v>0.0</v>
      </c>
      <c r="T143" s="8">
        <v>0.0</v>
      </c>
      <c r="U143" s="8">
        <v>0.0</v>
      </c>
      <c r="V143" s="8">
        <v>0.0</v>
      </c>
      <c r="W143" s="8">
        <v>0.0</v>
      </c>
      <c r="X143" s="8">
        <v>0.0</v>
      </c>
      <c r="Y143" s="8">
        <v>0.0</v>
      </c>
      <c r="Z143" s="8">
        <v>0.0</v>
      </c>
      <c r="AA143" s="8">
        <v>0.0</v>
      </c>
      <c r="AB143" s="8">
        <v>0.0</v>
      </c>
      <c r="AC143" s="8">
        <v>0.0</v>
      </c>
      <c r="AD143" s="9" t="s">
        <v>38</v>
      </c>
      <c r="AE143" s="9" t="s">
        <v>39</v>
      </c>
      <c r="AF143" s="9" t="s">
        <v>40</v>
      </c>
    </row>
    <row r="144">
      <c r="A144" s="7" t="s">
        <v>342</v>
      </c>
      <c r="B144" s="8">
        <v>1651.0</v>
      </c>
      <c r="C144" s="8">
        <v>1180290.0</v>
      </c>
      <c r="D144" s="8">
        <v>1188200.0</v>
      </c>
      <c r="E144" s="9" t="s">
        <v>425</v>
      </c>
      <c r="F144" s="9"/>
      <c r="G144" s="9" t="s">
        <v>426</v>
      </c>
      <c r="H144" s="9" t="s">
        <v>345</v>
      </c>
      <c r="I144" s="8">
        <v>1953.0</v>
      </c>
      <c r="J144" s="9" t="s">
        <v>346</v>
      </c>
      <c r="K144" s="9" t="s">
        <v>43</v>
      </c>
      <c r="L144" s="9" t="s">
        <v>43</v>
      </c>
      <c r="M144" s="9" t="s">
        <v>438</v>
      </c>
      <c r="N144" s="9" t="s">
        <v>35</v>
      </c>
      <c r="O144" s="9" t="s">
        <v>439</v>
      </c>
      <c r="P144" s="9" t="s">
        <v>408</v>
      </c>
      <c r="Q144" s="8">
        <v>1.0</v>
      </c>
      <c r="R144" s="8">
        <v>0.0</v>
      </c>
      <c r="S144" s="8">
        <v>0.0</v>
      </c>
      <c r="T144" s="8">
        <v>0.0</v>
      </c>
      <c r="U144" s="8">
        <v>0.0</v>
      </c>
      <c r="V144" s="8">
        <v>0.0</v>
      </c>
      <c r="W144" s="8">
        <v>0.0</v>
      </c>
      <c r="X144" s="8">
        <v>0.0</v>
      </c>
      <c r="Y144" s="8">
        <v>0.0</v>
      </c>
      <c r="Z144" s="8">
        <v>0.0</v>
      </c>
      <c r="AA144" s="8">
        <v>0.0</v>
      </c>
      <c r="AB144" s="8">
        <v>0.0</v>
      </c>
      <c r="AC144" s="8">
        <v>0.0</v>
      </c>
      <c r="AD144" s="10" t="s">
        <v>44</v>
      </c>
      <c r="AE144" s="9" t="s">
        <v>40</v>
      </c>
      <c r="AF144" s="9" t="s">
        <v>40</v>
      </c>
    </row>
    <row r="145">
      <c r="A145" s="7" t="s">
        <v>342</v>
      </c>
      <c r="B145" s="8">
        <v>1667.0</v>
      </c>
      <c r="C145" s="8">
        <v>1277780.0</v>
      </c>
      <c r="D145" s="8">
        <v>1280680.0</v>
      </c>
      <c r="E145" s="9" t="s">
        <v>425</v>
      </c>
      <c r="F145" s="9"/>
      <c r="G145" s="9" t="s">
        <v>426</v>
      </c>
      <c r="H145" s="9" t="s">
        <v>345</v>
      </c>
      <c r="I145" s="8">
        <v>1953.0</v>
      </c>
      <c r="J145" s="9" t="s">
        <v>346</v>
      </c>
      <c r="K145" s="9" t="s">
        <v>43</v>
      </c>
      <c r="L145" s="9" t="s">
        <v>43</v>
      </c>
      <c r="M145" s="9" t="s">
        <v>440</v>
      </c>
      <c r="N145" s="9" t="s">
        <v>35</v>
      </c>
      <c r="O145" s="9" t="s">
        <v>441</v>
      </c>
      <c r="P145" s="9" t="s">
        <v>359</v>
      </c>
      <c r="Q145" s="8">
        <v>1.0</v>
      </c>
      <c r="R145" s="8">
        <v>0.0</v>
      </c>
      <c r="S145" s="8">
        <v>0.0</v>
      </c>
      <c r="T145" s="8">
        <v>0.0</v>
      </c>
      <c r="U145" s="8">
        <v>0.0</v>
      </c>
      <c r="V145" s="8">
        <v>0.0</v>
      </c>
      <c r="W145" s="8">
        <v>0.0</v>
      </c>
      <c r="X145" s="8">
        <v>0.0</v>
      </c>
      <c r="Y145" s="8">
        <v>0.0</v>
      </c>
      <c r="Z145" s="8">
        <v>0.0</v>
      </c>
      <c r="AA145" s="8">
        <v>0.0</v>
      </c>
      <c r="AB145" s="8">
        <v>0.0</v>
      </c>
      <c r="AC145" s="8">
        <v>0.0</v>
      </c>
      <c r="AD145" s="10" t="s">
        <v>44</v>
      </c>
      <c r="AE145" s="9" t="s">
        <v>40</v>
      </c>
      <c r="AF145" s="9" t="s">
        <v>40</v>
      </c>
    </row>
    <row r="146">
      <c r="A146" s="7" t="s">
        <v>342</v>
      </c>
      <c r="B146" s="8">
        <v>1668.0</v>
      </c>
      <c r="C146" s="8">
        <v>1282220.0</v>
      </c>
      <c r="D146" s="8">
        <v>1283840.0</v>
      </c>
      <c r="E146" s="9" t="s">
        <v>425</v>
      </c>
      <c r="F146" s="9"/>
      <c r="G146" s="9" t="s">
        <v>426</v>
      </c>
      <c r="H146" s="9" t="s">
        <v>345</v>
      </c>
      <c r="I146" s="8">
        <v>1953.0</v>
      </c>
      <c r="J146" s="9" t="s">
        <v>346</v>
      </c>
      <c r="K146" s="9" t="s">
        <v>43</v>
      </c>
      <c r="L146" s="9" t="s">
        <v>43</v>
      </c>
      <c r="M146" s="9" t="s">
        <v>442</v>
      </c>
      <c r="N146" s="9" t="s">
        <v>35</v>
      </c>
      <c r="O146" s="9" t="s">
        <v>443</v>
      </c>
      <c r="P146" s="9" t="s">
        <v>444</v>
      </c>
      <c r="Q146" s="8">
        <v>1.0</v>
      </c>
      <c r="R146" s="8">
        <v>0.0</v>
      </c>
      <c r="S146" s="8">
        <v>0.0</v>
      </c>
      <c r="T146" s="8">
        <v>0.0</v>
      </c>
      <c r="U146" s="8">
        <v>0.0</v>
      </c>
      <c r="V146" s="8">
        <v>0.0</v>
      </c>
      <c r="W146" s="8">
        <v>0.0</v>
      </c>
      <c r="X146" s="8">
        <v>0.0</v>
      </c>
      <c r="Y146" s="8">
        <v>0.0</v>
      </c>
      <c r="Z146" s="8">
        <v>0.0</v>
      </c>
      <c r="AA146" s="8">
        <v>0.0</v>
      </c>
      <c r="AB146" s="8">
        <v>0.0</v>
      </c>
      <c r="AC146" s="8">
        <v>0.0</v>
      </c>
      <c r="AD146" s="10" t="s">
        <v>44</v>
      </c>
      <c r="AE146" s="9" t="s">
        <v>40</v>
      </c>
      <c r="AF146" s="9" t="s">
        <v>40</v>
      </c>
    </row>
    <row r="147">
      <c r="A147" s="7" t="s">
        <v>342</v>
      </c>
      <c r="B147" s="8">
        <v>1707.0</v>
      </c>
      <c r="C147" s="8">
        <v>1498041.0</v>
      </c>
      <c r="D147" s="8">
        <v>1507025.0</v>
      </c>
      <c r="E147" s="9" t="s">
        <v>425</v>
      </c>
      <c r="F147" s="9"/>
      <c r="G147" s="9" t="s">
        <v>426</v>
      </c>
      <c r="H147" s="9" t="s">
        <v>345</v>
      </c>
      <c r="I147" s="8">
        <v>1953.0</v>
      </c>
      <c r="J147" s="9" t="s">
        <v>346</v>
      </c>
      <c r="K147" s="9" t="s">
        <v>43</v>
      </c>
      <c r="L147" s="9" t="s">
        <v>43</v>
      </c>
      <c r="M147" s="9" t="s">
        <v>445</v>
      </c>
      <c r="N147" s="9" t="s">
        <v>45</v>
      </c>
      <c r="O147" s="9" t="s">
        <v>446</v>
      </c>
      <c r="P147" s="9" t="s">
        <v>447</v>
      </c>
      <c r="Q147" s="8">
        <v>0.0</v>
      </c>
      <c r="R147" s="8">
        <v>0.0</v>
      </c>
      <c r="S147" s="8">
        <v>0.0</v>
      </c>
      <c r="T147" s="8">
        <v>0.0</v>
      </c>
      <c r="U147" s="8">
        <v>1.0</v>
      </c>
      <c r="V147" s="8">
        <v>0.0</v>
      </c>
      <c r="W147" s="8">
        <v>0.0</v>
      </c>
      <c r="X147" s="8">
        <v>0.0</v>
      </c>
      <c r="Y147" s="8">
        <v>0.0</v>
      </c>
      <c r="Z147" s="8">
        <v>0.0</v>
      </c>
      <c r="AA147" s="8">
        <v>0.0</v>
      </c>
      <c r="AB147" s="8">
        <v>0.0</v>
      </c>
      <c r="AC147" s="8">
        <v>0.0</v>
      </c>
      <c r="AD147" s="10" t="s">
        <v>44</v>
      </c>
      <c r="AE147" s="9" t="s">
        <v>40</v>
      </c>
      <c r="AF147" s="9" t="s">
        <v>40</v>
      </c>
    </row>
    <row r="148">
      <c r="A148" s="7" t="s">
        <v>342</v>
      </c>
      <c r="B148" s="8">
        <v>1853.0</v>
      </c>
      <c r="C148" s="8">
        <v>310420.0</v>
      </c>
      <c r="D148" s="8">
        <v>313270.0</v>
      </c>
      <c r="E148" s="9" t="s">
        <v>448</v>
      </c>
      <c r="F148" s="9"/>
      <c r="G148" s="9"/>
      <c r="H148" s="9"/>
      <c r="I148" s="9"/>
      <c r="J148" s="9"/>
      <c r="K148" s="9"/>
      <c r="L148" s="9"/>
      <c r="M148" s="9" t="s">
        <v>449</v>
      </c>
      <c r="N148" s="9" t="s">
        <v>35</v>
      </c>
      <c r="O148" s="9" t="s">
        <v>450</v>
      </c>
      <c r="P148" s="9" t="s">
        <v>37</v>
      </c>
      <c r="Q148" s="8">
        <v>0.0</v>
      </c>
      <c r="R148" s="8">
        <v>1.0</v>
      </c>
      <c r="S148" s="8">
        <v>0.0</v>
      </c>
      <c r="T148" s="8">
        <v>0.0</v>
      </c>
      <c r="U148" s="8">
        <v>0.0</v>
      </c>
      <c r="V148" s="8">
        <v>0.0</v>
      </c>
      <c r="W148" s="8">
        <v>0.0</v>
      </c>
      <c r="X148" s="8">
        <v>0.0</v>
      </c>
      <c r="Y148" s="8">
        <v>0.0</v>
      </c>
      <c r="Z148" s="8">
        <v>0.0</v>
      </c>
      <c r="AA148" s="8">
        <v>0.0</v>
      </c>
      <c r="AB148" s="8">
        <v>0.0</v>
      </c>
      <c r="AC148" s="8">
        <v>0.0</v>
      </c>
      <c r="AD148" s="9" t="s">
        <v>38</v>
      </c>
      <c r="AE148" s="9" t="s">
        <v>39</v>
      </c>
      <c r="AF148" s="9" t="s">
        <v>40</v>
      </c>
    </row>
    <row r="149">
      <c r="A149" s="7" t="s">
        <v>342</v>
      </c>
      <c r="B149" s="8">
        <v>1868.0</v>
      </c>
      <c r="C149" s="8">
        <v>383720.0</v>
      </c>
      <c r="D149" s="8">
        <v>388060.0</v>
      </c>
      <c r="E149" s="9" t="s">
        <v>448</v>
      </c>
      <c r="F149" s="9"/>
      <c r="G149" s="9"/>
      <c r="H149" s="9"/>
      <c r="I149" s="9"/>
      <c r="J149" s="9"/>
      <c r="K149" s="9"/>
      <c r="L149" s="9"/>
      <c r="M149" s="9" t="s">
        <v>451</v>
      </c>
      <c r="N149" s="9" t="s">
        <v>35</v>
      </c>
      <c r="O149" s="9" t="s">
        <v>452</v>
      </c>
      <c r="P149" s="9" t="s">
        <v>403</v>
      </c>
      <c r="Q149" s="8">
        <v>1.0</v>
      </c>
      <c r="R149" s="8">
        <v>0.0</v>
      </c>
      <c r="S149" s="8">
        <v>0.0</v>
      </c>
      <c r="T149" s="8">
        <v>0.0</v>
      </c>
      <c r="U149" s="8">
        <v>0.0</v>
      </c>
      <c r="V149" s="8">
        <v>0.0</v>
      </c>
      <c r="W149" s="8">
        <v>0.0</v>
      </c>
      <c r="X149" s="8">
        <v>0.0</v>
      </c>
      <c r="Y149" s="8">
        <v>0.0</v>
      </c>
      <c r="Z149" s="8">
        <v>0.0</v>
      </c>
      <c r="AA149" s="8">
        <v>0.0</v>
      </c>
      <c r="AB149" s="8">
        <v>0.0</v>
      </c>
      <c r="AC149" s="8">
        <v>0.0</v>
      </c>
      <c r="AD149" s="10" t="s">
        <v>44</v>
      </c>
      <c r="AE149" s="9" t="s">
        <v>40</v>
      </c>
      <c r="AF149" s="9" t="s">
        <v>40</v>
      </c>
    </row>
    <row r="150">
      <c r="A150" s="7" t="s">
        <v>342</v>
      </c>
      <c r="B150" s="8">
        <v>1933.0</v>
      </c>
      <c r="C150" s="8">
        <v>587925.0</v>
      </c>
      <c r="D150" s="8">
        <v>589295.0</v>
      </c>
      <c r="E150" s="9" t="s">
        <v>448</v>
      </c>
      <c r="F150" s="9"/>
      <c r="G150" s="9"/>
      <c r="H150" s="9"/>
      <c r="I150" s="9"/>
      <c r="J150" s="9"/>
      <c r="K150" s="9"/>
      <c r="L150" s="9"/>
      <c r="M150" s="9"/>
      <c r="N150" s="9" t="s">
        <v>45</v>
      </c>
      <c r="O150" s="9" t="s">
        <v>453</v>
      </c>
      <c r="P150" s="9" t="s">
        <v>454</v>
      </c>
      <c r="Q150" s="8">
        <v>0.0</v>
      </c>
      <c r="R150" s="8">
        <v>0.0</v>
      </c>
      <c r="S150" s="8">
        <v>1.0</v>
      </c>
      <c r="T150" s="8">
        <v>0.0</v>
      </c>
      <c r="U150" s="8">
        <v>0.0</v>
      </c>
      <c r="V150" s="8">
        <v>0.0</v>
      </c>
      <c r="W150" s="8">
        <v>0.0</v>
      </c>
      <c r="X150" s="8">
        <v>0.0</v>
      </c>
      <c r="Y150" s="8">
        <v>0.0</v>
      </c>
      <c r="Z150" s="8">
        <v>0.0</v>
      </c>
      <c r="AA150" s="8">
        <v>0.0</v>
      </c>
      <c r="AB150" s="8">
        <v>0.0</v>
      </c>
      <c r="AC150" s="8">
        <v>0.0</v>
      </c>
      <c r="AD150" s="9" t="s">
        <v>38</v>
      </c>
      <c r="AE150" s="9" t="s">
        <v>39</v>
      </c>
      <c r="AF150" s="9" t="s">
        <v>40</v>
      </c>
    </row>
    <row r="151">
      <c r="A151" s="7" t="s">
        <v>342</v>
      </c>
      <c r="B151" s="8">
        <v>1937.0</v>
      </c>
      <c r="C151" s="8">
        <v>596500.0</v>
      </c>
      <c r="D151" s="8">
        <v>597750.0</v>
      </c>
      <c r="E151" s="9" t="s">
        <v>448</v>
      </c>
      <c r="F151" s="9"/>
      <c r="G151" s="9"/>
      <c r="H151" s="9"/>
      <c r="I151" s="9"/>
      <c r="J151" s="9"/>
      <c r="K151" s="9"/>
      <c r="L151" s="9"/>
      <c r="M151" s="9" t="s">
        <v>455</v>
      </c>
      <c r="N151" s="9" t="s">
        <v>35</v>
      </c>
      <c r="O151" s="9" t="s">
        <v>456</v>
      </c>
      <c r="P151" s="9" t="s">
        <v>52</v>
      </c>
      <c r="Q151" s="8">
        <v>0.0</v>
      </c>
      <c r="R151" s="8">
        <v>0.0</v>
      </c>
      <c r="S151" s="8">
        <v>1.0</v>
      </c>
      <c r="T151" s="8">
        <v>0.0</v>
      </c>
      <c r="U151" s="8">
        <v>0.0</v>
      </c>
      <c r="V151" s="8">
        <v>0.0</v>
      </c>
      <c r="W151" s="8">
        <v>0.0</v>
      </c>
      <c r="X151" s="8">
        <v>0.0</v>
      </c>
      <c r="Y151" s="8">
        <v>0.0</v>
      </c>
      <c r="Z151" s="8">
        <v>0.0</v>
      </c>
      <c r="AA151" s="8">
        <v>0.0</v>
      </c>
      <c r="AB151" s="8">
        <v>0.0</v>
      </c>
      <c r="AC151" s="8">
        <v>0.0</v>
      </c>
      <c r="AD151" s="9" t="s">
        <v>38</v>
      </c>
      <c r="AE151" s="9" t="s">
        <v>39</v>
      </c>
      <c r="AF151" s="9" t="s">
        <v>40</v>
      </c>
    </row>
    <row r="152">
      <c r="A152" s="7" t="s">
        <v>342</v>
      </c>
      <c r="B152" s="8">
        <v>1949.0</v>
      </c>
      <c r="C152" s="8">
        <v>627726.0</v>
      </c>
      <c r="D152" s="8">
        <v>629775.0</v>
      </c>
      <c r="E152" s="9" t="s">
        <v>448</v>
      </c>
      <c r="F152" s="9"/>
      <c r="G152" s="9"/>
      <c r="H152" s="9"/>
      <c r="I152" s="9"/>
      <c r="J152" s="9"/>
      <c r="K152" s="9"/>
      <c r="L152" s="9"/>
      <c r="M152" s="9"/>
      <c r="N152" s="9" t="s">
        <v>45</v>
      </c>
      <c r="O152" s="9" t="s">
        <v>457</v>
      </c>
      <c r="P152" s="9" t="s">
        <v>458</v>
      </c>
      <c r="Q152" s="8">
        <v>0.0</v>
      </c>
      <c r="R152" s="8">
        <v>0.0</v>
      </c>
      <c r="S152" s="8">
        <v>0.0</v>
      </c>
      <c r="T152" s="8">
        <v>0.0</v>
      </c>
      <c r="U152" s="8">
        <v>1.0</v>
      </c>
      <c r="V152" s="8">
        <v>0.0</v>
      </c>
      <c r="W152" s="8">
        <v>0.0</v>
      </c>
      <c r="X152" s="8">
        <v>0.0</v>
      </c>
      <c r="Y152" s="8">
        <v>0.0</v>
      </c>
      <c r="Z152" s="8">
        <v>0.0</v>
      </c>
      <c r="AA152" s="8">
        <v>0.0</v>
      </c>
      <c r="AB152" s="8">
        <v>0.0</v>
      </c>
      <c r="AC152" s="8">
        <v>0.0</v>
      </c>
      <c r="AD152" s="9" t="s">
        <v>38</v>
      </c>
      <c r="AE152" s="9" t="s">
        <v>39</v>
      </c>
      <c r="AF152" s="9" t="s">
        <v>40</v>
      </c>
    </row>
    <row r="153">
      <c r="A153" s="7" t="s">
        <v>342</v>
      </c>
      <c r="B153" s="8">
        <v>2043.0</v>
      </c>
      <c r="C153" s="8">
        <v>977732.0</v>
      </c>
      <c r="D153" s="8">
        <v>980349.0</v>
      </c>
      <c r="E153" s="9" t="s">
        <v>448</v>
      </c>
      <c r="F153" s="9"/>
      <c r="G153" s="9"/>
      <c r="H153" s="9"/>
      <c r="I153" s="9"/>
      <c r="J153" s="9"/>
      <c r="K153" s="9"/>
      <c r="L153" s="9"/>
      <c r="M153" s="9" t="s">
        <v>459</v>
      </c>
      <c r="N153" s="9" t="s">
        <v>35</v>
      </c>
      <c r="O153" s="9" t="s">
        <v>460</v>
      </c>
      <c r="P153" s="9" t="s">
        <v>364</v>
      </c>
      <c r="Q153" s="8">
        <v>1.0</v>
      </c>
      <c r="R153" s="8">
        <v>0.0</v>
      </c>
      <c r="S153" s="8">
        <v>0.0</v>
      </c>
      <c r="T153" s="8">
        <v>0.0</v>
      </c>
      <c r="U153" s="8">
        <v>0.0</v>
      </c>
      <c r="V153" s="8">
        <v>0.0</v>
      </c>
      <c r="W153" s="8">
        <v>0.0</v>
      </c>
      <c r="X153" s="8">
        <v>0.0</v>
      </c>
      <c r="Y153" s="8">
        <v>0.0</v>
      </c>
      <c r="Z153" s="8">
        <v>0.0</v>
      </c>
      <c r="AA153" s="8">
        <v>0.0</v>
      </c>
      <c r="AB153" s="8">
        <v>0.0</v>
      </c>
      <c r="AC153" s="8">
        <v>0.0</v>
      </c>
      <c r="AD153" s="9" t="s">
        <v>38</v>
      </c>
      <c r="AE153" s="9" t="s">
        <v>39</v>
      </c>
      <c r="AF153" s="9" t="s">
        <v>40</v>
      </c>
    </row>
    <row r="154">
      <c r="A154" s="7" t="s">
        <v>342</v>
      </c>
      <c r="B154" s="8">
        <v>2170.0</v>
      </c>
      <c r="C154" s="8">
        <v>1423245.0</v>
      </c>
      <c r="D154" s="8">
        <v>1427060.0</v>
      </c>
      <c r="E154" s="9" t="s">
        <v>448</v>
      </c>
      <c r="F154" s="9"/>
      <c r="G154" s="9"/>
      <c r="H154" s="9"/>
      <c r="I154" s="9"/>
      <c r="J154" s="9"/>
      <c r="K154" s="9"/>
      <c r="L154" s="9"/>
      <c r="M154" s="9" t="s">
        <v>461</v>
      </c>
      <c r="N154" s="9" t="s">
        <v>35</v>
      </c>
      <c r="O154" s="9" t="s">
        <v>462</v>
      </c>
      <c r="P154" s="9" t="s">
        <v>104</v>
      </c>
      <c r="Q154" s="8">
        <v>0.0</v>
      </c>
      <c r="R154" s="8">
        <v>1.0</v>
      </c>
      <c r="S154" s="8">
        <v>0.0</v>
      </c>
      <c r="T154" s="8">
        <v>0.0</v>
      </c>
      <c r="U154" s="8">
        <v>0.0</v>
      </c>
      <c r="V154" s="8">
        <v>0.0</v>
      </c>
      <c r="W154" s="8">
        <v>0.0</v>
      </c>
      <c r="X154" s="8">
        <v>0.0</v>
      </c>
      <c r="Y154" s="8">
        <v>0.0</v>
      </c>
      <c r="Z154" s="8">
        <v>0.0</v>
      </c>
      <c r="AA154" s="8">
        <v>0.0</v>
      </c>
      <c r="AB154" s="8">
        <v>0.0</v>
      </c>
      <c r="AC154" s="8">
        <v>0.0</v>
      </c>
      <c r="AD154" s="9" t="s">
        <v>38</v>
      </c>
      <c r="AE154" s="9" t="s">
        <v>39</v>
      </c>
      <c r="AF154" s="9" t="s">
        <v>40</v>
      </c>
    </row>
    <row r="155">
      <c r="A155" s="7" t="s">
        <v>342</v>
      </c>
      <c r="B155" s="8">
        <v>2610.0</v>
      </c>
      <c r="C155" s="8">
        <v>2903927.0</v>
      </c>
      <c r="D155" s="8">
        <v>2906707.0</v>
      </c>
      <c r="E155" s="9" t="s">
        <v>448</v>
      </c>
      <c r="F155" s="9"/>
      <c r="G155" s="9"/>
      <c r="H155" s="9"/>
      <c r="I155" s="9"/>
      <c r="J155" s="9"/>
      <c r="K155" s="9"/>
      <c r="L155" s="9"/>
      <c r="M155" s="9"/>
      <c r="N155" s="9" t="s">
        <v>45</v>
      </c>
      <c r="O155" s="9" t="s">
        <v>463</v>
      </c>
      <c r="P155" s="9" t="s">
        <v>408</v>
      </c>
      <c r="Q155" s="8">
        <v>1.0</v>
      </c>
      <c r="R155" s="8">
        <v>0.0</v>
      </c>
      <c r="S155" s="8">
        <v>0.0</v>
      </c>
      <c r="T155" s="8">
        <v>0.0</v>
      </c>
      <c r="U155" s="8">
        <v>0.0</v>
      </c>
      <c r="V155" s="8">
        <v>0.0</v>
      </c>
      <c r="W155" s="8">
        <v>0.0</v>
      </c>
      <c r="X155" s="8">
        <v>0.0</v>
      </c>
      <c r="Y155" s="8">
        <v>0.0</v>
      </c>
      <c r="Z155" s="8">
        <v>0.0</v>
      </c>
      <c r="AA155" s="8">
        <v>0.0</v>
      </c>
      <c r="AB155" s="8">
        <v>0.0</v>
      </c>
      <c r="AC155" s="8">
        <v>0.0</v>
      </c>
      <c r="AD155" s="10" t="s">
        <v>44</v>
      </c>
      <c r="AE155" s="10" t="s">
        <v>40</v>
      </c>
      <c r="AF155" s="9" t="s">
        <v>40</v>
      </c>
    </row>
    <row r="156">
      <c r="A156" s="7" t="s">
        <v>342</v>
      </c>
      <c r="B156" s="8">
        <v>2612.0</v>
      </c>
      <c r="C156" s="8">
        <v>2909078.0</v>
      </c>
      <c r="D156" s="8">
        <v>2910898.0</v>
      </c>
      <c r="E156" s="9" t="s">
        <v>448</v>
      </c>
      <c r="F156" s="9"/>
      <c r="G156" s="9"/>
      <c r="H156" s="9"/>
      <c r="I156" s="9"/>
      <c r="J156" s="9"/>
      <c r="K156" s="9"/>
      <c r="L156" s="9"/>
      <c r="M156" s="9" t="s">
        <v>464</v>
      </c>
      <c r="N156" s="9" t="s">
        <v>35</v>
      </c>
      <c r="O156" s="9" t="s">
        <v>465</v>
      </c>
      <c r="P156" s="9" t="s">
        <v>394</v>
      </c>
      <c r="Q156" s="8">
        <v>1.0</v>
      </c>
      <c r="R156" s="8">
        <v>0.0</v>
      </c>
      <c r="S156" s="8">
        <v>0.0</v>
      </c>
      <c r="T156" s="8">
        <v>0.0</v>
      </c>
      <c r="U156" s="8">
        <v>0.0</v>
      </c>
      <c r="V156" s="8">
        <v>0.0</v>
      </c>
      <c r="W156" s="8">
        <v>0.0</v>
      </c>
      <c r="X156" s="8">
        <v>0.0</v>
      </c>
      <c r="Y156" s="8">
        <v>0.0</v>
      </c>
      <c r="Z156" s="8">
        <v>0.0</v>
      </c>
      <c r="AA156" s="8">
        <v>0.0</v>
      </c>
      <c r="AB156" s="8">
        <v>0.0</v>
      </c>
      <c r="AC156" s="8">
        <v>0.0</v>
      </c>
      <c r="AD156" s="9" t="s">
        <v>38</v>
      </c>
      <c r="AE156" s="9" t="s">
        <v>39</v>
      </c>
      <c r="AF156" s="9" t="s">
        <v>40</v>
      </c>
    </row>
    <row r="157">
      <c r="A157" s="7" t="s">
        <v>342</v>
      </c>
      <c r="B157" s="8">
        <v>2718.0</v>
      </c>
      <c r="C157" s="8">
        <v>3302243.0</v>
      </c>
      <c r="D157" s="8">
        <v>3303533.0</v>
      </c>
      <c r="E157" s="9" t="s">
        <v>448</v>
      </c>
      <c r="F157" s="9"/>
      <c r="G157" s="9"/>
      <c r="H157" s="9"/>
      <c r="I157" s="9"/>
      <c r="J157" s="9"/>
      <c r="K157" s="9"/>
      <c r="L157" s="9"/>
      <c r="M157" s="9" t="s">
        <v>466</v>
      </c>
      <c r="N157" s="9" t="s">
        <v>35</v>
      </c>
      <c r="O157" s="9" t="s">
        <v>467</v>
      </c>
      <c r="P157" s="9" t="s">
        <v>37</v>
      </c>
      <c r="Q157" s="8">
        <v>0.0</v>
      </c>
      <c r="R157" s="8">
        <v>1.0</v>
      </c>
      <c r="S157" s="8">
        <v>0.0</v>
      </c>
      <c r="T157" s="8">
        <v>0.0</v>
      </c>
      <c r="U157" s="8">
        <v>0.0</v>
      </c>
      <c r="V157" s="8">
        <v>0.0</v>
      </c>
      <c r="W157" s="8">
        <v>0.0</v>
      </c>
      <c r="X157" s="8">
        <v>0.0</v>
      </c>
      <c r="Y157" s="8">
        <v>0.0</v>
      </c>
      <c r="Z157" s="8">
        <v>0.0</v>
      </c>
      <c r="AA157" s="8">
        <v>0.0</v>
      </c>
      <c r="AB157" s="8">
        <v>0.0</v>
      </c>
      <c r="AC157" s="8">
        <v>0.0</v>
      </c>
      <c r="AD157" s="10" t="s">
        <v>44</v>
      </c>
      <c r="AE157" s="9" t="s">
        <v>40</v>
      </c>
      <c r="AF157" s="9" t="s">
        <v>40</v>
      </c>
    </row>
    <row r="158">
      <c r="A158" s="7" t="s">
        <v>342</v>
      </c>
      <c r="B158" s="8">
        <v>2719.0</v>
      </c>
      <c r="C158" s="8">
        <v>3303731.0</v>
      </c>
      <c r="D158" s="8">
        <v>3305861.0</v>
      </c>
      <c r="E158" s="9" t="s">
        <v>448</v>
      </c>
      <c r="F158" s="9"/>
      <c r="G158" s="9"/>
      <c r="H158" s="9"/>
      <c r="I158" s="9"/>
      <c r="J158" s="9"/>
      <c r="K158" s="9"/>
      <c r="L158" s="9"/>
      <c r="M158" s="9"/>
      <c r="N158" s="9" t="s">
        <v>45</v>
      </c>
      <c r="O158" s="9" t="s">
        <v>468</v>
      </c>
      <c r="P158" s="9" t="s">
        <v>43</v>
      </c>
      <c r="Q158" s="8">
        <v>1.0</v>
      </c>
      <c r="R158" s="8">
        <v>0.0</v>
      </c>
      <c r="S158" s="8">
        <v>0.0</v>
      </c>
      <c r="T158" s="8">
        <v>0.0</v>
      </c>
      <c r="U158" s="8">
        <v>0.0</v>
      </c>
      <c r="V158" s="8">
        <v>0.0</v>
      </c>
      <c r="W158" s="8">
        <v>0.0</v>
      </c>
      <c r="X158" s="8">
        <v>0.0</v>
      </c>
      <c r="Y158" s="8">
        <v>0.0</v>
      </c>
      <c r="Z158" s="8">
        <v>0.0</v>
      </c>
      <c r="AA158" s="8">
        <v>0.0</v>
      </c>
      <c r="AB158" s="8">
        <v>0.0</v>
      </c>
      <c r="AC158" s="8">
        <v>0.0</v>
      </c>
      <c r="AD158" s="10" t="s">
        <v>44</v>
      </c>
      <c r="AE158" s="9" t="s">
        <v>40</v>
      </c>
      <c r="AF158" s="9" t="s">
        <v>40</v>
      </c>
    </row>
    <row r="159">
      <c r="A159" s="7" t="s">
        <v>342</v>
      </c>
      <c r="B159" s="8">
        <v>2797.0</v>
      </c>
      <c r="C159" s="8">
        <v>3615538.0</v>
      </c>
      <c r="D159" s="8">
        <v>3618028.0</v>
      </c>
      <c r="E159" s="9" t="s">
        <v>448</v>
      </c>
      <c r="F159" s="9"/>
      <c r="G159" s="9"/>
      <c r="H159" s="9"/>
      <c r="I159" s="9"/>
      <c r="J159" s="9"/>
      <c r="K159" s="9"/>
      <c r="L159" s="9"/>
      <c r="M159" s="9" t="s">
        <v>469</v>
      </c>
      <c r="N159" s="9" t="s">
        <v>35</v>
      </c>
      <c r="O159" s="9" t="s">
        <v>470</v>
      </c>
      <c r="P159" s="9" t="s">
        <v>471</v>
      </c>
      <c r="Q159" s="8">
        <v>0.0</v>
      </c>
      <c r="R159" s="8">
        <v>0.0</v>
      </c>
      <c r="S159" s="8">
        <v>0.0</v>
      </c>
      <c r="T159" s="8">
        <v>0.0</v>
      </c>
      <c r="U159" s="8">
        <v>0.0</v>
      </c>
      <c r="V159" s="11">
        <v>0.0</v>
      </c>
      <c r="W159" s="8">
        <v>0.0</v>
      </c>
      <c r="X159" s="11">
        <v>1.0</v>
      </c>
      <c r="Y159" s="8">
        <v>0.0</v>
      </c>
      <c r="Z159" s="8">
        <v>0.0</v>
      </c>
      <c r="AA159" s="8">
        <v>0.0</v>
      </c>
      <c r="AB159" s="8">
        <v>0.0</v>
      </c>
      <c r="AC159" s="8">
        <v>0.0</v>
      </c>
      <c r="AD159" s="9" t="s">
        <v>38</v>
      </c>
      <c r="AE159" s="9" t="s">
        <v>39</v>
      </c>
      <c r="AF159" s="9" t="s">
        <v>40</v>
      </c>
    </row>
    <row r="160">
      <c r="A160" s="7" t="s">
        <v>342</v>
      </c>
      <c r="B160" s="8">
        <v>2939.0</v>
      </c>
      <c r="C160" s="8">
        <v>3119385.0</v>
      </c>
      <c r="D160" s="8">
        <v>3122754.0</v>
      </c>
      <c r="E160" s="9" t="s">
        <v>472</v>
      </c>
      <c r="F160" s="9"/>
      <c r="G160" s="9" t="s">
        <v>344</v>
      </c>
      <c r="H160" s="9" t="s">
        <v>345</v>
      </c>
      <c r="I160" s="8">
        <v>1940.0</v>
      </c>
      <c r="J160" s="9" t="s">
        <v>346</v>
      </c>
      <c r="K160" s="9" t="s">
        <v>347</v>
      </c>
      <c r="L160" s="9" t="s">
        <v>43</v>
      </c>
      <c r="M160" s="9" t="s">
        <v>473</v>
      </c>
      <c r="N160" s="9" t="s">
        <v>35</v>
      </c>
      <c r="O160" s="9" t="s">
        <v>474</v>
      </c>
      <c r="P160" s="9" t="s">
        <v>475</v>
      </c>
      <c r="Q160" s="8">
        <v>0.0</v>
      </c>
      <c r="R160" s="8">
        <v>0.0</v>
      </c>
      <c r="S160" s="8">
        <v>0.0</v>
      </c>
      <c r="T160" s="8">
        <v>0.0</v>
      </c>
      <c r="U160" s="8">
        <v>0.0</v>
      </c>
      <c r="V160" s="8">
        <v>0.0</v>
      </c>
      <c r="W160" s="8">
        <v>0.0</v>
      </c>
      <c r="X160" s="8">
        <v>0.0</v>
      </c>
      <c r="Y160" s="8">
        <v>1.0</v>
      </c>
      <c r="Z160" s="8">
        <v>0.0</v>
      </c>
      <c r="AA160" s="8">
        <v>0.0</v>
      </c>
      <c r="AB160" s="8">
        <v>0.0</v>
      </c>
      <c r="AC160" s="8">
        <v>0.0</v>
      </c>
      <c r="AD160" s="9" t="s">
        <v>92</v>
      </c>
      <c r="AE160" s="9" t="s">
        <v>39</v>
      </c>
      <c r="AF160" s="9" t="s">
        <v>40</v>
      </c>
    </row>
    <row r="161">
      <c r="A161" s="7" t="s">
        <v>342</v>
      </c>
      <c r="B161" s="8">
        <v>2941.0</v>
      </c>
      <c r="C161" s="8">
        <v>3133261.0</v>
      </c>
      <c r="D161" s="8">
        <v>3145692.0</v>
      </c>
      <c r="E161" s="9" t="s">
        <v>472</v>
      </c>
      <c r="F161" s="9"/>
      <c r="G161" s="9" t="s">
        <v>344</v>
      </c>
      <c r="H161" s="9" t="s">
        <v>345</v>
      </c>
      <c r="I161" s="8">
        <v>1940.0</v>
      </c>
      <c r="J161" s="9" t="s">
        <v>346</v>
      </c>
      <c r="K161" s="9" t="s">
        <v>347</v>
      </c>
      <c r="L161" s="9" t="s">
        <v>43</v>
      </c>
      <c r="M161" s="9" t="s">
        <v>476</v>
      </c>
      <c r="N161" s="9" t="s">
        <v>35</v>
      </c>
      <c r="O161" s="9" t="s">
        <v>477</v>
      </c>
      <c r="P161" s="9" t="s">
        <v>475</v>
      </c>
      <c r="Q161" s="8">
        <v>0.0</v>
      </c>
      <c r="R161" s="8">
        <v>0.0</v>
      </c>
      <c r="S161" s="8">
        <v>0.0</v>
      </c>
      <c r="T161" s="8">
        <v>0.0</v>
      </c>
      <c r="U161" s="8">
        <v>0.0</v>
      </c>
      <c r="V161" s="8">
        <v>0.0</v>
      </c>
      <c r="W161" s="8">
        <v>0.0</v>
      </c>
      <c r="X161" s="8">
        <v>0.0</v>
      </c>
      <c r="Y161" s="8">
        <v>1.0</v>
      </c>
      <c r="Z161" s="8">
        <v>0.0</v>
      </c>
      <c r="AA161" s="8">
        <v>0.0</v>
      </c>
      <c r="AB161" s="8">
        <v>0.0</v>
      </c>
      <c r="AC161" s="8">
        <v>0.0</v>
      </c>
      <c r="AD161" s="9" t="s">
        <v>92</v>
      </c>
      <c r="AE161" s="9" t="s">
        <v>39</v>
      </c>
      <c r="AF161" s="9" t="s">
        <v>40</v>
      </c>
    </row>
    <row r="162">
      <c r="A162" s="7" t="s">
        <v>342</v>
      </c>
      <c r="B162" s="8">
        <v>2942.0</v>
      </c>
      <c r="C162" s="8">
        <v>3146615.0</v>
      </c>
      <c r="D162" s="8">
        <v>3154477.0</v>
      </c>
      <c r="E162" s="9" t="s">
        <v>472</v>
      </c>
      <c r="F162" s="9"/>
      <c r="G162" s="9" t="s">
        <v>344</v>
      </c>
      <c r="H162" s="9" t="s">
        <v>345</v>
      </c>
      <c r="I162" s="8">
        <v>1940.0</v>
      </c>
      <c r="J162" s="9" t="s">
        <v>346</v>
      </c>
      <c r="K162" s="9" t="s">
        <v>347</v>
      </c>
      <c r="L162" s="9" t="s">
        <v>43</v>
      </c>
      <c r="M162" s="9" t="s">
        <v>478</v>
      </c>
      <c r="N162" s="9" t="s">
        <v>35</v>
      </c>
      <c r="O162" s="9" t="s">
        <v>479</v>
      </c>
      <c r="P162" s="9" t="s">
        <v>480</v>
      </c>
      <c r="Q162" s="8">
        <v>0.0</v>
      </c>
      <c r="R162" s="8">
        <v>0.0</v>
      </c>
      <c r="S162" s="8">
        <v>0.0</v>
      </c>
      <c r="T162" s="8">
        <v>0.0</v>
      </c>
      <c r="U162" s="8">
        <v>0.0</v>
      </c>
      <c r="V162" s="8">
        <v>0.0</v>
      </c>
      <c r="W162" s="8">
        <v>0.0</v>
      </c>
      <c r="X162" s="8">
        <v>1.0</v>
      </c>
      <c r="Y162" s="8">
        <v>0.0</v>
      </c>
      <c r="Z162" s="8">
        <v>0.0</v>
      </c>
      <c r="AA162" s="8">
        <v>0.0</v>
      </c>
      <c r="AB162" s="8">
        <v>0.0</v>
      </c>
      <c r="AC162" s="8">
        <v>0.0</v>
      </c>
      <c r="AD162" s="9" t="s">
        <v>92</v>
      </c>
      <c r="AE162" s="9" t="s">
        <v>39</v>
      </c>
      <c r="AF162" s="9" t="s">
        <v>40</v>
      </c>
    </row>
    <row r="163">
      <c r="A163" s="7" t="s">
        <v>342</v>
      </c>
      <c r="B163" s="8">
        <v>2944.0</v>
      </c>
      <c r="C163" s="8">
        <v>3162015.0</v>
      </c>
      <c r="D163" s="8">
        <v>3166261.0</v>
      </c>
      <c r="E163" s="9" t="s">
        <v>472</v>
      </c>
      <c r="F163" s="9"/>
      <c r="G163" s="9" t="s">
        <v>344</v>
      </c>
      <c r="H163" s="9" t="s">
        <v>345</v>
      </c>
      <c r="I163" s="8">
        <v>1940.0</v>
      </c>
      <c r="J163" s="9" t="s">
        <v>346</v>
      </c>
      <c r="K163" s="9" t="s">
        <v>347</v>
      </c>
      <c r="L163" s="9" t="s">
        <v>43</v>
      </c>
      <c r="M163" s="9" t="s">
        <v>481</v>
      </c>
      <c r="N163" s="9" t="s">
        <v>35</v>
      </c>
      <c r="O163" s="9" t="s">
        <v>482</v>
      </c>
      <c r="P163" s="9" t="s">
        <v>475</v>
      </c>
      <c r="Q163" s="8">
        <v>0.0</v>
      </c>
      <c r="R163" s="8">
        <v>0.0</v>
      </c>
      <c r="S163" s="8">
        <v>0.0</v>
      </c>
      <c r="T163" s="8">
        <v>0.0</v>
      </c>
      <c r="U163" s="8">
        <v>0.0</v>
      </c>
      <c r="V163" s="8">
        <v>0.0</v>
      </c>
      <c r="W163" s="8">
        <v>0.0</v>
      </c>
      <c r="X163" s="8">
        <v>0.0</v>
      </c>
      <c r="Y163" s="8">
        <v>1.0</v>
      </c>
      <c r="Z163" s="8">
        <v>0.0</v>
      </c>
      <c r="AA163" s="8">
        <v>0.0</v>
      </c>
      <c r="AB163" s="8">
        <v>0.0</v>
      </c>
      <c r="AC163" s="8">
        <v>0.0</v>
      </c>
      <c r="AD163" s="9" t="s">
        <v>92</v>
      </c>
      <c r="AE163" s="9" t="s">
        <v>39</v>
      </c>
      <c r="AF163" s="9" t="s">
        <v>40</v>
      </c>
    </row>
    <row r="164">
      <c r="A164" s="7" t="s">
        <v>342</v>
      </c>
      <c r="B164" s="8">
        <v>3120.0</v>
      </c>
      <c r="C164" s="8">
        <v>3668490.0</v>
      </c>
      <c r="D164" s="8">
        <v>3673760.0</v>
      </c>
      <c r="E164" s="9" t="s">
        <v>483</v>
      </c>
      <c r="F164" s="9"/>
      <c r="G164" s="9" t="s">
        <v>426</v>
      </c>
      <c r="H164" s="9" t="s">
        <v>345</v>
      </c>
      <c r="I164" s="8">
        <v>1953.0</v>
      </c>
      <c r="J164" s="9" t="s">
        <v>346</v>
      </c>
      <c r="K164" s="9" t="s">
        <v>43</v>
      </c>
      <c r="L164" s="9" t="s">
        <v>43</v>
      </c>
      <c r="M164" s="9" t="s">
        <v>484</v>
      </c>
      <c r="N164" s="9" t="s">
        <v>45</v>
      </c>
      <c r="O164" s="9" t="s">
        <v>485</v>
      </c>
      <c r="P164" s="9" t="s">
        <v>60</v>
      </c>
      <c r="Q164" s="8">
        <v>1.0</v>
      </c>
      <c r="R164" s="8">
        <v>0.0</v>
      </c>
      <c r="S164" s="8">
        <v>0.0</v>
      </c>
      <c r="T164" s="8">
        <v>0.0</v>
      </c>
      <c r="U164" s="8">
        <v>0.0</v>
      </c>
      <c r="V164" s="8">
        <v>0.0</v>
      </c>
      <c r="W164" s="8">
        <v>0.0</v>
      </c>
      <c r="X164" s="8">
        <v>0.0</v>
      </c>
      <c r="Y164" s="8">
        <v>0.0</v>
      </c>
      <c r="Z164" s="8">
        <v>0.0</v>
      </c>
      <c r="AA164" s="8">
        <v>0.0</v>
      </c>
      <c r="AB164" s="8">
        <v>0.0</v>
      </c>
      <c r="AC164" s="8">
        <v>0.0</v>
      </c>
      <c r="AD164" s="10" t="s">
        <v>38</v>
      </c>
      <c r="AE164" s="9" t="s">
        <v>39</v>
      </c>
      <c r="AF164" s="9" t="s">
        <v>40</v>
      </c>
    </row>
    <row r="165">
      <c r="A165" s="7" t="s">
        <v>342</v>
      </c>
      <c r="B165" s="8">
        <v>3120.0</v>
      </c>
      <c r="C165" s="8">
        <v>3668490.0</v>
      </c>
      <c r="D165" s="8">
        <v>3673760.0</v>
      </c>
      <c r="E165" s="9" t="s">
        <v>483</v>
      </c>
      <c r="F165" s="9"/>
      <c r="G165" s="9" t="s">
        <v>426</v>
      </c>
      <c r="H165" s="9" t="s">
        <v>345</v>
      </c>
      <c r="I165" s="8">
        <v>1953.0</v>
      </c>
      <c r="J165" s="9" t="s">
        <v>346</v>
      </c>
      <c r="K165" s="9" t="s">
        <v>43</v>
      </c>
      <c r="L165" s="9" t="s">
        <v>43</v>
      </c>
      <c r="M165" s="9" t="s">
        <v>486</v>
      </c>
      <c r="N165" s="9" t="s">
        <v>35</v>
      </c>
      <c r="O165" s="9" t="s">
        <v>487</v>
      </c>
      <c r="P165" s="9" t="s">
        <v>437</v>
      </c>
      <c r="Q165" s="8">
        <v>1.0</v>
      </c>
      <c r="R165" s="8">
        <v>0.0</v>
      </c>
      <c r="S165" s="8">
        <v>0.0</v>
      </c>
      <c r="T165" s="8">
        <v>0.0</v>
      </c>
      <c r="U165" s="8">
        <v>0.0</v>
      </c>
      <c r="V165" s="8">
        <v>0.0</v>
      </c>
      <c r="W165" s="8">
        <v>0.0</v>
      </c>
      <c r="X165" s="8">
        <v>0.0</v>
      </c>
      <c r="Y165" s="8">
        <v>0.0</v>
      </c>
      <c r="Z165" s="8">
        <v>0.0</v>
      </c>
      <c r="AA165" s="8">
        <v>0.0</v>
      </c>
      <c r="AB165" s="8">
        <v>0.0</v>
      </c>
      <c r="AC165" s="8">
        <v>0.0</v>
      </c>
      <c r="AD165" s="10" t="s">
        <v>38</v>
      </c>
      <c r="AE165" s="9" t="s">
        <v>39</v>
      </c>
      <c r="AF165" s="9" t="s">
        <v>40</v>
      </c>
    </row>
    <row r="166">
      <c r="A166" s="7" t="s">
        <v>342</v>
      </c>
      <c r="B166" s="8">
        <v>3193.0</v>
      </c>
      <c r="C166" s="8">
        <v>4071341.0</v>
      </c>
      <c r="D166" s="8">
        <v>4073772.0</v>
      </c>
      <c r="E166" s="9" t="s">
        <v>483</v>
      </c>
      <c r="F166" s="9"/>
      <c r="G166" s="9" t="s">
        <v>426</v>
      </c>
      <c r="H166" s="9" t="s">
        <v>345</v>
      </c>
      <c r="I166" s="8">
        <v>1953.0</v>
      </c>
      <c r="J166" s="9" t="s">
        <v>346</v>
      </c>
      <c r="K166" s="9" t="s">
        <v>43</v>
      </c>
      <c r="L166" s="9" t="s">
        <v>43</v>
      </c>
      <c r="M166" s="9"/>
      <c r="N166" s="9" t="s">
        <v>45</v>
      </c>
      <c r="O166" s="9" t="s">
        <v>488</v>
      </c>
      <c r="P166" s="9" t="s">
        <v>489</v>
      </c>
      <c r="Q166" s="8">
        <v>0.0</v>
      </c>
      <c r="R166" s="8">
        <v>0.0</v>
      </c>
      <c r="S166" s="8">
        <v>0.0</v>
      </c>
      <c r="T166" s="8">
        <v>0.0</v>
      </c>
      <c r="U166" s="8">
        <v>0.0</v>
      </c>
      <c r="V166" s="8">
        <v>0.0</v>
      </c>
      <c r="W166" s="8">
        <v>0.0</v>
      </c>
      <c r="X166" s="8">
        <v>1.0</v>
      </c>
      <c r="Y166" s="8">
        <v>0.0</v>
      </c>
      <c r="Z166" s="8">
        <v>0.0</v>
      </c>
      <c r="AA166" s="8">
        <v>0.0</v>
      </c>
      <c r="AB166" s="8">
        <v>0.0</v>
      </c>
      <c r="AC166" s="8">
        <v>0.0</v>
      </c>
      <c r="AD166" s="9" t="s">
        <v>38</v>
      </c>
      <c r="AE166" s="9" t="s">
        <v>39</v>
      </c>
      <c r="AF166" s="9" t="s">
        <v>40</v>
      </c>
    </row>
    <row r="167">
      <c r="A167" s="7" t="s">
        <v>342</v>
      </c>
      <c r="B167" s="8">
        <v>3222.0</v>
      </c>
      <c r="C167" s="8">
        <v>4210231.0</v>
      </c>
      <c r="D167" s="8">
        <v>4215649.0</v>
      </c>
      <c r="E167" s="9" t="s">
        <v>483</v>
      </c>
      <c r="F167" s="9"/>
      <c r="G167" s="9" t="s">
        <v>426</v>
      </c>
      <c r="H167" s="9" t="s">
        <v>345</v>
      </c>
      <c r="I167" s="8">
        <v>1953.0</v>
      </c>
      <c r="J167" s="9" t="s">
        <v>346</v>
      </c>
      <c r="K167" s="9" t="s">
        <v>43</v>
      </c>
      <c r="L167" s="9" t="s">
        <v>43</v>
      </c>
      <c r="M167" s="9" t="s">
        <v>490</v>
      </c>
      <c r="N167" s="9" t="s">
        <v>35</v>
      </c>
      <c r="O167" s="9" t="s">
        <v>491</v>
      </c>
      <c r="P167" s="9" t="s">
        <v>52</v>
      </c>
      <c r="Q167" s="8">
        <v>0.0</v>
      </c>
      <c r="R167" s="8">
        <v>0.0</v>
      </c>
      <c r="S167" s="8">
        <v>1.0</v>
      </c>
      <c r="T167" s="8">
        <v>0.0</v>
      </c>
      <c r="U167" s="8">
        <v>0.0</v>
      </c>
      <c r="V167" s="8">
        <v>0.0</v>
      </c>
      <c r="W167" s="8">
        <v>0.0</v>
      </c>
      <c r="X167" s="8">
        <v>0.0</v>
      </c>
      <c r="Y167" s="8">
        <v>0.0</v>
      </c>
      <c r="Z167" s="8">
        <v>0.0</v>
      </c>
      <c r="AA167" s="8">
        <v>0.0</v>
      </c>
      <c r="AB167" s="8">
        <v>0.0</v>
      </c>
      <c r="AC167" s="8">
        <v>0.0</v>
      </c>
      <c r="AD167" s="9" t="s">
        <v>38</v>
      </c>
      <c r="AE167" s="9" t="s">
        <v>39</v>
      </c>
      <c r="AF167" s="9" t="s">
        <v>40</v>
      </c>
    </row>
    <row r="168">
      <c r="A168" s="7" t="s">
        <v>342</v>
      </c>
      <c r="B168" s="8">
        <v>3252.0</v>
      </c>
      <c r="C168" s="8">
        <v>4324429.0</v>
      </c>
      <c r="D168" s="8">
        <v>4328884.0</v>
      </c>
      <c r="E168" s="9" t="s">
        <v>483</v>
      </c>
      <c r="F168" s="9"/>
      <c r="G168" s="9" t="s">
        <v>426</v>
      </c>
      <c r="H168" s="9" t="s">
        <v>345</v>
      </c>
      <c r="I168" s="8">
        <v>1953.0</v>
      </c>
      <c r="J168" s="9" t="s">
        <v>346</v>
      </c>
      <c r="K168" s="9" t="s">
        <v>43</v>
      </c>
      <c r="L168" s="9" t="s">
        <v>43</v>
      </c>
      <c r="M168" s="9" t="s">
        <v>492</v>
      </c>
      <c r="N168" s="9" t="s">
        <v>35</v>
      </c>
      <c r="O168" s="9" t="s">
        <v>493</v>
      </c>
      <c r="P168" s="9" t="s">
        <v>391</v>
      </c>
      <c r="Q168" s="8">
        <v>1.0</v>
      </c>
      <c r="R168" s="8">
        <v>0.0</v>
      </c>
      <c r="S168" s="8">
        <v>0.0</v>
      </c>
      <c r="T168" s="8">
        <v>0.0</v>
      </c>
      <c r="U168" s="8">
        <v>0.0</v>
      </c>
      <c r="V168" s="8">
        <v>0.0</v>
      </c>
      <c r="W168" s="8">
        <v>0.0</v>
      </c>
      <c r="X168" s="8">
        <v>0.0</v>
      </c>
      <c r="Y168" s="8">
        <v>0.0</v>
      </c>
      <c r="Z168" s="8">
        <v>0.0</v>
      </c>
      <c r="AA168" s="8">
        <v>0.0</v>
      </c>
      <c r="AB168" s="8">
        <v>0.0</v>
      </c>
      <c r="AC168" s="8">
        <v>0.0</v>
      </c>
      <c r="AD168" s="10" t="s">
        <v>44</v>
      </c>
      <c r="AE168" s="9" t="s">
        <v>40</v>
      </c>
      <c r="AF168" s="9" t="s">
        <v>40</v>
      </c>
    </row>
    <row r="169">
      <c r="A169" s="7" t="s">
        <v>342</v>
      </c>
      <c r="B169" s="8">
        <v>3277.0</v>
      </c>
      <c r="C169" s="8">
        <v>4439596.0</v>
      </c>
      <c r="D169" s="8">
        <v>4443517.0</v>
      </c>
      <c r="E169" s="9" t="s">
        <v>483</v>
      </c>
      <c r="F169" s="9"/>
      <c r="G169" s="9" t="s">
        <v>426</v>
      </c>
      <c r="H169" s="9" t="s">
        <v>345</v>
      </c>
      <c r="I169" s="8">
        <v>1953.0</v>
      </c>
      <c r="J169" s="9" t="s">
        <v>346</v>
      </c>
      <c r="K169" s="9" t="s">
        <v>43</v>
      </c>
      <c r="L169" s="9" t="s">
        <v>43</v>
      </c>
      <c r="M169" s="9" t="s">
        <v>494</v>
      </c>
      <c r="N169" s="9" t="s">
        <v>35</v>
      </c>
      <c r="O169" s="9" t="s">
        <v>495</v>
      </c>
      <c r="P169" s="9" t="s">
        <v>141</v>
      </c>
      <c r="Q169" s="8">
        <v>1.0</v>
      </c>
      <c r="R169" s="8">
        <v>0.0</v>
      </c>
      <c r="S169" s="8">
        <v>0.0</v>
      </c>
      <c r="T169" s="8">
        <v>0.0</v>
      </c>
      <c r="U169" s="8">
        <v>0.0</v>
      </c>
      <c r="V169" s="8">
        <v>0.0</v>
      </c>
      <c r="W169" s="8">
        <v>0.0</v>
      </c>
      <c r="X169" s="8">
        <v>0.0</v>
      </c>
      <c r="Y169" s="8">
        <v>0.0</v>
      </c>
      <c r="Z169" s="8">
        <v>0.0</v>
      </c>
      <c r="AA169" s="8">
        <v>0.0</v>
      </c>
      <c r="AB169" s="8">
        <v>0.0</v>
      </c>
      <c r="AC169" s="8">
        <v>0.0</v>
      </c>
      <c r="AD169" s="9" t="s">
        <v>38</v>
      </c>
      <c r="AE169" s="9" t="s">
        <v>39</v>
      </c>
      <c r="AF169" s="9" t="s">
        <v>40</v>
      </c>
    </row>
    <row r="170">
      <c r="A170" s="7" t="s">
        <v>342</v>
      </c>
      <c r="B170" s="8">
        <v>3480.0</v>
      </c>
      <c r="C170" s="8">
        <v>5379915.0</v>
      </c>
      <c r="D170" s="8">
        <v>5381679.0</v>
      </c>
      <c r="E170" s="9" t="s">
        <v>483</v>
      </c>
      <c r="F170" s="9"/>
      <c r="G170" s="9" t="s">
        <v>426</v>
      </c>
      <c r="H170" s="9" t="s">
        <v>345</v>
      </c>
      <c r="I170" s="8">
        <v>1953.0</v>
      </c>
      <c r="J170" s="9" t="s">
        <v>346</v>
      </c>
      <c r="K170" s="9" t="s">
        <v>43</v>
      </c>
      <c r="L170" s="9" t="s">
        <v>43</v>
      </c>
      <c r="M170" s="9"/>
      <c r="N170" s="9" t="s">
        <v>45</v>
      </c>
      <c r="O170" s="9" t="s">
        <v>496</v>
      </c>
      <c r="P170" s="9" t="s">
        <v>497</v>
      </c>
      <c r="Q170" s="8">
        <v>0.0</v>
      </c>
      <c r="R170" s="8">
        <v>0.0</v>
      </c>
      <c r="S170" s="8">
        <v>0.0</v>
      </c>
      <c r="T170" s="8">
        <v>0.0</v>
      </c>
      <c r="U170" s="8">
        <v>0.0</v>
      </c>
      <c r="V170" s="8">
        <v>0.0</v>
      </c>
      <c r="W170" s="8">
        <v>0.0</v>
      </c>
      <c r="X170" s="8">
        <v>0.0</v>
      </c>
      <c r="Y170" s="8">
        <v>1.0</v>
      </c>
      <c r="Z170" s="8">
        <v>0.0</v>
      </c>
      <c r="AA170" s="8">
        <v>0.0</v>
      </c>
      <c r="AB170" s="8">
        <v>0.0</v>
      </c>
      <c r="AC170" s="8">
        <v>0.0</v>
      </c>
      <c r="AD170" s="9" t="s">
        <v>92</v>
      </c>
      <c r="AE170" s="9" t="s">
        <v>39</v>
      </c>
      <c r="AF170" s="9" t="s">
        <v>40</v>
      </c>
    </row>
    <row r="171">
      <c r="A171" s="7" t="s">
        <v>342</v>
      </c>
      <c r="B171" s="8">
        <v>3557.0</v>
      </c>
      <c r="C171" s="8">
        <v>5757561.0</v>
      </c>
      <c r="D171" s="8">
        <v>5785268.0</v>
      </c>
      <c r="E171" s="9" t="s">
        <v>483</v>
      </c>
      <c r="F171" s="9"/>
      <c r="G171" s="9" t="s">
        <v>426</v>
      </c>
      <c r="H171" s="9" t="s">
        <v>345</v>
      </c>
      <c r="I171" s="8">
        <v>1953.0</v>
      </c>
      <c r="J171" s="9" t="s">
        <v>346</v>
      </c>
      <c r="K171" s="9" t="s">
        <v>43</v>
      </c>
      <c r="L171" s="9" t="s">
        <v>43</v>
      </c>
      <c r="M171" s="9" t="s">
        <v>498</v>
      </c>
      <c r="N171" s="9" t="s">
        <v>35</v>
      </c>
      <c r="O171" s="9" t="s">
        <v>499</v>
      </c>
      <c r="P171" s="9" t="s">
        <v>43</v>
      </c>
      <c r="Q171" s="8">
        <v>1.0</v>
      </c>
      <c r="R171" s="8">
        <v>0.0</v>
      </c>
      <c r="S171" s="8">
        <v>0.0</v>
      </c>
      <c r="T171" s="8">
        <v>0.0</v>
      </c>
      <c r="U171" s="8">
        <v>0.0</v>
      </c>
      <c r="V171" s="8">
        <v>0.0</v>
      </c>
      <c r="W171" s="8">
        <v>0.0</v>
      </c>
      <c r="X171" s="8">
        <v>0.0</v>
      </c>
      <c r="Y171" s="8">
        <v>0.0</v>
      </c>
      <c r="Z171" s="8">
        <v>0.0</v>
      </c>
      <c r="AA171" s="8">
        <v>0.0</v>
      </c>
      <c r="AB171" s="8">
        <v>0.0</v>
      </c>
      <c r="AC171" s="8">
        <v>0.0</v>
      </c>
      <c r="AD171" s="9" t="s">
        <v>38</v>
      </c>
      <c r="AE171" s="9" t="s">
        <v>39</v>
      </c>
      <c r="AF171" s="9" t="s">
        <v>40</v>
      </c>
    </row>
    <row r="172">
      <c r="A172" s="7" t="s">
        <v>342</v>
      </c>
      <c r="B172" s="8">
        <v>3616.0</v>
      </c>
      <c r="C172" s="8">
        <v>6142210.0</v>
      </c>
      <c r="D172" s="8">
        <v>6156057.0</v>
      </c>
      <c r="E172" s="9" t="s">
        <v>483</v>
      </c>
      <c r="F172" s="9"/>
      <c r="G172" s="9" t="s">
        <v>426</v>
      </c>
      <c r="H172" s="9" t="s">
        <v>345</v>
      </c>
      <c r="I172" s="8">
        <v>1953.0</v>
      </c>
      <c r="J172" s="9" t="s">
        <v>346</v>
      </c>
      <c r="K172" s="9" t="s">
        <v>43</v>
      </c>
      <c r="L172" s="9" t="s">
        <v>43</v>
      </c>
      <c r="M172" s="9" t="s">
        <v>500</v>
      </c>
      <c r="N172" s="9" t="s">
        <v>35</v>
      </c>
      <c r="O172" s="9" t="s">
        <v>501</v>
      </c>
      <c r="P172" s="9" t="s">
        <v>502</v>
      </c>
      <c r="Q172" s="8">
        <v>0.0</v>
      </c>
      <c r="R172" s="8">
        <v>0.0</v>
      </c>
      <c r="S172" s="8">
        <v>0.0</v>
      </c>
      <c r="T172" s="8">
        <v>1.0</v>
      </c>
      <c r="U172" s="8">
        <v>0.0</v>
      </c>
      <c r="V172" s="8">
        <v>0.0</v>
      </c>
      <c r="W172" s="8">
        <v>0.0</v>
      </c>
      <c r="X172" s="8">
        <v>0.0</v>
      </c>
      <c r="Y172" s="8">
        <v>0.0</v>
      </c>
      <c r="Z172" s="8">
        <v>0.0</v>
      </c>
      <c r="AA172" s="8">
        <v>0.0</v>
      </c>
      <c r="AB172" s="8">
        <v>0.0</v>
      </c>
      <c r="AC172" s="8">
        <v>0.0</v>
      </c>
      <c r="AD172" s="9" t="s">
        <v>38</v>
      </c>
      <c r="AE172" s="9" t="s">
        <v>39</v>
      </c>
      <c r="AF172" s="9" t="s">
        <v>40</v>
      </c>
    </row>
    <row r="173">
      <c r="A173" s="7" t="s">
        <v>342</v>
      </c>
      <c r="B173" s="8">
        <v>3627.0</v>
      </c>
      <c r="C173" s="8">
        <v>6200772.0</v>
      </c>
      <c r="D173" s="8">
        <v>6232692.0</v>
      </c>
      <c r="E173" s="9" t="s">
        <v>483</v>
      </c>
      <c r="F173" s="9"/>
      <c r="G173" s="9" t="s">
        <v>426</v>
      </c>
      <c r="H173" s="9" t="s">
        <v>345</v>
      </c>
      <c r="I173" s="8">
        <v>1953.0</v>
      </c>
      <c r="J173" s="9" t="s">
        <v>346</v>
      </c>
      <c r="K173" s="9" t="s">
        <v>43</v>
      </c>
      <c r="L173" s="9" t="s">
        <v>43</v>
      </c>
      <c r="M173" s="9" t="s">
        <v>503</v>
      </c>
      <c r="N173" s="9" t="s">
        <v>35</v>
      </c>
      <c r="O173" s="9" t="s">
        <v>504</v>
      </c>
      <c r="P173" s="9" t="s">
        <v>502</v>
      </c>
      <c r="Q173" s="8">
        <v>0.0</v>
      </c>
      <c r="R173" s="8">
        <v>0.0</v>
      </c>
      <c r="S173" s="8">
        <v>0.0</v>
      </c>
      <c r="T173" s="8">
        <v>1.0</v>
      </c>
      <c r="U173" s="8">
        <v>0.0</v>
      </c>
      <c r="V173" s="8">
        <v>0.0</v>
      </c>
      <c r="W173" s="8">
        <v>0.0</v>
      </c>
      <c r="X173" s="8">
        <v>0.0</v>
      </c>
      <c r="Y173" s="8">
        <v>0.0</v>
      </c>
      <c r="Z173" s="8">
        <v>0.0</v>
      </c>
      <c r="AA173" s="8">
        <v>0.0</v>
      </c>
      <c r="AB173" s="8">
        <v>0.0</v>
      </c>
      <c r="AC173" s="8">
        <v>0.0</v>
      </c>
      <c r="AD173" s="9" t="s">
        <v>38</v>
      </c>
      <c r="AE173" s="9" t="s">
        <v>39</v>
      </c>
      <c r="AF173" s="9" t="s">
        <v>40</v>
      </c>
    </row>
    <row r="174">
      <c r="A174" s="7" t="s">
        <v>342</v>
      </c>
      <c r="B174" s="8">
        <v>3707.0</v>
      </c>
      <c r="C174" s="8">
        <v>6620541.0</v>
      </c>
      <c r="D174" s="8">
        <v>6650412.0</v>
      </c>
      <c r="E174" s="9" t="s">
        <v>483</v>
      </c>
      <c r="F174" s="9"/>
      <c r="G174" s="9" t="s">
        <v>426</v>
      </c>
      <c r="H174" s="9" t="s">
        <v>345</v>
      </c>
      <c r="I174" s="8">
        <v>1953.0</v>
      </c>
      <c r="J174" s="9" t="s">
        <v>346</v>
      </c>
      <c r="K174" s="9" t="s">
        <v>43</v>
      </c>
      <c r="L174" s="9" t="s">
        <v>43</v>
      </c>
      <c r="M174" s="9" t="s">
        <v>505</v>
      </c>
      <c r="N174" s="9" t="s">
        <v>35</v>
      </c>
      <c r="O174" s="9" t="s">
        <v>506</v>
      </c>
      <c r="P174" s="9" t="s">
        <v>507</v>
      </c>
      <c r="Q174" s="8">
        <v>0.0</v>
      </c>
      <c r="R174" s="8">
        <v>0.0</v>
      </c>
      <c r="S174" s="8">
        <v>0.0</v>
      </c>
      <c r="T174" s="8">
        <v>0.0</v>
      </c>
      <c r="U174" s="8">
        <v>0.0</v>
      </c>
      <c r="V174" s="8">
        <v>0.0</v>
      </c>
      <c r="W174" s="8">
        <v>0.0</v>
      </c>
      <c r="X174" s="8">
        <v>0.0</v>
      </c>
      <c r="Y174" s="8">
        <v>1.0</v>
      </c>
      <c r="Z174" s="8">
        <v>0.0</v>
      </c>
      <c r="AA174" s="8">
        <v>0.0</v>
      </c>
      <c r="AB174" s="8">
        <v>0.0</v>
      </c>
      <c r="AC174" s="8">
        <v>0.0</v>
      </c>
      <c r="AD174" s="9" t="s">
        <v>44</v>
      </c>
      <c r="AE174" s="9" t="s">
        <v>40</v>
      </c>
      <c r="AF174" s="9" t="s">
        <v>40</v>
      </c>
    </row>
    <row r="175">
      <c r="A175" s="7" t="s">
        <v>342</v>
      </c>
      <c r="B175" s="8">
        <v>3886.0</v>
      </c>
      <c r="C175" s="8">
        <v>531560.0</v>
      </c>
      <c r="D175" s="8">
        <v>534370.0</v>
      </c>
      <c r="E175" s="9" t="s">
        <v>508</v>
      </c>
      <c r="F175" s="9"/>
      <c r="G175" s="9" t="s">
        <v>509</v>
      </c>
      <c r="H175" s="9" t="s">
        <v>345</v>
      </c>
      <c r="I175" s="8">
        <v>1939.0</v>
      </c>
      <c r="J175" s="9" t="s">
        <v>346</v>
      </c>
      <c r="K175" s="9" t="s">
        <v>43</v>
      </c>
      <c r="L175" s="9" t="s">
        <v>43</v>
      </c>
      <c r="M175" s="9" t="s">
        <v>510</v>
      </c>
      <c r="N175" s="9" t="s">
        <v>35</v>
      </c>
      <c r="O175" s="9" t="s">
        <v>467</v>
      </c>
      <c r="P175" s="9" t="s">
        <v>37</v>
      </c>
      <c r="Q175" s="8">
        <v>0.0</v>
      </c>
      <c r="R175" s="8">
        <v>1.0</v>
      </c>
      <c r="S175" s="8">
        <v>0.0</v>
      </c>
      <c r="T175" s="8">
        <v>0.0</v>
      </c>
      <c r="U175" s="8">
        <v>0.0</v>
      </c>
      <c r="V175" s="8">
        <v>0.0</v>
      </c>
      <c r="W175" s="8">
        <v>0.0</v>
      </c>
      <c r="X175" s="8">
        <v>0.0</v>
      </c>
      <c r="Y175" s="8">
        <v>0.0</v>
      </c>
      <c r="Z175" s="8">
        <v>0.0</v>
      </c>
      <c r="AA175" s="8">
        <v>0.0</v>
      </c>
      <c r="AB175" s="8">
        <v>0.0</v>
      </c>
      <c r="AC175" s="8">
        <v>0.0</v>
      </c>
      <c r="AD175" s="10" t="s">
        <v>44</v>
      </c>
      <c r="AE175" s="9" t="s">
        <v>40</v>
      </c>
      <c r="AF175" s="10" t="s">
        <v>40</v>
      </c>
    </row>
    <row r="176">
      <c r="A176" s="7" t="s">
        <v>342</v>
      </c>
      <c r="B176" s="8">
        <v>4103.0</v>
      </c>
      <c r="C176" s="8">
        <v>3702831.0</v>
      </c>
      <c r="D176" s="8">
        <v>3706185.0</v>
      </c>
      <c r="E176" s="9" t="s">
        <v>511</v>
      </c>
      <c r="F176" s="9"/>
      <c r="G176" s="9" t="s">
        <v>512</v>
      </c>
      <c r="H176" s="9" t="s">
        <v>345</v>
      </c>
      <c r="I176" s="8">
        <v>1950.0</v>
      </c>
      <c r="J176" s="9" t="s">
        <v>346</v>
      </c>
      <c r="K176" s="9" t="s">
        <v>391</v>
      </c>
      <c r="L176" s="9" t="s">
        <v>391</v>
      </c>
      <c r="M176" s="12" t="str">
        <f>у вас</f>
        <v>#ERROR!</v>
      </c>
      <c r="N176" s="9" t="s">
        <v>35</v>
      </c>
      <c r="O176" s="9" t="s">
        <v>513</v>
      </c>
      <c r="P176" s="9" t="s">
        <v>514</v>
      </c>
      <c r="Q176" s="8">
        <v>1.0</v>
      </c>
      <c r="R176" s="8">
        <v>0.0</v>
      </c>
      <c r="S176" s="8">
        <v>0.0</v>
      </c>
      <c r="T176" s="8">
        <v>0.0</v>
      </c>
      <c r="U176" s="8">
        <v>0.0</v>
      </c>
      <c r="V176" s="8">
        <v>0.0</v>
      </c>
      <c r="W176" s="8">
        <v>0.0</v>
      </c>
      <c r="X176" s="8">
        <v>0.0</v>
      </c>
      <c r="Y176" s="8">
        <v>0.0</v>
      </c>
      <c r="Z176" s="8">
        <v>0.0</v>
      </c>
      <c r="AA176" s="8">
        <v>0.0</v>
      </c>
      <c r="AB176" s="8">
        <v>0.0</v>
      </c>
      <c r="AC176" s="8">
        <v>0.0</v>
      </c>
      <c r="AD176" s="10" t="s">
        <v>44</v>
      </c>
      <c r="AE176" s="9" t="s">
        <v>40</v>
      </c>
      <c r="AF176" s="10" t="s">
        <v>166</v>
      </c>
    </row>
    <row r="177">
      <c r="A177" s="7" t="s">
        <v>342</v>
      </c>
      <c r="B177" s="8">
        <v>4104.0</v>
      </c>
      <c r="C177" s="8">
        <v>3707347.0</v>
      </c>
      <c r="D177" s="8">
        <v>3709299.0</v>
      </c>
      <c r="E177" s="9" t="s">
        <v>511</v>
      </c>
      <c r="F177" s="9"/>
      <c r="G177" s="9" t="s">
        <v>512</v>
      </c>
      <c r="H177" s="9" t="s">
        <v>345</v>
      </c>
      <c r="I177" s="8">
        <v>1950.0</v>
      </c>
      <c r="J177" s="9" t="s">
        <v>346</v>
      </c>
      <c r="K177" s="9" t="s">
        <v>391</v>
      </c>
      <c r="L177" s="9" t="s">
        <v>391</v>
      </c>
      <c r="M177" s="9" t="s">
        <v>515</v>
      </c>
      <c r="N177" s="9" t="s">
        <v>35</v>
      </c>
      <c r="O177" s="9" t="s">
        <v>516</v>
      </c>
      <c r="P177" s="9" t="s">
        <v>517</v>
      </c>
      <c r="Q177" s="8">
        <v>0.0</v>
      </c>
      <c r="R177" s="8">
        <v>0.0</v>
      </c>
      <c r="S177" s="8">
        <v>0.0</v>
      </c>
      <c r="T177" s="8">
        <v>0.0</v>
      </c>
      <c r="U177" s="8">
        <v>0.0</v>
      </c>
      <c r="V177" s="8">
        <v>0.0</v>
      </c>
      <c r="W177" s="8">
        <v>0.0</v>
      </c>
      <c r="X177" s="8">
        <v>0.0</v>
      </c>
      <c r="Y177" s="8">
        <v>1.0</v>
      </c>
      <c r="Z177" s="8">
        <v>0.0</v>
      </c>
      <c r="AA177" s="8">
        <v>0.0</v>
      </c>
      <c r="AB177" s="8">
        <v>0.0</v>
      </c>
      <c r="AC177" s="8">
        <v>0.0</v>
      </c>
      <c r="AD177" s="9" t="s">
        <v>92</v>
      </c>
      <c r="AE177" s="9" t="s">
        <v>39</v>
      </c>
      <c r="AF177" s="9" t="s">
        <v>40</v>
      </c>
    </row>
    <row r="178">
      <c r="A178" s="7" t="s">
        <v>342</v>
      </c>
      <c r="B178" s="8">
        <v>4105.0</v>
      </c>
      <c r="C178" s="8">
        <v>3709299.0</v>
      </c>
      <c r="D178" s="8">
        <v>3710960.0</v>
      </c>
      <c r="E178" s="9" t="s">
        <v>511</v>
      </c>
      <c r="F178" s="9"/>
      <c r="G178" s="9" t="s">
        <v>512</v>
      </c>
      <c r="H178" s="9" t="s">
        <v>345</v>
      </c>
      <c r="I178" s="8">
        <v>1950.0</v>
      </c>
      <c r="J178" s="9" t="s">
        <v>346</v>
      </c>
      <c r="K178" s="9" t="s">
        <v>391</v>
      </c>
      <c r="L178" s="9" t="s">
        <v>391</v>
      </c>
      <c r="M178" s="9" t="s">
        <v>518</v>
      </c>
      <c r="N178" s="9" t="s">
        <v>35</v>
      </c>
      <c r="O178" s="9" t="s">
        <v>519</v>
      </c>
      <c r="P178" s="9" t="s">
        <v>514</v>
      </c>
      <c r="Q178" s="8">
        <v>1.0</v>
      </c>
      <c r="R178" s="8">
        <v>0.0</v>
      </c>
      <c r="S178" s="8">
        <v>0.0</v>
      </c>
      <c r="T178" s="8">
        <v>0.0</v>
      </c>
      <c r="U178" s="8">
        <v>0.0</v>
      </c>
      <c r="V178" s="8">
        <v>0.0</v>
      </c>
      <c r="W178" s="8">
        <v>0.0</v>
      </c>
      <c r="X178" s="8">
        <v>0.0</v>
      </c>
      <c r="Y178" s="8">
        <v>0.0</v>
      </c>
      <c r="Z178" s="8">
        <v>0.0</v>
      </c>
      <c r="AA178" s="8">
        <v>0.0</v>
      </c>
      <c r="AB178" s="8">
        <v>0.0</v>
      </c>
      <c r="AC178" s="8">
        <v>0.0</v>
      </c>
      <c r="AD178" s="10" t="s">
        <v>44</v>
      </c>
      <c r="AE178" s="9" t="s">
        <v>40</v>
      </c>
      <c r="AF178" s="9" t="s">
        <v>166</v>
      </c>
    </row>
    <row r="179">
      <c r="A179" s="7" t="s">
        <v>342</v>
      </c>
      <c r="B179" s="8">
        <v>4107.0</v>
      </c>
      <c r="C179" s="8">
        <v>3724437.0</v>
      </c>
      <c r="D179" s="8">
        <v>3727590.0</v>
      </c>
      <c r="E179" s="9" t="s">
        <v>511</v>
      </c>
      <c r="F179" s="9"/>
      <c r="G179" s="9" t="s">
        <v>512</v>
      </c>
      <c r="H179" s="9" t="s">
        <v>345</v>
      </c>
      <c r="I179" s="8">
        <v>1950.0</v>
      </c>
      <c r="J179" s="9" t="s">
        <v>346</v>
      </c>
      <c r="K179" s="9" t="s">
        <v>391</v>
      </c>
      <c r="L179" s="9" t="s">
        <v>391</v>
      </c>
      <c r="M179" s="9" t="s">
        <v>520</v>
      </c>
      <c r="N179" s="9" t="s">
        <v>35</v>
      </c>
      <c r="O179" s="9" t="s">
        <v>521</v>
      </c>
      <c r="P179" s="9" t="s">
        <v>514</v>
      </c>
      <c r="Q179" s="8">
        <v>1.0</v>
      </c>
      <c r="R179" s="8">
        <v>0.0</v>
      </c>
      <c r="S179" s="8">
        <v>0.0</v>
      </c>
      <c r="T179" s="8">
        <v>0.0</v>
      </c>
      <c r="U179" s="8">
        <v>0.0</v>
      </c>
      <c r="V179" s="8">
        <v>0.0</v>
      </c>
      <c r="W179" s="8">
        <v>0.0</v>
      </c>
      <c r="X179" s="8">
        <v>0.0</v>
      </c>
      <c r="Y179" s="8">
        <v>0.0</v>
      </c>
      <c r="Z179" s="8">
        <v>0.0</v>
      </c>
      <c r="AA179" s="8">
        <v>0.0</v>
      </c>
      <c r="AB179" s="8">
        <v>0.0</v>
      </c>
      <c r="AC179" s="8">
        <v>0.0</v>
      </c>
      <c r="AD179" s="10" t="s">
        <v>44</v>
      </c>
      <c r="AE179" s="9" t="s">
        <v>40</v>
      </c>
      <c r="AF179" s="9" t="s">
        <v>166</v>
      </c>
    </row>
    <row r="180">
      <c r="A180" s="7" t="s">
        <v>342</v>
      </c>
      <c r="B180" s="8">
        <v>4118.0</v>
      </c>
      <c r="C180" s="8">
        <v>3777665.0</v>
      </c>
      <c r="D180" s="8">
        <v>3784149.0</v>
      </c>
      <c r="E180" s="9" t="s">
        <v>511</v>
      </c>
      <c r="F180" s="9"/>
      <c r="G180" s="9" t="s">
        <v>512</v>
      </c>
      <c r="H180" s="9" t="s">
        <v>345</v>
      </c>
      <c r="I180" s="8">
        <v>1950.0</v>
      </c>
      <c r="J180" s="9" t="s">
        <v>346</v>
      </c>
      <c r="K180" s="9" t="s">
        <v>391</v>
      </c>
      <c r="L180" s="9" t="s">
        <v>391</v>
      </c>
      <c r="M180" s="9" t="s">
        <v>522</v>
      </c>
      <c r="N180" s="9" t="s">
        <v>35</v>
      </c>
      <c r="O180" s="9" t="s">
        <v>523</v>
      </c>
      <c r="P180" s="9" t="s">
        <v>524</v>
      </c>
      <c r="Q180" s="8">
        <v>0.0</v>
      </c>
      <c r="R180" s="8">
        <v>0.0</v>
      </c>
      <c r="S180" s="8">
        <v>0.0</v>
      </c>
      <c r="T180" s="8">
        <v>0.0</v>
      </c>
      <c r="U180" s="8">
        <v>0.0</v>
      </c>
      <c r="V180" s="8">
        <v>0.0</v>
      </c>
      <c r="W180" s="8">
        <v>0.0</v>
      </c>
      <c r="X180" s="8">
        <v>0.0</v>
      </c>
      <c r="Y180" s="8">
        <v>1.0</v>
      </c>
      <c r="Z180" s="8">
        <v>0.0</v>
      </c>
      <c r="AA180" s="8">
        <v>0.0</v>
      </c>
      <c r="AB180" s="8">
        <v>0.0</v>
      </c>
      <c r="AC180" s="8">
        <v>0.0</v>
      </c>
      <c r="AD180" s="9" t="s">
        <v>92</v>
      </c>
      <c r="AE180" s="9" t="s">
        <v>39</v>
      </c>
      <c r="AF180" s="9" t="s">
        <v>40</v>
      </c>
    </row>
    <row r="181">
      <c r="A181" s="7" t="s">
        <v>342</v>
      </c>
      <c r="B181" s="8">
        <v>4120.0</v>
      </c>
      <c r="C181" s="8">
        <v>3789789.0</v>
      </c>
      <c r="D181" s="8">
        <v>3793160.0</v>
      </c>
      <c r="E181" s="9" t="s">
        <v>511</v>
      </c>
      <c r="F181" s="9"/>
      <c r="G181" s="9" t="s">
        <v>512</v>
      </c>
      <c r="H181" s="9" t="s">
        <v>345</v>
      </c>
      <c r="I181" s="8">
        <v>1950.0</v>
      </c>
      <c r="J181" s="9" t="s">
        <v>346</v>
      </c>
      <c r="K181" s="9" t="s">
        <v>391</v>
      </c>
      <c r="L181" s="9" t="s">
        <v>391</v>
      </c>
      <c r="M181" s="9"/>
      <c r="N181" s="9" t="s">
        <v>45</v>
      </c>
      <c r="O181" s="9" t="s">
        <v>525</v>
      </c>
      <c r="P181" s="9" t="s">
        <v>526</v>
      </c>
      <c r="Q181" s="8">
        <v>0.0</v>
      </c>
      <c r="R181" s="8">
        <v>0.0</v>
      </c>
      <c r="S181" s="8">
        <v>0.0</v>
      </c>
      <c r="T181" s="8">
        <v>0.0</v>
      </c>
      <c r="U181" s="8">
        <v>0.0</v>
      </c>
      <c r="V181" s="8">
        <v>0.0</v>
      </c>
      <c r="W181" s="8">
        <v>0.0</v>
      </c>
      <c r="X181" s="8">
        <v>0.0</v>
      </c>
      <c r="Y181" s="8">
        <v>1.0</v>
      </c>
      <c r="Z181" s="8">
        <v>0.0</v>
      </c>
      <c r="AA181" s="8">
        <v>0.0</v>
      </c>
      <c r="AB181" s="8">
        <v>0.0</v>
      </c>
      <c r="AC181" s="8">
        <v>0.0</v>
      </c>
      <c r="AD181" s="9" t="s">
        <v>92</v>
      </c>
      <c r="AE181" s="9" t="s">
        <v>39</v>
      </c>
      <c r="AF181" s="9" t="s">
        <v>40</v>
      </c>
    </row>
    <row r="182">
      <c r="A182" s="7" t="s">
        <v>342</v>
      </c>
      <c r="B182" s="8">
        <v>4121.0</v>
      </c>
      <c r="C182" s="8">
        <v>3796225.0</v>
      </c>
      <c r="D182" s="8">
        <v>3804579.0</v>
      </c>
      <c r="E182" s="9" t="s">
        <v>511</v>
      </c>
      <c r="F182" s="9"/>
      <c r="G182" s="9" t="s">
        <v>512</v>
      </c>
      <c r="H182" s="9" t="s">
        <v>345</v>
      </c>
      <c r="I182" s="8">
        <v>1950.0</v>
      </c>
      <c r="J182" s="9" t="s">
        <v>346</v>
      </c>
      <c r="K182" s="9" t="s">
        <v>391</v>
      </c>
      <c r="L182" s="9" t="s">
        <v>391</v>
      </c>
      <c r="M182" s="9"/>
      <c r="N182" s="9" t="s">
        <v>45</v>
      </c>
      <c r="O182" s="9" t="s">
        <v>527</v>
      </c>
      <c r="P182" s="9" t="s">
        <v>528</v>
      </c>
      <c r="Q182" s="8">
        <v>0.0</v>
      </c>
      <c r="R182" s="8">
        <v>0.0</v>
      </c>
      <c r="S182" s="8">
        <v>0.0</v>
      </c>
      <c r="T182" s="8">
        <v>0.0</v>
      </c>
      <c r="U182" s="8">
        <v>0.0</v>
      </c>
      <c r="V182" s="8">
        <v>0.0</v>
      </c>
      <c r="W182" s="8">
        <v>0.0</v>
      </c>
      <c r="X182" s="8">
        <v>0.0</v>
      </c>
      <c r="Y182" s="8">
        <v>1.0</v>
      </c>
      <c r="Z182" s="8">
        <v>0.0</v>
      </c>
      <c r="AA182" s="8">
        <v>0.0</v>
      </c>
      <c r="AB182" s="8">
        <v>0.0</v>
      </c>
      <c r="AC182" s="8">
        <v>0.0</v>
      </c>
      <c r="AD182" s="9" t="s">
        <v>44</v>
      </c>
      <c r="AE182" s="9" t="s">
        <v>40</v>
      </c>
      <c r="AF182" s="9" t="s">
        <v>40</v>
      </c>
    </row>
    <row r="183">
      <c r="A183" s="7" t="s">
        <v>342</v>
      </c>
      <c r="B183" s="8">
        <v>4123.0</v>
      </c>
      <c r="C183" s="8">
        <v>3807385.0</v>
      </c>
      <c r="D183" s="8">
        <v>3813079.0</v>
      </c>
      <c r="E183" s="9" t="s">
        <v>511</v>
      </c>
      <c r="F183" s="9"/>
      <c r="G183" s="9" t="s">
        <v>512</v>
      </c>
      <c r="H183" s="9" t="s">
        <v>345</v>
      </c>
      <c r="I183" s="8">
        <v>1950.0</v>
      </c>
      <c r="J183" s="9" t="s">
        <v>346</v>
      </c>
      <c r="K183" s="9" t="s">
        <v>391</v>
      </c>
      <c r="L183" s="9" t="s">
        <v>391</v>
      </c>
      <c r="M183" s="9"/>
      <c r="N183" s="9" t="s">
        <v>45</v>
      </c>
      <c r="O183" s="9" t="s">
        <v>529</v>
      </c>
      <c r="P183" s="9" t="s">
        <v>528</v>
      </c>
      <c r="Q183" s="8">
        <v>0.0</v>
      </c>
      <c r="R183" s="8">
        <v>0.0</v>
      </c>
      <c r="S183" s="8">
        <v>0.0</v>
      </c>
      <c r="T183" s="8">
        <v>0.0</v>
      </c>
      <c r="U183" s="8">
        <v>0.0</v>
      </c>
      <c r="V183" s="8">
        <v>0.0</v>
      </c>
      <c r="W183" s="8">
        <v>0.0</v>
      </c>
      <c r="X183" s="8">
        <v>0.0</v>
      </c>
      <c r="Y183" s="8">
        <v>1.0</v>
      </c>
      <c r="Z183" s="8">
        <v>0.0</v>
      </c>
      <c r="AA183" s="8">
        <v>0.0</v>
      </c>
      <c r="AB183" s="8">
        <v>0.0</v>
      </c>
      <c r="AC183" s="8">
        <v>0.0</v>
      </c>
      <c r="AD183" s="9" t="s">
        <v>44</v>
      </c>
      <c r="AE183" s="9" t="s">
        <v>40</v>
      </c>
      <c r="AF183" s="9" t="s">
        <v>40</v>
      </c>
    </row>
    <row r="184">
      <c r="A184" s="7" t="s">
        <v>342</v>
      </c>
      <c r="B184" s="8">
        <v>4123.0</v>
      </c>
      <c r="C184" s="8">
        <v>3807385.0</v>
      </c>
      <c r="D184" s="8">
        <v>3813079.0</v>
      </c>
      <c r="E184" s="9" t="s">
        <v>511</v>
      </c>
      <c r="F184" s="9"/>
      <c r="G184" s="9" t="s">
        <v>512</v>
      </c>
      <c r="H184" s="9" t="s">
        <v>345</v>
      </c>
      <c r="I184" s="8">
        <v>1950.0</v>
      </c>
      <c r="J184" s="9" t="s">
        <v>346</v>
      </c>
      <c r="K184" s="9" t="s">
        <v>391</v>
      </c>
      <c r="L184" s="9" t="s">
        <v>391</v>
      </c>
      <c r="M184" s="9" t="s">
        <v>530</v>
      </c>
      <c r="N184" s="9" t="s">
        <v>35</v>
      </c>
      <c r="O184" s="9" t="s">
        <v>531</v>
      </c>
      <c r="P184" s="9" t="s">
        <v>517</v>
      </c>
      <c r="Q184" s="8">
        <v>0.0</v>
      </c>
      <c r="R184" s="8">
        <v>0.0</v>
      </c>
      <c r="S184" s="8">
        <v>0.0</v>
      </c>
      <c r="T184" s="8">
        <v>0.0</v>
      </c>
      <c r="U184" s="8">
        <v>0.0</v>
      </c>
      <c r="V184" s="8">
        <v>0.0</v>
      </c>
      <c r="W184" s="8">
        <v>0.0</v>
      </c>
      <c r="X184" s="8">
        <v>0.0</v>
      </c>
      <c r="Y184" s="8">
        <v>1.0</v>
      </c>
      <c r="Z184" s="8">
        <v>0.0</v>
      </c>
      <c r="AA184" s="8">
        <v>0.0</v>
      </c>
      <c r="AB184" s="8">
        <v>0.0</v>
      </c>
      <c r="AC184" s="8">
        <v>0.0</v>
      </c>
      <c r="AD184" s="9" t="s">
        <v>44</v>
      </c>
      <c r="AE184" s="9" t="s">
        <v>40</v>
      </c>
      <c r="AF184" s="9" t="s">
        <v>40</v>
      </c>
    </row>
    <row r="185">
      <c r="A185" s="7" t="s">
        <v>342</v>
      </c>
      <c r="B185" s="8">
        <v>4126.0</v>
      </c>
      <c r="C185" s="8">
        <v>3823434.0</v>
      </c>
      <c r="D185" s="8">
        <v>3825030.0</v>
      </c>
      <c r="E185" s="9" t="s">
        <v>511</v>
      </c>
      <c r="F185" s="9"/>
      <c r="G185" s="9" t="s">
        <v>512</v>
      </c>
      <c r="H185" s="9" t="s">
        <v>345</v>
      </c>
      <c r="I185" s="8">
        <v>1950.0</v>
      </c>
      <c r="J185" s="9" t="s">
        <v>346</v>
      </c>
      <c r="K185" s="9" t="s">
        <v>391</v>
      </c>
      <c r="L185" s="9" t="s">
        <v>391</v>
      </c>
      <c r="M185" s="9" t="s">
        <v>532</v>
      </c>
      <c r="N185" s="9" t="s">
        <v>35</v>
      </c>
      <c r="O185" s="9" t="s">
        <v>533</v>
      </c>
      <c r="P185" s="9" t="s">
        <v>534</v>
      </c>
      <c r="Q185" s="8">
        <v>0.0</v>
      </c>
      <c r="R185" s="8">
        <v>0.0</v>
      </c>
      <c r="S185" s="8">
        <v>0.0</v>
      </c>
      <c r="T185" s="8">
        <v>0.0</v>
      </c>
      <c r="U185" s="8">
        <v>0.0</v>
      </c>
      <c r="V185" s="8">
        <v>0.0</v>
      </c>
      <c r="W185" s="8">
        <v>0.0</v>
      </c>
      <c r="X185" s="8">
        <v>0.0</v>
      </c>
      <c r="Y185" s="8">
        <v>1.0</v>
      </c>
      <c r="Z185" s="8">
        <v>0.0</v>
      </c>
      <c r="AA185" s="8">
        <v>0.0</v>
      </c>
      <c r="AB185" s="8">
        <v>0.0</v>
      </c>
      <c r="AC185" s="8">
        <v>0.0</v>
      </c>
      <c r="AD185" s="9" t="s">
        <v>92</v>
      </c>
      <c r="AE185" s="9" t="s">
        <v>39</v>
      </c>
      <c r="AF185" s="9" t="s">
        <v>40</v>
      </c>
    </row>
    <row r="186">
      <c r="A186" s="7" t="s">
        <v>342</v>
      </c>
      <c r="B186" s="8">
        <v>4128.0</v>
      </c>
      <c r="C186" s="8">
        <v>3827039.0</v>
      </c>
      <c r="D186" s="8">
        <v>3829216.0</v>
      </c>
      <c r="E186" s="9" t="s">
        <v>511</v>
      </c>
      <c r="F186" s="9"/>
      <c r="G186" s="9" t="s">
        <v>512</v>
      </c>
      <c r="H186" s="9" t="s">
        <v>345</v>
      </c>
      <c r="I186" s="8">
        <v>1950.0</v>
      </c>
      <c r="J186" s="9" t="s">
        <v>346</v>
      </c>
      <c r="K186" s="9" t="s">
        <v>391</v>
      </c>
      <c r="L186" s="9" t="s">
        <v>391</v>
      </c>
      <c r="M186" s="9"/>
      <c r="N186" s="9" t="s">
        <v>45</v>
      </c>
      <c r="O186" s="9" t="s">
        <v>535</v>
      </c>
      <c r="P186" s="9" t="s">
        <v>536</v>
      </c>
      <c r="Q186" s="8">
        <v>0.0</v>
      </c>
      <c r="R186" s="8">
        <v>0.0</v>
      </c>
      <c r="S186" s="8">
        <v>0.0</v>
      </c>
      <c r="T186" s="8">
        <v>0.0</v>
      </c>
      <c r="U186" s="8">
        <v>0.0</v>
      </c>
      <c r="V186" s="8">
        <v>0.0</v>
      </c>
      <c r="W186" s="8">
        <v>0.0</v>
      </c>
      <c r="X186" s="8">
        <v>0.0</v>
      </c>
      <c r="Y186" s="8">
        <v>1.0</v>
      </c>
      <c r="Z186" s="8">
        <v>0.0</v>
      </c>
      <c r="AA186" s="8">
        <v>0.0</v>
      </c>
      <c r="AB186" s="8">
        <v>0.0</v>
      </c>
      <c r="AC186" s="8">
        <v>0.0</v>
      </c>
      <c r="AD186" s="9" t="s">
        <v>92</v>
      </c>
      <c r="AE186" s="9" t="s">
        <v>39</v>
      </c>
      <c r="AF186" s="9" t="s">
        <v>40</v>
      </c>
    </row>
    <row r="187">
      <c r="A187" s="7" t="s">
        <v>342</v>
      </c>
      <c r="B187" s="8">
        <v>4135.0</v>
      </c>
      <c r="C187" s="8">
        <v>3854240.0</v>
      </c>
      <c r="D187" s="8">
        <v>3859434.0</v>
      </c>
      <c r="E187" s="9" t="s">
        <v>511</v>
      </c>
      <c r="F187" s="9"/>
      <c r="G187" s="9" t="s">
        <v>512</v>
      </c>
      <c r="H187" s="9" t="s">
        <v>345</v>
      </c>
      <c r="I187" s="8">
        <v>1950.0</v>
      </c>
      <c r="J187" s="9" t="s">
        <v>346</v>
      </c>
      <c r="K187" s="9" t="s">
        <v>391</v>
      </c>
      <c r="L187" s="9" t="s">
        <v>391</v>
      </c>
      <c r="M187" s="9" t="s">
        <v>537</v>
      </c>
      <c r="N187" s="9" t="s">
        <v>35</v>
      </c>
      <c r="O187" s="9" t="s">
        <v>538</v>
      </c>
      <c r="P187" s="9" t="s">
        <v>524</v>
      </c>
      <c r="Q187" s="8">
        <v>0.0</v>
      </c>
      <c r="R187" s="8">
        <v>0.0</v>
      </c>
      <c r="S187" s="8">
        <v>0.0</v>
      </c>
      <c r="T187" s="8">
        <v>0.0</v>
      </c>
      <c r="U187" s="8">
        <v>0.0</v>
      </c>
      <c r="V187" s="8">
        <v>0.0</v>
      </c>
      <c r="W187" s="8">
        <v>0.0</v>
      </c>
      <c r="X187" s="8">
        <v>0.0</v>
      </c>
      <c r="Y187" s="8">
        <v>1.0</v>
      </c>
      <c r="Z187" s="8">
        <v>0.0</v>
      </c>
      <c r="AA187" s="8">
        <v>0.0</v>
      </c>
      <c r="AB187" s="8">
        <v>0.0</v>
      </c>
      <c r="AC187" s="8">
        <v>0.0</v>
      </c>
      <c r="AD187" s="9" t="s">
        <v>44</v>
      </c>
      <c r="AE187" s="9" t="s">
        <v>40</v>
      </c>
      <c r="AF187" s="9" t="s">
        <v>40</v>
      </c>
    </row>
    <row r="188">
      <c r="A188" s="7" t="s">
        <v>342</v>
      </c>
      <c r="B188" s="8">
        <v>4135.0</v>
      </c>
      <c r="C188" s="8">
        <v>3854240.0</v>
      </c>
      <c r="D188" s="8">
        <v>3859434.0</v>
      </c>
      <c r="E188" s="9" t="s">
        <v>511</v>
      </c>
      <c r="F188" s="9"/>
      <c r="G188" s="9" t="s">
        <v>512</v>
      </c>
      <c r="H188" s="9" t="s">
        <v>345</v>
      </c>
      <c r="I188" s="8">
        <v>1950.0</v>
      </c>
      <c r="J188" s="9" t="s">
        <v>346</v>
      </c>
      <c r="K188" s="9" t="s">
        <v>391</v>
      </c>
      <c r="L188" s="9" t="s">
        <v>391</v>
      </c>
      <c r="M188" s="9" t="s">
        <v>539</v>
      </c>
      <c r="N188" s="9" t="s">
        <v>35</v>
      </c>
      <c r="O188" s="9" t="s">
        <v>540</v>
      </c>
      <c r="P188" s="9" t="s">
        <v>524</v>
      </c>
      <c r="Q188" s="8">
        <v>0.0</v>
      </c>
      <c r="R188" s="8">
        <v>0.0</v>
      </c>
      <c r="S188" s="8">
        <v>0.0</v>
      </c>
      <c r="T188" s="8">
        <v>0.0</v>
      </c>
      <c r="U188" s="8">
        <v>0.0</v>
      </c>
      <c r="V188" s="8">
        <v>0.0</v>
      </c>
      <c r="W188" s="8">
        <v>0.0</v>
      </c>
      <c r="X188" s="8">
        <v>0.0</v>
      </c>
      <c r="Y188" s="8">
        <v>1.0</v>
      </c>
      <c r="Z188" s="8">
        <v>0.0</v>
      </c>
      <c r="AA188" s="8">
        <v>0.0</v>
      </c>
      <c r="AB188" s="8">
        <v>0.0</v>
      </c>
      <c r="AC188" s="8">
        <v>0.0</v>
      </c>
      <c r="AD188" s="9" t="s">
        <v>44</v>
      </c>
      <c r="AE188" s="9" t="s">
        <v>40</v>
      </c>
      <c r="AF188" s="9" t="s">
        <v>40</v>
      </c>
    </row>
    <row r="189">
      <c r="A189" s="7" t="s">
        <v>342</v>
      </c>
      <c r="B189" s="8">
        <v>4156.0</v>
      </c>
      <c r="C189" s="8">
        <v>3965076.0</v>
      </c>
      <c r="D189" s="8">
        <v>3969197.0</v>
      </c>
      <c r="E189" s="9" t="s">
        <v>511</v>
      </c>
      <c r="F189" s="9"/>
      <c r="G189" s="9" t="s">
        <v>512</v>
      </c>
      <c r="H189" s="9" t="s">
        <v>345</v>
      </c>
      <c r="I189" s="8">
        <v>1950.0</v>
      </c>
      <c r="J189" s="9" t="s">
        <v>346</v>
      </c>
      <c r="K189" s="9" t="s">
        <v>391</v>
      </c>
      <c r="L189" s="9" t="s">
        <v>391</v>
      </c>
      <c r="M189" s="9" t="s">
        <v>541</v>
      </c>
      <c r="N189" s="9" t="s">
        <v>35</v>
      </c>
      <c r="O189" s="9" t="s">
        <v>542</v>
      </c>
      <c r="P189" s="9" t="s">
        <v>543</v>
      </c>
      <c r="Q189" s="8">
        <v>0.0</v>
      </c>
      <c r="R189" s="8">
        <v>0.0</v>
      </c>
      <c r="S189" s="8">
        <v>0.0</v>
      </c>
      <c r="T189" s="8">
        <v>0.0</v>
      </c>
      <c r="U189" s="8">
        <v>0.0</v>
      </c>
      <c r="V189" s="8">
        <v>1.0</v>
      </c>
      <c r="W189" s="8">
        <v>0.0</v>
      </c>
      <c r="X189" s="8">
        <v>0.0</v>
      </c>
      <c r="Y189" s="8">
        <v>0.0</v>
      </c>
      <c r="Z189" s="8">
        <v>0.0</v>
      </c>
      <c r="AA189" s="8">
        <v>0.0</v>
      </c>
      <c r="AB189" s="8">
        <v>0.0</v>
      </c>
      <c r="AC189" s="8">
        <v>0.0</v>
      </c>
      <c r="AD189" s="9" t="s">
        <v>38</v>
      </c>
      <c r="AE189" s="9" t="s">
        <v>39</v>
      </c>
      <c r="AF189" s="9" t="s">
        <v>40</v>
      </c>
    </row>
    <row r="190">
      <c r="A190" s="7" t="s">
        <v>342</v>
      </c>
      <c r="B190" s="8">
        <v>4171.0</v>
      </c>
      <c r="C190" s="8">
        <v>4036159.0</v>
      </c>
      <c r="D190" s="8">
        <v>4046685.0</v>
      </c>
      <c r="E190" s="9" t="s">
        <v>511</v>
      </c>
      <c r="F190" s="9"/>
      <c r="G190" s="9" t="s">
        <v>512</v>
      </c>
      <c r="H190" s="9" t="s">
        <v>345</v>
      </c>
      <c r="I190" s="8">
        <v>1950.0</v>
      </c>
      <c r="J190" s="9" t="s">
        <v>346</v>
      </c>
      <c r="K190" s="9" t="s">
        <v>391</v>
      </c>
      <c r="L190" s="9" t="s">
        <v>391</v>
      </c>
      <c r="M190" s="9" t="s">
        <v>544</v>
      </c>
      <c r="N190" s="9" t="s">
        <v>35</v>
      </c>
      <c r="O190" s="9" t="s">
        <v>545</v>
      </c>
      <c r="P190" s="9" t="s">
        <v>364</v>
      </c>
      <c r="Q190" s="8">
        <v>1.0</v>
      </c>
      <c r="R190" s="8">
        <v>0.0</v>
      </c>
      <c r="S190" s="8">
        <v>0.0</v>
      </c>
      <c r="T190" s="8">
        <v>0.0</v>
      </c>
      <c r="U190" s="8">
        <v>0.0</v>
      </c>
      <c r="V190" s="8">
        <v>0.0</v>
      </c>
      <c r="W190" s="8">
        <v>0.0</v>
      </c>
      <c r="X190" s="8">
        <v>0.0</v>
      </c>
      <c r="Y190" s="8">
        <v>0.0</v>
      </c>
      <c r="Z190" s="8">
        <v>0.0</v>
      </c>
      <c r="AA190" s="8">
        <v>0.0</v>
      </c>
      <c r="AB190" s="8">
        <v>0.0</v>
      </c>
      <c r="AC190" s="8">
        <v>0.0</v>
      </c>
      <c r="AD190" s="9" t="s">
        <v>38</v>
      </c>
      <c r="AE190" s="9" t="s">
        <v>39</v>
      </c>
      <c r="AF190" s="9" t="s">
        <v>40</v>
      </c>
    </row>
    <row r="191">
      <c r="A191" s="7" t="s">
        <v>342</v>
      </c>
      <c r="B191" s="8">
        <v>4200.0</v>
      </c>
      <c r="C191" s="8">
        <v>4204351.0</v>
      </c>
      <c r="D191" s="8">
        <v>4210934.0</v>
      </c>
      <c r="E191" s="9" t="s">
        <v>511</v>
      </c>
      <c r="F191" s="9"/>
      <c r="G191" s="9" t="s">
        <v>512</v>
      </c>
      <c r="H191" s="9" t="s">
        <v>345</v>
      </c>
      <c r="I191" s="8">
        <v>1950.0</v>
      </c>
      <c r="J191" s="9" t="s">
        <v>346</v>
      </c>
      <c r="K191" s="9" t="s">
        <v>391</v>
      </c>
      <c r="L191" s="9" t="s">
        <v>391</v>
      </c>
      <c r="M191" s="9" t="s">
        <v>546</v>
      </c>
      <c r="N191" s="9" t="s">
        <v>35</v>
      </c>
      <c r="O191" s="9" t="s">
        <v>547</v>
      </c>
      <c r="P191" s="9" t="s">
        <v>437</v>
      </c>
      <c r="Q191" s="8">
        <v>1.0</v>
      </c>
      <c r="R191" s="8">
        <v>0.0</v>
      </c>
      <c r="S191" s="8">
        <v>0.0</v>
      </c>
      <c r="T191" s="8">
        <v>0.0</v>
      </c>
      <c r="U191" s="8">
        <v>0.0</v>
      </c>
      <c r="V191" s="8">
        <v>0.0</v>
      </c>
      <c r="W191" s="8">
        <v>0.0</v>
      </c>
      <c r="X191" s="8">
        <v>0.0</v>
      </c>
      <c r="Y191" s="8">
        <v>0.0</v>
      </c>
      <c r="Z191" s="8">
        <v>0.0</v>
      </c>
      <c r="AA191" s="8">
        <v>0.0</v>
      </c>
      <c r="AB191" s="8">
        <v>0.0</v>
      </c>
      <c r="AC191" s="8">
        <v>0.0</v>
      </c>
      <c r="AD191" s="9" t="s">
        <v>38</v>
      </c>
      <c r="AE191" s="9" t="s">
        <v>39</v>
      </c>
      <c r="AF191" s="9" t="s">
        <v>40</v>
      </c>
    </row>
    <row r="192">
      <c r="A192" s="7" t="s">
        <v>342</v>
      </c>
      <c r="B192" s="8">
        <v>4200.0</v>
      </c>
      <c r="C192" s="8">
        <v>4204351.0</v>
      </c>
      <c r="D192" s="8">
        <v>4210934.0</v>
      </c>
      <c r="E192" s="9" t="s">
        <v>511</v>
      </c>
      <c r="F192" s="9"/>
      <c r="G192" s="9" t="s">
        <v>512</v>
      </c>
      <c r="H192" s="9" t="s">
        <v>345</v>
      </c>
      <c r="I192" s="8">
        <v>1950.0</v>
      </c>
      <c r="J192" s="9" t="s">
        <v>346</v>
      </c>
      <c r="K192" s="9" t="s">
        <v>391</v>
      </c>
      <c r="L192" s="9" t="s">
        <v>391</v>
      </c>
      <c r="M192" s="9" t="s">
        <v>548</v>
      </c>
      <c r="N192" s="9" t="s">
        <v>35</v>
      </c>
      <c r="O192" s="9" t="s">
        <v>549</v>
      </c>
      <c r="P192" s="9" t="s">
        <v>37</v>
      </c>
      <c r="Q192" s="8">
        <v>0.0</v>
      </c>
      <c r="R192" s="8">
        <v>1.0</v>
      </c>
      <c r="S192" s="8">
        <v>0.0</v>
      </c>
      <c r="T192" s="8">
        <v>0.0</v>
      </c>
      <c r="U192" s="8">
        <v>0.0</v>
      </c>
      <c r="V192" s="8">
        <v>0.0</v>
      </c>
      <c r="W192" s="8">
        <v>0.0</v>
      </c>
      <c r="X192" s="8">
        <v>0.0</v>
      </c>
      <c r="Y192" s="8">
        <v>0.0</v>
      </c>
      <c r="Z192" s="8">
        <v>0.0</v>
      </c>
      <c r="AA192" s="8">
        <v>0.0</v>
      </c>
      <c r="AB192" s="8">
        <v>0.0</v>
      </c>
      <c r="AC192" s="8">
        <v>0.0</v>
      </c>
      <c r="AD192" s="9" t="s">
        <v>38</v>
      </c>
      <c r="AE192" s="9" t="s">
        <v>39</v>
      </c>
      <c r="AF192" s="9" t="s">
        <v>40</v>
      </c>
    </row>
    <row r="193">
      <c r="A193" s="7" t="s">
        <v>342</v>
      </c>
      <c r="B193" s="8">
        <v>4220.0</v>
      </c>
      <c r="C193" s="8">
        <v>4303891.0</v>
      </c>
      <c r="D193" s="8">
        <v>4312076.0</v>
      </c>
      <c r="E193" s="9" t="s">
        <v>511</v>
      </c>
      <c r="F193" s="9"/>
      <c r="G193" s="9" t="s">
        <v>512</v>
      </c>
      <c r="H193" s="9" t="s">
        <v>345</v>
      </c>
      <c r="I193" s="8">
        <v>1950.0</v>
      </c>
      <c r="J193" s="9" t="s">
        <v>346</v>
      </c>
      <c r="K193" s="9" t="s">
        <v>391</v>
      </c>
      <c r="L193" s="9" t="s">
        <v>391</v>
      </c>
      <c r="M193" s="9" t="s">
        <v>550</v>
      </c>
      <c r="N193" s="9" t="s">
        <v>35</v>
      </c>
      <c r="O193" s="9" t="s">
        <v>551</v>
      </c>
      <c r="P193" s="9" t="s">
        <v>391</v>
      </c>
      <c r="Q193" s="8">
        <v>1.0</v>
      </c>
      <c r="R193" s="8">
        <v>0.0</v>
      </c>
      <c r="S193" s="8">
        <v>0.0</v>
      </c>
      <c r="T193" s="8">
        <v>0.0</v>
      </c>
      <c r="U193" s="8">
        <v>0.0</v>
      </c>
      <c r="V193" s="8">
        <v>0.0</v>
      </c>
      <c r="W193" s="8">
        <v>0.0</v>
      </c>
      <c r="X193" s="8">
        <v>0.0</v>
      </c>
      <c r="Y193" s="8">
        <v>0.0</v>
      </c>
      <c r="Z193" s="8">
        <v>0.0</v>
      </c>
      <c r="AA193" s="8">
        <v>0.0</v>
      </c>
      <c r="AB193" s="8">
        <v>0.0</v>
      </c>
      <c r="AC193" s="8">
        <v>0.0</v>
      </c>
      <c r="AD193" s="10" t="s">
        <v>44</v>
      </c>
      <c r="AE193" s="9" t="s">
        <v>40</v>
      </c>
      <c r="AF193" s="9" t="s">
        <v>40</v>
      </c>
    </row>
    <row r="194">
      <c r="A194" s="7" t="s">
        <v>342</v>
      </c>
      <c r="B194" s="8">
        <v>4220.0</v>
      </c>
      <c r="C194" s="8">
        <v>4303891.0</v>
      </c>
      <c r="D194" s="8">
        <v>4312076.0</v>
      </c>
      <c r="E194" s="9" t="s">
        <v>511</v>
      </c>
      <c r="F194" s="9"/>
      <c r="G194" s="9" t="s">
        <v>512</v>
      </c>
      <c r="H194" s="9" t="s">
        <v>345</v>
      </c>
      <c r="I194" s="8">
        <v>1950.0</v>
      </c>
      <c r="J194" s="9" t="s">
        <v>346</v>
      </c>
      <c r="K194" s="9" t="s">
        <v>391</v>
      </c>
      <c r="L194" s="9" t="s">
        <v>391</v>
      </c>
      <c r="M194" s="9" t="s">
        <v>552</v>
      </c>
      <c r="N194" s="9" t="s">
        <v>35</v>
      </c>
      <c r="O194" s="9" t="s">
        <v>553</v>
      </c>
      <c r="P194" s="9" t="s">
        <v>99</v>
      </c>
      <c r="Q194" s="8">
        <v>0.0</v>
      </c>
      <c r="R194" s="8">
        <v>1.0</v>
      </c>
      <c r="S194" s="8">
        <v>0.0</v>
      </c>
      <c r="T194" s="8">
        <v>0.0</v>
      </c>
      <c r="U194" s="8">
        <v>0.0</v>
      </c>
      <c r="V194" s="8">
        <v>0.0</v>
      </c>
      <c r="W194" s="8">
        <v>0.0</v>
      </c>
      <c r="X194" s="8">
        <v>0.0</v>
      </c>
      <c r="Y194" s="8">
        <v>0.0</v>
      </c>
      <c r="Z194" s="8">
        <v>0.0</v>
      </c>
      <c r="AA194" s="8">
        <v>0.0</v>
      </c>
      <c r="AB194" s="8">
        <v>0.0</v>
      </c>
      <c r="AC194" s="8">
        <v>0.0</v>
      </c>
      <c r="AD194" s="10" t="s">
        <v>44</v>
      </c>
      <c r="AE194" s="9" t="s">
        <v>40</v>
      </c>
      <c r="AF194" s="9" t="s">
        <v>40</v>
      </c>
    </row>
    <row r="195">
      <c r="A195" s="7" t="s">
        <v>342</v>
      </c>
      <c r="B195" s="8">
        <v>4234.0</v>
      </c>
      <c r="C195" s="8">
        <v>4400286.0</v>
      </c>
      <c r="D195" s="8">
        <v>4406970.0</v>
      </c>
      <c r="E195" s="9" t="s">
        <v>511</v>
      </c>
      <c r="F195" s="9"/>
      <c r="G195" s="9" t="s">
        <v>512</v>
      </c>
      <c r="H195" s="9" t="s">
        <v>345</v>
      </c>
      <c r="I195" s="8">
        <v>1950.0</v>
      </c>
      <c r="J195" s="9" t="s">
        <v>346</v>
      </c>
      <c r="K195" s="9" t="s">
        <v>391</v>
      </c>
      <c r="L195" s="9" t="s">
        <v>391</v>
      </c>
      <c r="M195" s="9" t="s">
        <v>554</v>
      </c>
      <c r="N195" s="9" t="s">
        <v>35</v>
      </c>
      <c r="O195" s="9" t="s">
        <v>555</v>
      </c>
      <c r="P195" s="9" t="s">
        <v>556</v>
      </c>
      <c r="Q195" s="8">
        <v>0.0</v>
      </c>
      <c r="R195" s="8">
        <v>0.0</v>
      </c>
      <c r="S195" s="8">
        <v>0.0</v>
      </c>
      <c r="T195" s="8">
        <v>0.0</v>
      </c>
      <c r="U195" s="8">
        <v>0.0</v>
      </c>
      <c r="V195" s="8">
        <v>0.0</v>
      </c>
      <c r="W195" s="8">
        <v>0.0</v>
      </c>
      <c r="X195" s="8">
        <v>1.0</v>
      </c>
      <c r="Y195" s="8">
        <v>0.0</v>
      </c>
      <c r="Z195" s="8">
        <v>0.0</v>
      </c>
      <c r="AA195" s="8">
        <v>0.0</v>
      </c>
      <c r="AB195" s="8">
        <v>0.0</v>
      </c>
      <c r="AC195" s="8">
        <v>0.0</v>
      </c>
      <c r="AD195" s="9" t="s">
        <v>38</v>
      </c>
      <c r="AE195" s="9" t="s">
        <v>39</v>
      </c>
      <c r="AF195" s="9" t="s">
        <v>40</v>
      </c>
    </row>
    <row r="196">
      <c r="A196" s="7" t="s">
        <v>342</v>
      </c>
      <c r="B196" s="8">
        <v>4254.0</v>
      </c>
      <c r="C196" s="8">
        <v>4512785.0</v>
      </c>
      <c r="D196" s="8">
        <v>4522811.0</v>
      </c>
      <c r="E196" s="9" t="s">
        <v>511</v>
      </c>
      <c r="F196" s="9"/>
      <c r="G196" s="9" t="s">
        <v>512</v>
      </c>
      <c r="H196" s="9" t="s">
        <v>345</v>
      </c>
      <c r="I196" s="8">
        <v>1950.0</v>
      </c>
      <c r="J196" s="9" t="s">
        <v>346</v>
      </c>
      <c r="K196" s="9" t="s">
        <v>391</v>
      </c>
      <c r="L196" s="9" t="s">
        <v>391</v>
      </c>
      <c r="M196" s="9" t="s">
        <v>557</v>
      </c>
      <c r="N196" s="9" t="s">
        <v>35</v>
      </c>
      <c r="O196" s="9" t="s">
        <v>558</v>
      </c>
      <c r="P196" s="9" t="s">
        <v>37</v>
      </c>
      <c r="Q196" s="8">
        <v>0.0</v>
      </c>
      <c r="R196" s="8">
        <v>1.0</v>
      </c>
      <c r="S196" s="8">
        <v>0.0</v>
      </c>
      <c r="T196" s="8">
        <v>0.0</v>
      </c>
      <c r="U196" s="8">
        <v>0.0</v>
      </c>
      <c r="V196" s="8">
        <v>0.0</v>
      </c>
      <c r="W196" s="8">
        <v>0.0</v>
      </c>
      <c r="X196" s="8">
        <v>0.0</v>
      </c>
      <c r="Y196" s="8">
        <v>0.0</v>
      </c>
      <c r="Z196" s="8">
        <v>0.0</v>
      </c>
      <c r="AA196" s="8">
        <v>0.0</v>
      </c>
      <c r="AB196" s="8">
        <v>0.0</v>
      </c>
      <c r="AC196" s="8">
        <v>0.0</v>
      </c>
      <c r="AD196" s="10" t="s">
        <v>44</v>
      </c>
      <c r="AE196" s="9" t="s">
        <v>40</v>
      </c>
      <c r="AF196" s="9" t="s">
        <v>40</v>
      </c>
    </row>
    <row r="197">
      <c r="A197" s="7" t="s">
        <v>342</v>
      </c>
      <c r="B197" s="8">
        <v>4255.0</v>
      </c>
      <c r="C197" s="8">
        <v>4522944.0</v>
      </c>
      <c r="D197" s="8">
        <v>4531628.0</v>
      </c>
      <c r="E197" s="9" t="s">
        <v>511</v>
      </c>
      <c r="F197" s="9"/>
      <c r="G197" s="9" t="s">
        <v>512</v>
      </c>
      <c r="H197" s="9" t="s">
        <v>345</v>
      </c>
      <c r="I197" s="8">
        <v>1950.0</v>
      </c>
      <c r="J197" s="9" t="s">
        <v>346</v>
      </c>
      <c r="K197" s="9" t="s">
        <v>391</v>
      </c>
      <c r="L197" s="9" t="s">
        <v>391</v>
      </c>
      <c r="M197" s="9" t="s">
        <v>559</v>
      </c>
      <c r="N197" s="9" t="s">
        <v>35</v>
      </c>
      <c r="O197" s="9" t="s">
        <v>560</v>
      </c>
      <c r="P197" s="9" t="s">
        <v>561</v>
      </c>
      <c r="Q197" s="8">
        <v>0.0</v>
      </c>
      <c r="R197" s="8">
        <v>0.0</v>
      </c>
      <c r="S197" s="8">
        <v>0.0</v>
      </c>
      <c r="T197" s="8">
        <v>0.0</v>
      </c>
      <c r="U197" s="8">
        <v>1.0</v>
      </c>
      <c r="V197" s="8">
        <v>0.0</v>
      </c>
      <c r="W197" s="8">
        <v>0.0</v>
      </c>
      <c r="X197" s="8">
        <v>0.0</v>
      </c>
      <c r="Y197" s="8">
        <v>0.0</v>
      </c>
      <c r="Z197" s="8">
        <v>0.0</v>
      </c>
      <c r="AA197" s="8">
        <v>0.0</v>
      </c>
      <c r="AB197" s="8">
        <v>0.0</v>
      </c>
      <c r="AC197" s="8">
        <v>0.0</v>
      </c>
      <c r="AD197" s="9" t="s">
        <v>38</v>
      </c>
      <c r="AE197" s="9" t="s">
        <v>39</v>
      </c>
      <c r="AF197" s="9" t="s">
        <v>40</v>
      </c>
    </row>
    <row r="198">
      <c r="A198" s="7" t="s">
        <v>342</v>
      </c>
      <c r="B198" s="8">
        <v>4266.0</v>
      </c>
      <c r="C198" s="8">
        <v>4570209.0</v>
      </c>
      <c r="D198" s="8">
        <v>4576789.0</v>
      </c>
      <c r="E198" s="9" t="s">
        <v>511</v>
      </c>
      <c r="F198" s="9"/>
      <c r="G198" s="9" t="s">
        <v>512</v>
      </c>
      <c r="H198" s="9" t="s">
        <v>345</v>
      </c>
      <c r="I198" s="8">
        <v>1950.0</v>
      </c>
      <c r="J198" s="9" t="s">
        <v>346</v>
      </c>
      <c r="K198" s="9" t="s">
        <v>391</v>
      </c>
      <c r="L198" s="9" t="s">
        <v>391</v>
      </c>
      <c r="M198" s="9" t="s">
        <v>562</v>
      </c>
      <c r="N198" s="9" t="s">
        <v>35</v>
      </c>
      <c r="O198" s="9" t="s">
        <v>563</v>
      </c>
      <c r="P198" s="9" t="s">
        <v>37</v>
      </c>
      <c r="Q198" s="8">
        <v>0.0</v>
      </c>
      <c r="R198" s="8">
        <v>1.0</v>
      </c>
      <c r="S198" s="8">
        <v>0.0</v>
      </c>
      <c r="T198" s="8">
        <v>0.0</v>
      </c>
      <c r="U198" s="8">
        <v>0.0</v>
      </c>
      <c r="V198" s="8">
        <v>0.0</v>
      </c>
      <c r="W198" s="8">
        <v>0.0</v>
      </c>
      <c r="X198" s="8">
        <v>0.0</v>
      </c>
      <c r="Y198" s="8">
        <v>0.0</v>
      </c>
      <c r="Z198" s="8">
        <v>0.0</v>
      </c>
      <c r="AA198" s="8">
        <v>0.0</v>
      </c>
      <c r="AB198" s="8">
        <v>0.0</v>
      </c>
      <c r="AC198" s="8">
        <v>0.0</v>
      </c>
      <c r="AD198" s="10" t="s">
        <v>44</v>
      </c>
      <c r="AE198" s="9" t="s">
        <v>40</v>
      </c>
      <c r="AF198" s="9" t="s">
        <v>40</v>
      </c>
    </row>
    <row r="199">
      <c r="A199" s="7" t="s">
        <v>342</v>
      </c>
      <c r="B199" s="8">
        <v>4550.0</v>
      </c>
      <c r="C199" s="8">
        <v>5855253.0</v>
      </c>
      <c r="D199" s="8">
        <v>5858016.0</v>
      </c>
      <c r="E199" s="9" t="s">
        <v>511</v>
      </c>
      <c r="F199" s="9"/>
      <c r="G199" s="9" t="s">
        <v>512</v>
      </c>
      <c r="H199" s="9" t="s">
        <v>345</v>
      </c>
      <c r="I199" s="8">
        <v>1950.0</v>
      </c>
      <c r="J199" s="9" t="s">
        <v>346</v>
      </c>
      <c r="K199" s="9" t="s">
        <v>391</v>
      </c>
      <c r="L199" s="9" t="s">
        <v>391</v>
      </c>
      <c r="M199" s="9" t="s">
        <v>564</v>
      </c>
      <c r="N199" s="9" t="s">
        <v>35</v>
      </c>
      <c r="O199" s="9" t="s">
        <v>565</v>
      </c>
      <c r="P199" s="9" t="s">
        <v>502</v>
      </c>
      <c r="Q199" s="8">
        <v>0.0</v>
      </c>
      <c r="R199" s="8">
        <v>0.0</v>
      </c>
      <c r="S199" s="8">
        <v>0.0</v>
      </c>
      <c r="T199" s="8">
        <v>1.0</v>
      </c>
      <c r="U199" s="8">
        <v>0.0</v>
      </c>
      <c r="V199" s="8">
        <v>0.0</v>
      </c>
      <c r="W199" s="8">
        <v>0.0</v>
      </c>
      <c r="X199" s="8">
        <v>0.0</v>
      </c>
      <c r="Y199" s="8">
        <v>0.0</v>
      </c>
      <c r="Z199" s="8">
        <v>0.0</v>
      </c>
      <c r="AA199" s="8">
        <v>0.0</v>
      </c>
      <c r="AB199" s="8">
        <v>0.0</v>
      </c>
      <c r="AC199" s="8">
        <v>0.0</v>
      </c>
      <c r="AD199" s="9" t="s">
        <v>38</v>
      </c>
      <c r="AE199" s="9" t="s">
        <v>39</v>
      </c>
      <c r="AF199" s="9" t="s">
        <v>40</v>
      </c>
    </row>
    <row r="200">
      <c r="A200" s="7" t="s">
        <v>342</v>
      </c>
      <c r="B200" s="8">
        <v>4600.0</v>
      </c>
      <c r="C200" s="8">
        <v>6092654.0</v>
      </c>
      <c r="D200" s="8">
        <v>6097304.0</v>
      </c>
      <c r="E200" s="9" t="s">
        <v>511</v>
      </c>
      <c r="F200" s="9"/>
      <c r="G200" s="9" t="s">
        <v>512</v>
      </c>
      <c r="H200" s="9" t="s">
        <v>345</v>
      </c>
      <c r="I200" s="8">
        <v>1950.0</v>
      </c>
      <c r="J200" s="9" t="s">
        <v>346</v>
      </c>
      <c r="K200" s="9" t="s">
        <v>391</v>
      </c>
      <c r="L200" s="9" t="s">
        <v>391</v>
      </c>
      <c r="M200" s="9" t="s">
        <v>566</v>
      </c>
      <c r="N200" s="9" t="s">
        <v>35</v>
      </c>
      <c r="O200" s="9" t="s">
        <v>567</v>
      </c>
      <c r="P200" s="9" t="s">
        <v>454</v>
      </c>
      <c r="Q200" s="8">
        <v>0.0</v>
      </c>
      <c r="R200" s="8">
        <v>0.0</v>
      </c>
      <c r="S200" s="8">
        <v>1.0</v>
      </c>
      <c r="T200" s="8">
        <v>0.0</v>
      </c>
      <c r="U200" s="8">
        <v>0.0</v>
      </c>
      <c r="V200" s="8">
        <v>0.0</v>
      </c>
      <c r="W200" s="8">
        <v>0.0</v>
      </c>
      <c r="X200" s="8">
        <v>0.0</v>
      </c>
      <c r="Y200" s="8">
        <v>0.0</v>
      </c>
      <c r="Z200" s="8">
        <v>0.0</v>
      </c>
      <c r="AA200" s="8">
        <v>0.0</v>
      </c>
      <c r="AB200" s="8">
        <v>0.0</v>
      </c>
      <c r="AC200" s="8">
        <v>0.0</v>
      </c>
      <c r="AD200" s="9" t="s">
        <v>38</v>
      </c>
      <c r="AE200" s="9" t="s">
        <v>39</v>
      </c>
      <c r="AF200" s="9" t="s">
        <v>40</v>
      </c>
    </row>
    <row r="201">
      <c r="A201" s="7" t="s">
        <v>342</v>
      </c>
      <c r="B201" s="8">
        <v>4611.0</v>
      </c>
      <c r="C201" s="8">
        <v>6145319.0</v>
      </c>
      <c r="D201" s="8">
        <v>6148044.0</v>
      </c>
      <c r="E201" s="9" t="s">
        <v>511</v>
      </c>
      <c r="F201" s="9"/>
      <c r="G201" s="9" t="s">
        <v>512</v>
      </c>
      <c r="H201" s="9" t="s">
        <v>345</v>
      </c>
      <c r="I201" s="8">
        <v>1950.0</v>
      </c>
      <c r="J201" s="9" t="s">
        <v>346</v>
      </c>
      <c r="K201" s="9" t="s">
        <v>391</v>
      </c>
      <c r="L201" s="9" t="s">
        <v>391</v>
      </c>
      <c r="M201" s="9" t="s">
        <v>568</v>
      </c>
      <c r="N201" s="9" t="s">
        <v>35</v>
      </c>
      <c r="O201" s="9" t="s">
        <v>569</v>
      </c>
      <c r="P201" s="9" t="s">
        <v>489</v>
      </c>
      <c r="Q201" s="8">
        <v>0.0</v>
      </c>
      <c r="R201" s="8">
        <v>0.0</v>
      </c>
      <c r="S201" s="8">
        <v>0.0</v>
      </c>
      <c r="T201" s="8">
        <v>0.0</v>
      </c>
      <c r="U201" s="8">
        <v>0.0</v>
      </c>
      <c r="V201" s="8">
        <v>0.0</v>
      </c>
      <c r="W201" s="8">
        <v>0.0</v>
      </c>
      <c r="X201" s="8">
        <v>1.0</v>
      </c>
      <c r="Y201" s="8">
        <v>0.0</v>
      </c>
      <c r="Z201" s="8">
        <v>0.0</v>
      </c>
      <c r="AA201" s="8">
        <v>0.0</v>
      </c>
      <c r="AB201" s="8">
        <v>0.0</v>
      </c>
      <c r="AC201" s="8">
        <v>0.0</v>
      </c>
      <c r="AD201" s="9" t="s">
        <v>38</v>
      </c>
      <c r="AE201" s="9" t="s">
        <v>39</v>
      </c>
      <c r="AF201" s="9" t="s">
        <v>40</v>
      </c>
    </row>
    <row r="202">
      <c r="A202" s="7" t="s">
        <v>342</v>
      </c>
      <c r="B202" s="8">
        <v>4646.0</v>
      </c>
      <c r="C202" s="8">
        <v>6264098.0</v>
      </c>
      <c r="D202" s="8">
        <v>6268060.0</v>
      </c>
      <c r="E202" s="9" t="s">
        <v>511</v>
      </c>
      <c r="F202" s="9"/>
      <c r="G202" s="9" t="s">
        <v>512</v>
      </c>
      <c r="H202" s="9" t="s">
        <v>345</v>
      </c>
      <c r="I202" s="8">
        <v>1950.0</v>
      </c>
      <c r="J202" s="9" t="s">
        <v>346</v>
      </c>
      <c r="K202" s="9" t="s">
        <v>391</v>
      </c>
      <c r="L202" s="9" t="s">
        <v>391</v>
      </c>
      <c r="M202" s="9" t="s">
        <v>570</v>
      </c>
      <c r="N202" s="9" t="s">
        <v>35</v>
      </c>
      <c r="O202" s="9" t="s">
        <v>571</v>
      </c>
      <c r="P202" s="9" t="s">
        <v>572</v>
      </c>
      <c r="Q202" s="8">
        <v>0.0</v>
      </c>
      <c r="R202" s="8">
        <v>0.0</v>
      </c>
      <c r="S202" s="8">
        <v>0.0</v>
      </c>
      <c r="T202" s="8">
        <v>0.0</v>
      </c>
      <c r="U202" s="8">
        <v>0.0</v>
      </c>
      <c r="V202" s="8">
        <v>0.0</v>
      </c>
      <c r="W202" s="8">
        <v>0.0</v>
      </c>
      <c r="X202" s="8">
        <v>1.0</v>
      </c>
      <c r="Y202" s="8">
        <v>0.0</v>
      </c>
      <c r="Z202" s="8">
        <v>0.0</v>
      </c>
      <c r="AA202" s="8">
        <v>0.0</v>
      </c>
      <c r="AB202" s="8">
        <v>0.0</v>
      </c>
      <c r="AC202" s="8">
        <v>0.0</v>
      </c>
      <c r="AD202" s="9" t="s">
        <v>38</v>
      </c>
      <c r="AE202" s="9" t="s">
        <v>39</v>
      </c>
      <c r="AF202" s="9" t="s">
        <v>40</v>
      </c>
    </row>
    <row r="203">
      <c r="A203" s="7" t="s">
        <v>342</v>
      </c>
      <c r="B203" s="8">
        <v>4894.0</v>
      </c>
      <c r="C203" s="8">
        <v>7203420.0</v>
      </c>
      <c r="D203" s="8">
        <v>7211172.0</v>
      </c>
      <c r="E203" s="9" t="s">
        <v>511</v>
      </c>
      <c r="F203" s="9"/>
      <c r="G203" s="9" t="s">
        <v>512</v>
      </c>
      <c r="H203" s="9" t="s">
        <v>345</v>
      </c>
      <c r="I203" s="8">
        <v>1950.0</v>
      </c>
      <c r="J203" s="9" t="s">
        <v>346</v>
      </c>
      <c r="K203" s="9" t="s">
        <v>391</v>
      </c>
      <c r="L203" s="9" t="s">
        <v>391</v>
      </c>
      <c r="M203" s="9" t="s">
        <v>573</v>
      </c>
      <c r="N203" s="9" t="s">
        <v>35</v>
      </c>
      <c r="O203" s="9" t="s">
        <v>574</v>
      </c>
      <c r="P203" s="9" t="s">
        <v>359</v>
      </c>
      <c r="Q203" s="8">
        <v>1.0</v>
      </c>
      <c r="R203" s="8">
        <v>0.0</v>
      </c>
      <c r="S203" s="8">
        <v>0.0</v>
      </c>
      <c r="T203" s="8">
        <v>0.0</v>
      </c>
      <c r="U203" s="8">
        <v>0.0</v>
      </c>
      <c r="V203" s="8">
        <v>0.0</v>
      </c>
      <c r="W203" s="8">
        <v>0.0</v>
      </c>
      <c r="X203" s="8">
        <v>0.0</v>
      </c>
      <c r="Y203" s="8">
        <v>0.0</v>
      </c>
      <c r="Z203" s="8">
        <v>0.0</v>
      </c>
      <c r="AA203" s="8">
        <v>0.0</v>
      </c>
      <c r="AB203" s="8">
        <v>0.0</v>
      </c>
      <c r="AC203" s="8">
        <v>0.0</v>
      </c>
      <c r="AD203" s="10" t="s">
        <v>44</v>
      </c>
      <c r="AE203" s="9" t="s">
        <v>40</v>
      </c>
      <c r="AF203" s="9" t="s">
        <v>40</v>
      </c>
    </row>
    <row r="204">
      <c r="A204" s="7" t="s">
        <v>342</v>
      </c>
      <c r="B204" s="8">
        <v>4902.0</v>
      </c>
      <c r="C204" s="8">
        <v>7246972.0</v>
      </c>
      <c r="D204" s="8">
        <v>7250786.0</v>
      </c>
      <c r="E204" s="9" t="s">
        <v>511</v>
      </c>
      <c r="F204" s="9"/>
      <c r="G204" s="9" t="s">
        <v>512</v>
      </c>
      <c r="H204" s="9" t="s">
        <v>345</v>
      </c>
      <c r="I204" s="8">
        <v>1950.0</v>
      </c>
      <c r="J204" s="9" t="s">
        <v>346</v>
      </c>
      <c r="K204" s="9" t="s">
        <v>391</v>
      </c>
      <c r="L204" s="9" t="s">
        <v>391</v>
      </c>
      <c r="M204" s="9" t="s">
        <v>575</v>
      </c>
      <c r="N204" s="9" t="s">
        <v>35</v>
      </c>
      <c r="O204" s="9" t="s">
        <v>576</v>
      </c>
      <c r="P204" s="9" t="s">
        <v>121</v>
      </c>
      <c r="Q204" s="8">
        <v>0.0</v>
      </c>
      <c r="R204" s="8">
        <v>0.0</v>
      </c>
      <c r="S204" s="8">
        <v>0.0</v>
      </c>
      <c r="T204" s="8">
        <v>0.0</v>
      </c>
      <c r="U204" s="8">
        <v>0.0</v>
      </c>
      <c r="V204" s="8">
        <v>0.0</v>
      </c>
      <c r="W204" s="8">
        <v>0.0</v>
      </c>
      <c r="X204" s="8">
        <v>0.0</v>
      </c>
      <c r="Y204" s="8">
        <v>0.0</v>
      </c>
      <c r="Z204" s="8">
        <v>1.0</v>
      </c>
      <c r="AA204" s="8">
        <v>0.0</v>
      </c>
      <c r="AB204" s="8">
        <v>0.0</v>
      </c>
      <c r="AC204" s="8">
        <v>0.0</v>
      </c>
      <c r="AD204" s="9" t="s">
        <v>38</v>
      </c>
      <c r="AE204" s="9" t="s">
        <v>39</v>
      </c>
      <c r="AF204" s="9" t="s">
        <v>40</v>
      </c>
    </row>
    <row r="205">
      <c r="A205" s="7" t="s">
        <v>342</v>
      </c>
      <c r="B205" s="8">
        <v>5058.0</v>
      </c>
      <c r="C205" s="8">
        <v>666296.0</v>
      </c>
      <c r="D205" s="8">
        <v>671422.0</v>
      </c>
      <c r="E205" s="9" t="s">
        <v>577</v>
      </c>
      <c r="F205" s="9"/>
      <c r="G205" s="9" t="s">
        <v>578</v>
      </c>
      <c r="H205" s="9" t="s">
        <v>377</v>
      </c>
      <c r="I205" s="8">
        <v>1954.0</v>
      </c>
      <c r="J205" s="9" t="s">
        <v>346</v>
      </c>
      <c r="K205" s="9" t="s">
        <v>43</v>
      </c>
      <c r="L205" s="9" t="s">
        <v>43</v>
      </c>
      <c r="M205" s="9" t="s">
        <v>579</v>
      </c>
      <c r="N205" s="9" t="s">
        <v>35</v>
      </c>
      <c r="O205" s="9" t="s">
        <v>580</v>
      </c>
      <c r="P205" s="9" t="s">
        <v>514</v>
      </c>
      <c r="Q205" s="8">
        <v>1.0</v>
      </c>
      <c r="R205" s="8">
        <v>0.0</v>
      </c>
      <c r="S205" s="8">
        <v>0.0</v>
      </c>
      <c r="T205" s="8">
        <v>0.0</v>
      </c>
      <c r="U205" s="8">
        <v>0.0</v>
      </c>
      <c r="V205" s="8">
        <v>0.0</v>
      </c>
      <c r="W205" s="8">
        <v>0.0</v>
      </c>
      <c r="X205" s="8">
        <v>0.0</v>
      </c>
      <c r="Y205" s="8">
        <v>0.0</v>
      </c>
      <c r="Z205" s="8">
        <v>0.0</v>
      </c>
      <c r="AA205" s="8">
        <v>0.0</v>
      </c>
      <c r="AB205" s="8">
        <v>0.0</v>
      </c>
      <c r="AC205" s="8">
        <v>0.0</v>
      </c>
      <c r="AD205" s="9" t="s">
        <v>38</v>
      </c>
      <c r="AE205" s="9" t="s">
        <v>39</v>
      </c>
      <c r="AF205" s="9" t="s">
        <v>166</v>
      </c>
    </row>
    <row r="206">
      <c r="A206" s="7" t="s">
        <v>342</v>
      </c>
      <c r="B206" s="8">
        <v>5090.0</v>
      </c>
      <c r="C206" s="8">
        <v>835076.0</v>
      </c>
      <c r="D206" s="8">
        <v>838330.0</v>
      </c>
      <c r="E206" s="9" t="s">
        <v>577</v>
      </c>
      <c r="F206" s="9"/>
      <c r="G206" s="9" t="s">
        <v>578</v>
      </c>
      <c r="H206" s="9" t="s">
        <v>377</v>
      </c>
      <c r="I206" s="8">
        <v>1954.0</v>
      </c>
      <c r="J206" s="9" t="s">
        <v>346</v>
      </c>
      <c r="K206" s="9" t="s">
        <v>43</v>
      </c>
      <c r="L206" s="9" t="s">
        <v>43</v>
      </c>
      <c r="M206" s="9" t="s">
        <v>581</v>
      </c>
      <c r="N206" s="9" t="s">
        <v>35</v>
      </c>
      <c r="O206" s="9" t="s">
        <v>582</v>
      </c>
      <c r="P206" s="9" t="s">
        <v>359</v>
      </c>
      <c r="Q206" s="8">
        <v>1.0</v>
      </c>
      <c r="R206" s="8">
        <v>0.0</v>
      </c>
      <c r="S206" s="8">
        <v>0.0</v>
      </c>
      <c r="T206" s="8">
        <v>0.0</v>
      </c>
      <c r="U206" s="8">
        <v>0.0</v>
      </c>
      <c r="V206" s="8">
        <v>0.0</v>
      </c>
      <c r="W206" s="8">
        <v>0.0</v>
      </c>
      <c r="X206" s="8">
        <v>0.0</v>
      </c>
      <c r="Y206" s="8">
        <v>0.0</v>
      </c>
      <c r="Z206" s="8">
        <v>0.0</v>
      </c>
      <c r="AA206" s="8">
        <v>0.0</v>
      </c>
      <c r="AB206" s="8">
        <v>0.0</v>
      </c>
      <c r="AC206" s="8">
        <v>0.0</v>
      </c>
      <c r="AD206" s="9" t="s">
        <v>38</v>
      </c>
      <c r="AE206" s="9" t="s">
        <v>39</v>
      </c>
      <c r="AF206" s="9" t="s">
        <v>40</v>
      </c>
    </row>
    <row r="207">
      <c r="A207" s="7" t="s">
        <v>342</v>
      </c>
      <c r="B207" s="8">
        <v>5111.0</v>
      </c>
      <c r="C207" s="8">
        <v>913254.0</v>
      </c>
      <c r="D207" s="8">
        <v>915170.0</v>
      </c>
      <c r="E207" s="9" t="s">
        <v>577</v>
      </c>
      <c r="F207" s="9"/>
      <c r="G207" s="9" t="s">
        <v>578</v>
      </c>
      <c r="H207" s="9" t="s">
        <v>377</v>
      </c>
      <c r="I207" s="8">
        <v>1954.0</v>
      </c>
      <c r="J207" s="9" t="s">
        <v>346</v>
      </c>
      <c r="K207" s="9" t="s">
        <v>43</v>
      </c>
      <c r="L207" s="9" t="s">
        <v>43</v>
      </c>
      <c r="M207" s="9" t="s">
        <v>583</v>
      </c>
      <c r="N207" s="9" t="s">
        <v>35</v>
      </c>
      <c r="O207" s="9" t="s">
        <v>584</v>
      </c>
      <c r="P207" s="9" t="s">
        <v>359</v>
      </c>
      <c r="Q207" s="8">
        <v>1.0</v>
      </c>
      <c r="R207" s="8">
        <v>0.0</v>
      </c>
      <c r="S207" s="8">
        <v>0.0</v>
      </c>
      <c r="T207" s="8">
        <v>0.0</v>
      </c>
      <c r="U207" s="8">
        <v>0.0</v>
      </c>
      <c r="V207" s="8">
        <v>0.0</v>
      </c>
      <c r="W207" s="8">
        <v>0.0</v>
      </c>
      <c r="X207" s="8">
        <v>0.0</v>
      </c>
      <c r="Y207" s="8">
        <v>0.0</v>
      </c>
      <c r="Z207" s="8">
        <v>0.0</v>
      </c>
      <c r="AA207" s="8">
        <v>0.0</v>
      </c>
      <c r="AB207" s="8">
        <v>0.0</v>
      </c>
      <c r="AC207" s="8">
        <v>0.0</v>
      </c>
      <c r="AD207" s="9" t="s">
        <v>38</v>
      </c>
      <c r="AE207" s="9" t="s">
        <v>39</v>
      </c>
      <c r="AF207" s="9" t="s">
        <v>40</v>
      </c>
    </row>
    <row r="208">
      <c r="A208" s="7" t="s">
        <v>342</v>
      </c>
      <c r="B208" s="8">
        <v>5112.0</v>
      </c>
      <c r="C208" s="8">
        <v>915198.0</v>
      </c>
      <c r="D208" s="8">
        <v>917451.0</v>
      </c>
      <c r="E208" s="9" t="s">
        <v>577</v>
      </c>
      <c r="F208" s="9"/>
      <c r="G208" s="9" t="s">
        <v>578</v>
      </c>
      <c r="H208" s="9" t="s">
        <v>377</v>
      </c>
      <c r="I208" s="8">
        <v>1954.0</v>
      </c>
      <c r="J208" s="9" t="s">
        <v>346</v>
      </c>
      <c r="K208" s="9" t="s">
        <v>43</v>
      </c>
      <c r="L208" s="9" t="s">
        <v>43</v>
      </c>
      <c r="M208" s="9" t="s">
        <v>585</v>
      </c>
      <c r="N208" s="9" t="s">
        <v>35</v>
      </c>
      <c r="O208" s="9" t="s">
        <v>586</v>
      </c>
      <c r="P208" s="9" t="s">
        <v>587</v>
      </c>
      <c r="Q208" s="8">
        <v>0.0</v>
      </c>
      <c r="R208" s="8">
        <v>0.0</v>
      </c>
      <c r="S208" s="8">
        <v>0.0</v>
      </c>
      <c r="T208" s="8">
        <v>0.0</v>
      </c>
      <c r="U208" s="8">
        <v>1.0</v>
      </c>
      <c r="V208" s="8">
        <v>0.0</v>
      </c>
      <c r="W208" s="8">
        <v>0.0</v>
      </c>
      <c r="X208" s="8">
        <v>0.0</v>
      </c>
      <c r="Y208" s="8">
        <v>0.0</v>
      </c>
      <c r="Z208" s="8">
        <v>0.0</v>
      </c>
      <c r="AA208" s="8">
        <v>0.0</v>
      </c>
      <c r="AB208" s="8">
        <v>0.0</v>
      </c>
      <c r="AC208" s="8">
        <v>0.0</v>
      </c>
      <c r="AD208" s="9" t="s">
        <v>38</v>
      </c>
      <c r="AE208" s="9" t="s">
        <v>39</v>
      </c>
      <c r="AF208" s="9" t="s">
        <v>40</v>
      </c>
    </row>
    <row r="209">
      <c r="A209" s="7" t="s">
        <v>342</v>
      </c>
      <c r="B209" s="8">
        <v>5297.0</v>
      </c>
      <c r="C209" s="8">
        <v>2640041.0</v>
      </c>
      <c r="D209" s="8">
        <v>2651183.0</v>
      </c>
      <c r="E209" s="9" t="s">
        <v>588</v>
      </c>
      <c r="F209" s="9"/>
      <c r="G209" s="9" t="s">
        <v>509</v>
      </c>
      <c r="H209" s="9" t="s">
        <v>345</v>
      </c>
      <c r="I209" s="8">
        <v>1939.0</v>
      </c>
      <c r="J209" s="9" t="s">
        <v>346</v>
      </c>
      <c r="K209" s="9" t="s">
        <v>43</v>
      </c>
      <c r="L209" s="9" t="s">
        <v>43</v>
      </c>
      <c r="M209" s="9" t="s">
        <v>589</v>
      </c>
      <c r="N209" s="9" t="s">
        <v>45</v>
      </c>
      <c r="O209" s="9" t="s">
        <v>590</v>
      </c>
      <c r="P209" s="9" t="s">
        <v>364</v>
      </c>
      <c r="Q209" s="8">
        <v>1.0</v>
      </c>
      <c r="R209" s="8">
        <v>0.0</v>
      </c>
      <c r="S209" s="8">
        <v>0.0</v>
      </c>
      <c r="T209" s="8">
        <v>0.0</v>
      </c>
      <c r="U209" s="8">
        <v>0.0</v>
      </c>
      <c r="V209" s="8">
        <v>0.0</v>
      </c>
      <c r="W209" s="8">
        <v>0.0</v>
      </c>
      <c r="X209" s="8">
        <v>0.0</v>
      </c>
      <c r="Y209" s="8">
        <v>0.0</v>
      </c>
      <c r="Z209" s="8">
        <v>0.0</v>
      </c>
      <c r="AA209" s="8">
        <v>0.0</v>
      </c>
      <c r="AB209" s="8">
        <v>0.0</v>
      </c>
      <c r="AC209" s="8">
        <v>0.0</v>
      </c>
      <c r="AD209" s="9" t="s">
        <v>38</v>
      </c>
      <c r="AE209" s="9" t="s">
        <v>39</v>
      </c>
      <c r="AF209" s="9" t="s">
        <v>40</v>
      </c>
    </row>
    <row r="210">
      <c r="A210" s="7" t="s">
        <v>342</v>
      </c>
      <c r="B210" s="8">
        <v>5379.0</v>
      </c>
      <c r="C210" s="8">
        <v>3217266.0</v>
      </c>
      <c r="D210" s="8">
        <v>3220616.0</v>
      </c>
      <c r="E210" s="9" t="s">
        <v>588</v>
      </c>
      <c r="F210" s="9"/>
      <c r="G210" s="9" t="s">
        <v>509</v>
      </c>
      <c r="H210" s="9" t="s">
        <v>345</v>
      </c>
      <c r="I210" s="8">
        <v>1939.0</v>
      </c>
      <c r="J210" s="9" t="s">
        <v>346</v>
      </c>
      <c r="K210" s="9" t="s">
        <v>43</v>
      </c>
      <c r="L210" s="9" t="s">
        <v>43</v>
      </c>
      <c r="M210" s="9" t="s">
        <v>591</v>
      </c>
      <c r="N210" s="9" t="s">
        <v>35</v>
      </c>
      <c r="O210" s="9" t="s">
        <v>592</v>
      </c>
      <c r="P210" s="9" t="s">
        <v>593</v>
      </c>
      <c r="Q210" s="8">
        <v>0.0</v>
      </c>
      <c r="R210" s="8">
        <v>0.0</v>
      </c>
      <c r="S210" s="8">
        <v>0.0</v>
      </c>
      <c r="T210" s="8">
        <v>0.0</v>
      </c>
      <c r="U210" s="8">
        <v>1.0</v>
      </c>
      <c r="V210" s="8">
        <v>0.0</v>
      </c>
      <c r="W210" s="8">
        <v>0.0</v>
      </c>
      <c r="X210" s="8">
        <v>0.0</v>
      </c>
      <c r="Y210" s="8">
        <v>0.0</v>
      </c>
      <c r="Z210" s="8">
        <v>0.0</v>
      </c>
      <c r="AA210" s="8">
        <v>0.0</v>
      </c>
      <c r="AB210" s="8">
        <v>0.0</v>
      </c>
      <c r="AC210" s="8">
        <v>0.0</v>
      </c>
      <c r="AD210" s="9" t="s">
        <v>38</v>
      </c>
      <c r="AE210" s="9" t="s">
        <v>39</v>
      </c>
      <c r="AF210" s="9" t="s">
        <v>40</v>
      </c>
    </row>
    <row r="211">
      <c r="A211" s="7" t="s">
        <v>342</v>
      </c>
      <c r="B211" s="8">
        <v>5460.0</v>
      </c>
      <c r="C211" s="8">
        <v>23727.0</v>
      </c>
      <c r="D211" s="8">
        <v>30660.0</v>
      </c>
      <c r="E211" s="9" t="s">
        <v>594</v>
      </c>
      <c r="F211" s="9"/>
      <c r="G211" s="9" t="s">
        <v>388</v>
      </c>
      <c r="H211" s="9" t="s">
        <v>345</v>
      </c>
      <c r="I211" s="8">
        <v>1932.0</v>
      </c>
      <c r="J211" s="9" t="s">
        <v>389</v>
      </c>
      <c r="K211" s="9" t="s">
        <v>390</v>
      </c>
      <c r="L211" s="9" t="s">
        <v>391</v>
      </c>
      <c r="M211" s="9" t="s">
        <v>595</v>
      </c>
      <c r="N211" s="9" t="s">
        <v>35</v>
      </c>
      <c r="O211" s="9" t="s">
        <v>596</v>
      </c>
      <c r="P211" s="9" t="s">
        <v>587</v>
      </c>
      <c r="Q211" s="8">
        <v>0.0</v>
      </c>
      <c r="R211" s="8">
        <v>0.0</v>
      </c>
      <c r="S211" s="8">
        <v>0.0</v>
      </c>
      <c r="T211" s="8">
        <v>0.0</v>
      </c>
      <c r="U211" s="8">
        <v>1.0</v>
      </c>
      <c r="V211" s="8">
        <v>0.0</v>
      </c>
      <c r="W211" s="8">
        <v>0.0</v>
      </c>
      <c r="X211" s="8">
        <v>0.0</v>
      </c>
      <c r="Y211" s="8">
        <v>0.0</v>
      </c>
      <c r="Z211" s="8">
        <v>0.0</v>
      </c>
      <c r="AA211" s="8">
        <v>0.0</v>
      </c>
      <c r="AB211" s="8">
        <v>0.0</v>
      </c>
      <c r="AC211" s="8">
        <v>0.0</v>
      </c>
      <c r="AD211" s="9" t="s">
        <v>38</v>
      </c>
      <c r="AE211" s="9" t="s">
        <v>39</v>
      </c>
      <c r="AF211" s="9" t="s">
        <v>40</v>
      </c>
    </row>
    <row r="212">
      <c r="A212" s="7" t="s">
        <v>342</v>
      </c>
      <c r="B212" s="8">
        <v>5507.0</v>
      </c>
      <c r="C212" s="8">
        <v>343620.0</v>
      </c>
      <c r="D212" s="8">
        <v>347230.0</v>
      </c>
      <c r="E212" s="9" t="s">
        <v>594</v>
      </c>
      <c r="F212" s="9"/>
      <c r="G212" s="9" t="s">
        <v>388</v>
      </c>
      <c r="H212" s="9" t="s">
        <v>345</v>
      </c>
      <c r="I212" s="8">
        <v>1932.0</v>
      </c>
      <c r="J212" s="9" t="s">
        <v>389</v>
      </c>
      <c r="K212" s="9" t="s">
        <v>390</v>
      </c>
      <c r="L212" s="9" t="s">
        <v>391</v>
      </c>
      <c r="M212" s="9" t="s">
        <v>597</v>
      </c>
      <c r="N212" s="9" t="s">
        <v>35</v>
      </c>
      <c r="O212" s="9" t="s">
        <v>465</v>
      </c>
      <c r="P212" s="9" t="s">
        <v>394</v>
      </c>
      <c r="Q212" s="8">
        <v>1.0</v>
      </c>
      <c r="R212" s="8">
        <v>0.0</v>
      </c>
      <c r="S212" s="8">
        <v>0.0</v>
      </c>
      <c r="T212" s="8">
        <v>0.0</v>
      </c>
      <c r="U212" s="8">
        <v>0.0</v>
      </c>
      <c r="V212" s="8">
        <v>0.0</v>
      </c>
      <c r="W212" s="8">
        <v>0.0</v>
      </c>
      <c r="X212" s="8">
        <v>0.0</v>
      </c>
      <c r="Y212" s="8">
        <v>0.0</v>
      </c>
      <c r="Z212" s="8">
        <v>0.0</v>
      </c>
      <c r="AA212" s="8">
        <v>0.0</v>
      </c>
      <c r="AB212" s="8">
        <v>0.0</v>
      </c>
      <c r="AC212" s="8">
        <v>0.0</v>
      </c>
      <c r="AD212" s="10" t="s">
        <v>44</v>
      </c>
      <c r="AE212" s="9" t="s">
        <v>40</v>
      </c>
      <c r="AF212" s="9" t="s">
        <v>40</v>
      </c>
    </row>
    <row r="213">
      <c r="A213" s="7" t="s">
        <v>342</v>
      </c>
      <c r="B213" s="8">
        <v>5511.0</v>
      </c>
      <c r="C213" s="8">
        <v>361707.0</v>
      </c>
      <c r="D213" s="8">
        <v>369232.0</v>
      </c>
      <c r="E213" s="9" t="s">
        <v>594</v>
      </c>
      <c r="F213" s="9"/>
      <c r="G213" s="9" t="s">
        <v>388</v>
      </c>
      <c r="H213" s="9" t="s">
        <v>345</v>
      </c>
      <c r="I213" s="8">
        <v>1932.0</v>
      </c>
      <c r="J213" s="9" t="s">
        <v>389</v>
      </c>
      <c r="K213" s="9" t="s">
        <v>390</v>
      </c>
      <c r="L213" s="9" t="s">
        <v>391</v>
      </c>
      <c r="M213" s="9" t="s">
        <v>598</v>
      </c>
      <c r="N213" s="9" t="s">
        <v>35</v>
      </c>
      <c r="O213" s="9" t="s">
        <v>599</v>
      </c>
      <c r="P213" s="9" t="s">
        <v>121</v>
      </c>
      <c r="Q213" s="8">
        <v>0.0</v>
      </c>
      <c r="R213" s="8">
        <v>0.0</v>
      </c>
      <c r="S213" s="8">
        <v>0.0</v>
      </c>
      <c r="T213" s="8">
        <v>0.0</v>
      </c>
      <c r="U213" s="8">
        <v>0.0</v>
      </c>
      <c r="V213" s="8">
        <v>0.0</v>
      </c>
      <c r="W213" s="8">
        <v>0.0</v>
      </c>
      <c r="X213" s="8">
        <v>0.0</v>
      </c>
      <c r="Y213" s="8">
        <v>0.0</v>
      </c>
      <c r="Z213" s="8">
        <v>1.0</v>
      </c>
      <c r="AA213" s="8">
        <v>0.0</v>
      </c>
      <c r="AB213" s="8">
        <v>0.0</v>
      </c>
      <c r="AC213" s="8">
        <v>0.0</v>
      </c>
      <c r="AD213" s="9" t="s">
        <v>38</v>
      </c>
      <c r="AE213" s="9" t="s">
        <v>39</v>
      </c>
      <c r="AF213" s="9" t="s">
        <v>40</v>
      </c>
    </row>
    <row r="214">
      <c r="A214" s="7" t="s">
        <v>342</v>
      </c>
      <c r="B214" s="8">
        <v>5539.0</v>
      </c>
      <c r="C214" s="8">
        <v>512659.0</v>
      </c>
      <c r="D214" s="8">
        <v>519740.0</v>
      </c>
      <c r="E214" s="9" t="s">
        <v>594</v>
      </c>
      <c r="F214" s="9"/>
      <c r="G214" s="9" t="s">
        <v>388</v>
      </c>
      <c r="H214" s="9" t="s">
        <v>345</v>
      </c>
      <c r="I214" s="8">
        <v>1932.0</v>
      </c>
      <c r="J214" s="9" t="s">
        <v>389</v>
      </c>
      <c r="K214" s="9" t="s">
        <v>390</v>
      </c>
      <c r="L214" s="9" t="s">
        <v>391</v>
      </c>
      <c r="M214" s="9" t="s">
        <v>600</v>
      </c>
      <c r="N214" s="9" t="s">
        <v>35</v>
      </c>
      <c r="O214" s="9" t="s">
        <v>601</v>
      </c>
      <c r="P214" s="9" t="s">
        <v>602</v>
      </c>
      <c r="Q214" s="8">
        <v>0.0</v>
      </c>
      <c r="R214" s="8">
        <v>0.0</v>
      </c>
      <c r="S214" s="8">
        <v>0.0</v>
      </c>
      <c r="T214" s="8">
        <v>0.0</v>
      </c>
      <c r="U214" s="8">
        <v>0.0</v>
      </c>
      <c r="V214" s="8">
        <v>0.0</v>
      </c>
      <c r="W214" s="8">
        <v>0.0</v>
      </c>
      <c r="X214" s="8">
        <v>0.0</v>
      </c>
      <c r="Y214" s="8">
        <v>1.0</v>
      </c>
      <c r="Z214" s="8">
        <v>0.0</v>
      </c>
      <c r="AA214" s="8">
        <v>0.0</v>
      </c>
      <c r="AB214" s="8">
        <v>0.0</v>
      </c>
      <c r="AC214" s="8">
        <v>0.0</v>
      </c>
      <c r="AD214" s="9" t="s">
        <v>92</v>
      </c>
      <c r="AE214" s="9" t="s">
        <v>39</v>
      </c>
      <c r="AF214" s="9" t="s">
        <v>40</v>
      </c>
    </row>
    <row r="215">
      <c r="A215" s="7" t="s">
        <v>342</v>
      </c>
      <c r="B215" s="8">
        <v>5646.0</v>
      </c>
      <c r="C215" s="8">
        <v>1093772.0</v>
      </c>
      <c r="D215" s="8">
        <v>1102014.0</v>
      </c>
      <c r="E215" s="9" t="s">
        <v>594</v>
      </c>
      <c r="F215" s="9"/>
      <c r="G215" s="9" t="s">
        <v>388</v>
      </c>
      <c r="H215" s="9" t="s">
        <v>345</v>
      </c>
      <c r="I215" s="8">
        <v>1932.0</v>
      </c>
      <c r="J215" s="9" t="s">
        <v>389</v>
      </c>
      <c r="K215" s="9" t="s">
        <v>390</v>
      </c>
      <c r="L215" s="9" t="s">
        <v>391</v>
      </c>
      <c r="M215" s="9" t="s">
        <v>603</v>
      </c>
      <c r="N215" s="9" t="s">
        <v>35</v>
      </c>
      <c r="O215" s="9" t="s">
        <v>604</v>
      </c>
      <c r="P215" s="9" t="s">
        <v>391</v>
      </c>
      <c r="Q215" s="8">
        <v>1.0</v>
      </c>
      <c r="R215" s="8">
        <v>0.0</v>
      </c>
      <c r="S215" s="8">
        <v>0.0</v>
      </c>
      <c r="T215" s="8">
        <v>0.0</v>
      </c>
      <c r="U215" s="8">
        <v>0.0</v>
      </c>
      <c r="V215" s="8">
        <v>0.0</v>
      </c>
      <c r="W215" s="8">
        <v>0.0</v>
      </c>
      <c r="X215" s="8">
        <v>0.0</v>
      </c>
      <c r="Y215" s="8">
        <v>0.0</v>
      </c>
      <c r="Z215" s="8">
        <v>0.0</v>
      </c>
      <c r="AA215" s="8">
        <v>0.0</v>
      </c>
      <c r="AB215" s="8">
        <v>0.0</v>
      </c>
      <c r="AC215" s="8">
        <v>0.0</v>
      </c>
      <c r="AD215" s="10" t="s">
        <v>44</v>
      </c>
      <c r="AE215" s="9" t="s">
        <v>40</v>
      </c>
      <c r="AF215" s="9" t="s">
        <v>40</v>
      </c>
    </row>
    <row r="216">
      <c r="A216" s="7" t="s">
        <v>342</v>
      </c>
      <c r="B216" s="8">
        <v>5676.0</v>
      </c>
      <c r="C216" s="8">
        <v>1256238.0</v>
      </c>
      <c r="D216" s="8">
        <v>1262096.0</v>
      </c>
      <c r="E216" s="9" t="s">
        <v>594</v>
      </c>
      <c r="F216" s="9"/>
      <c r="G216" s="9" t="s">
        <v>388</v>
      </c>
      <c r="H216" s="9" t="s">
        <v>345</v>
      </c>
      <c r="I216" s="8">
        <v>1932.0</v>
      </c>
      <c r="J216" s="9" t="s">
        <v>389</v>
      </c>
      <c r="K216" s="9" t="s">
        <v>390</v>
      </c>
      <c r="L216" s="9" t="s">
        <v>391</v>
      </c>
      <c r="M216" s="9" t="s">
        <v>605</v>
      </c>
      <c r="N216" s="9" t="s">
        <v>35</v>
      </c>
      <c r="O216" s="9" t="s">
        <v>606</v>
      </c>
      <c r="P216" s="9" t="s">
        <v>607</v>
      </c>
      <c r="Q216" s="8">
        <v>0.0</v>
      </c>
      <c r="R216" s="8">
        <v>0.0</v>
      </c>
      <c r="S216" s="8">
        <v>0.0</v>
      </c>
      <c r="T216" s="8">
        <v>0.0</v>
      </c>
      <c r="U216" s="8">
        <v>0.0</v>
      </c>
      <c r="V216" s="8">
        <v>1.0</v>
      </c>
      <c r="W216" s="8">
        <v>0.0</v>
      </c>
      <c r="X216" s="8">
        <v>0.0</v>
      </c>
      <c r="Y216" s="8">
        <v>0.0</v>
      </c>
      <c r="Z216" s="8">
        <v>0.0</v>
      </c>
      <c r="AA216" s="8">
        <v>0.0</v>
      </c>
      <c r="AB216" s="8">
        <v>0.0</v>
      </c>
      <c r="AC216" s="8">
        <v>0.0</v>
      </c>
      <c r="AD216" s="10" t="s">
        <v>44</v>
      </c>
      <c r="AE216" s="9" t="s">
        <v>40</v>
      </c>
      <c r="AF216" s="9" t="s">
        <v>40</v>
      </c>
    </row>
    <row r="217">
      <c r="A217" s="7" t="s">
        <v>342</v>
      </c>
      <c r="B217" s="8">
        <v>5749.0</v>
      </c>
      <c r="C217" s="8">
        <v>1757911.0</v>
      </c>
      <c r="D217" s="8">
        <v>1767227.0</v>
      </c>
      <c r="E217" s="9" t="s">
        <v>594</v>
      </c>
      <c r="F217" s="9"/>
      <c r="G217" s="9" t="s">
        <v>388</v>
      </c>
      <c r="H217" s="9" t="s">
        <v>345</v>
      </c>
      <c r="I217" s="8">
        <v>1932.0</v>
      </c>
      <c r="J217" s="9" t="s">
        <v>389</v>
      </c>
      <c r="K217" s="9" t="s">
        <v>390</v>
      </c>
      <c r="L217" s="9" t="s">
        <v>391</v>
      </c>
      <c r="M217" s="9" t="s">
        <v>608</v>
      </c>
      <c r="N217" s="9" t="s">
        <v>35</v>
      </c>
      <c r="O217" s="9" t="s">
        <v>609</v>
      </c>
      <c r="P217" s="9" t="s">
        <v>408</v>
      </c>
      <c r="Q217" s="8">
        <v>1.0</v>
      </c>
      <c r="R217" s="8">
        <v>0.0</v>
      </c>
      <c r="S217" s="8">
        <v>0.0</v>
      </c>
      <c r="T217" s="8">
        <v>0.0</v>
      </c>
      <c r="U217" s="8">
        <v>0.0</v>
      </c>
      <c r="V217" s="8">
        <v>0.0</v>
      </c>
      <c r="W217" s="8">
        <v>0.0</v>
      </c>
      <c r="X217" s="8">
        <v>0.0</v>
      </c>
      <c r="Y217" s="8">
        <v>0.0</v>
      </c>
      <c r="Z217" s="8">
        <v>0.0</v>
      </c>
      <c r="AA217" s="8">
        <v>0.0</v>
      </c>
      <c r="AB217" s="8">
        <v>0.0</v>
      </c>
      <c r="AC217" s="8">
        <v>0.0</v>
      </c>
      <c r="AD217" s="9" t="s">
        <v>38</v>
      </c>
      <c r="AE217" s="9" t="s">
        <v>39</v>
      </c>
      <c r="AF217" s="9" t="s">
        <v>40</v>
      </c>
    </row>
    <row r="218">
      <c r="A218" s="7" t="s">
        <v>342</v>
      </c>
      <c r="B218" s="8">
        <v>5781.0</v>
      </c>
      <c r="C218" s="8">
        <v>136350.0</v>
      </c>
      <c r="D218" s="8">
        <v>143440.0</v>
      </c>
      <c r="E218" s="9" t="s">
        <v>610</v>
      </c>
      <c r="F218" s="9"/>
      <c r="G218" s="9" t="s">
        <v>611</v>
      </c>
      <c r="H218" s="9" t="s">
        <v>377</v>
      </c>
      <c r="I218" s="8">
        <v>1941.0</v>
      </c>
      <c r="J218" s="9" t="s">
        <v>346</v>
      </c>
      <c r="K218" s="9" t="s">
        <v>43</v>
      </c>
      <c r="L218" s="9" t="s">
        <v>43</v>
      </c>
      <c r="M218" s="9" t="s">
        <v>612</v>
      </c>
      <c r="N218" s="9" t="s">
        <v>35</v>
      </c>
      <c r="O218" s="9" t="s">
        <v>613</v>
      </c>
      <c r="P218" s="9" t="s">
        <v>141</v>
      </c>
      <c r="Q218" s="8">
        <v>1.0</v>
      </c>
      <c r="R218" s="8">
        <v>0.0</v>
      </c>
      <c r="S218" s="8">
        <v>0.0</v>
      </c>
      <c r="T218" s="8">
        <v>0.0</v>
      </c>
      <c r="U218" s="8">
        <v>0.0</v>
      </c>
      <c r="V218" s="8">
        <v>0.0</v>
      </c>
      <c r="W218" s="8">
        <v>0.0</v>
      </c>
      <c r="X218" s="8">
        <v>0.0</v>
      </c>
      <c r="Y218" s="8">
        <v>0.0</v>
      </c>
      <c r="Z218" s="8">
        <v>0.0</v>
      </c>
      <c r="AA218" s="8">
        <v>0.0</v>
      </c>
      <c r="AB218" s="8">
        <v>0.0</v>
      </c>
      <c r="AC218" s="8">
        <v>0.0</v>
      </c>
      <c r="AD218" s="9" t="s">
        <v>38</v>
      </c>
      <c r="AE218" s="9" t="s">
        <v>39</v>
      </c>
      <c r="AF218" s="9" t="s">
        <v>166</v>
      </c>
    </row>
    <row r="219">
      <c r="A219" s="7" t="s">
        <v>342</v>
      </c>
      <c r="B219" s="8">
        <v>5786.0</v>
      </c>
      <c r="C219" s="8">
        <v>168710.0</v>
      </c>
      <c r="D219" s="8">
        <v>172260.0</v>
      </c>
      <c r="E219" s="9" t="s">
        <v>610</v>
      </c>
      <c r="F219" s="9"/>
      <c r="G219" s="9" t="s">
        <v>611</v>
      </c>
      <c r="H219" s="9" t="s">
        <v>377</v>
      </c>
      <c r="I219" s="8">
        <v>1941.0</v>
      </c>
      <c r="J219" s="9" t="s">
        <v>346</v>
      </c>
      <c r="K219" s="9" t="s">
        <v>43</v>
      </c>
      <c r="L219" s="9" t="s">
        <v>43</v>
      </c>
      <c r="M219" s="9" t="s">
        <v>614</v>
      </c>
      <c r="N219" s="9" t="s">
        <v>35</v>
      </c>
      <c r="O219" s="9" t="s">
        <v>615</v>
      </c>
      <c r="P219" s="9" t="s">
        <v>616</v>
      </c>
      <c r="Q219" s="8">
        <v>1.0</v>
      </c>
      <c r="R219" s="8">
        <v>0.0</v>
      </c>
      <c r="S219" s="8">
        <v>0.0</v>
      </c>
      <c r="T219" s="8">
        <v>0.0</v>
      </c>
      <c r="U219" s="8">
        <v>0.0</v>
      </c>
      <c r="V219" s="8">
        <v>0.0</v>
      </c>
      <c r="W219" s="8">
        <v>0.0</v>
      </c>
      <c r="X219" s="8">
        <v>0.0</v>
      </c>
      <c r="Y219" s="8">
        <v>0.0</v>
      </c>
      <c r="Z219" s="8">
        <v>0.0</v>
      </c>
      <c r="AA219" s="8">
        <v>0.0</v>
      </c>
      <c r="AB219" s="8">
        <v>0.0</v>
      </c>
      <c r="AC219" s="8">
        <v>0.0</v>
      </c>
      <c r="AD219" s="9" t="s">
        <v>38</v>
      </c>
      <c r="AE219" s="9" t="s">
        <v>39</v>
      </c>
      <c r="AF219" s="9" t="s">
        <v>40</v>
      </c>
    </row>
    <row r="220">
      <c r="A220" s="7" t="s">
        <v>342</v>
      </c>
      <c r="B220" s="8">
        <v>6086.0</v>
      </c>
      <c r="C220" s="8">
        <v>1876320.0</v>
      </c>
      <c r="D220" s="8">
        <v>1881970.0</v>
      </c>
      <c r="E220" s="9" t="s">
        <v>610</v>
      </c>
      <c r="F220" s="9"/>
      <c r="G220" s="9" t="s">
        <v>611</v>
      </c>
      <c r="H220" s="9" t="s">
        <v>377</v>
      </c>
      <c r="I220" s="8">
        <v>1941.0</v>
      </c>
      <c r="J220" s="9" t="s">
        <v>346</v>
      </c>
      <c r="K220" s="9" t="s">
        <v>43</v>
      </c>
      <c r="L220" s="9" t="s">
        <v>43</v>
      </c>
      <c r="M220" s="9" t="s">
        <v>617</v>
      </c>
      <c r="N220" s="9" t="s">
        <v>35</v>
      </c>
      <c r="O220" s="9" t="s">
        <v>618</v>
      </c>
      <c r="P220" s="9" t="s">
        <v>121</v>
      </c>
      <c r="Q220" s="8">
        <v>0.0</v>
      </c>
      <c r="R220" s="8">
        <v>0.0</v>
      </c>
      <c r="S220" s="8">
        <v>0.0</v>
      </c>
      <c r="T220" s="8">
        <v>0.0</v>
      </c>
      <c r="U220" s="8">
        <v>0.0</v>
      </c>
      <c r="V220" s="8">
        <v>0.0</v>
      </c>
      <c r="W220" s="8">
        <v>0.0</v>
      </c>
      <c r="X220" s="8">
        <v>0.0</v>
      </c>
      <c r="Y220" s="8">
        <v>0.0</v>
      </c>
      <c r="Z220" s="8">
        <v>1.0</v>
      </c>
      <c r="AA220" s="8">
        <v>0.0</v>
      </c>
      <c r="AB220" s="8">
        <v>0.0</v>
      </c>
      <c r="AC220" s="8">
        <v>0.0</v>
      </c>
      <c r="AD220" s="9" t="s">
        <v>38</v>
      </c>
      <c r="AE220" s="9" t="s">
        <v>39</v>
      </c>
      <c r="AF220" s="9" t="s">
        <v>40</v>
      </c>
    </row>
    <row r="221">
      <c r="A221" s="7" t="s">
        <v>342</v>
      </c>
      <c r="B221" s="8">
        <v>6092.0</v>
      </c>
      <c r="C221" s="8">
        <v>1901860.0</v>
      </c>
      <c r="D221" s="8">
        <v>1908130.0</v>
      </c>
      <c r="E221" s="9" t="s">
        <v>610</v>
      </c>
      <c r="F221" s="9"/>
      <c r="G221" s="9" t="s">
        <v>611</v>
      </c>
      <c r="H221" s="9" t="s">
        <v>377</v>
      </c>
      <c r="I221" s="8">
        <v>1941.0</v>
      </c>
      <c r="J221" s="9" t="s">
        <v>346</v>
      </c>
      <c r="K221" s="9" t="s">
        <v>43</v>
      </c>
      <c r="L221" s="9" t="s">
        <v>43</v>
      </c>
      <c r="M221" s="9" t="s">
        <v>619</v>
      </c>
      <c r="N221" s="9" t="s">
        <v>35</v>
      </c>
      <c r="O221" s="9" t="s">
        <v>620</v>
      </c>
      <c r="P221" s="9" t="s">
        <v>621</v>
      </c>
      <c r="Q221" s="8">
        <v>0.0</v>
      </c>
      <c r="R221" s="8">
        <v>0.0</v>
      </c>
      <c r="S221" s="8">
        <v>0.0</v>
      </c>
      <c r="T221" s="8">
        <v>0.0</v>
      </c>
      <c r="U221" s="8">
        <v>0.0</v>
      </c>
      <c r="V221" s="8">
        <v>0.0</v>
      </c>
      <c r="W221" s="8">
        <v>0.0</v>
      </c>
      <c r="X221" s="8">
        <v>1.0</v>
      </c>
      <c r="Y221" s="8">
        <v>0.0</v>
      </c>
      <c r="Z221" s="8">
        <v>0.0</v>
      </c>
      <c r="AA221" s="8">
        <v>0.0</v>
      </c>
      <c r="AB221" s="8">
        <v>0.0</v>
      </c>
      <c r="AC221" s="8">
        <v>0.0</v>
      </c>
      <c r="AD221" s="9" t="s">
        <v>38</v>
      </c>
      <c r="AE221" s="9" t="s">
        <v>39</v>
      </c>
      <c r="AF221" s="9" t="s">
        <v>40</v>
      </c>
    </row>
    <row r="222">
      <c r="A222" s="7" t="s">
        <v>342</v>
      </c>
      <c r="B222" s="8">
        <v>6121.0</v>
      </c>
      <c r="C222" s="8">
        <v>2020050.0</v>
      </c>
      <c r="D222" s="8">
        <v>2029590.0</v>
      </c>
      <c r="E222" s="9" t="s">
        <v>610</v>
      </c>
      <c r="F222" s="9"/>
      <c r="G222" s="9" t="s">
        <v>611</v>
      </c>
      <c r="H222" s="9" t="s">
        <v>377</v>
      </c>
      <c r="I222" s="8">
        <v>1941.0</v>
      </c>
      <c r="J222" s="9" t="s">
        <v>346</v>
      </c>
      <c r="K222" s="9" t="s">
        <v>43</v>
      </c>
      <c r="L222" s="9" t="s">
        <v>43</v>
      </c>
      <c r="M222" s="9" t="s">
        <v>622</v>
      </c>
      <c r="N222" s="9" t="s">
        <v>35</v>
      </c>
      <c r="O222" s="9" t="s">
        <v>623</v>
      </c>
      <c r="P222" s="9" t="s">
        <v>624</v>
      </c>
      <c r="Q222" s="8">
        <v>1.0</v>
      </c>
      <c r="R222" s="8">
        <v>0.0</v>
      </c>
      <c r="S222" s="8">
        <v>0.0</v>
      </c>
      <c r="T222" s="8">
        <v>0.0</v>
      </c>
      <c r="U222" s="8">
        <v>0.0</v>
      </c>
      <c r="V222" s="8">
        <v>0.0</v>
      </c>
      <c r="W222" s="8">
        <v>0.0</v>
      </c>
      <c r="X222" s="8">
        <v>0.0</v>
      </c>
      <c r="Y222" s="8">
        <v>0.0</v>
      </c>
      <c r="Z222" s="8">
        <v>0.0</v>
      </c>
      <c r="AA222" s="8">
        <v>0.0</v>
      </c>
      <c r="AB222" s="8">
        <v>0.0</v>
      </c>
      <c r="AC222" s="8">
        <v>0.0</v>
      </c>
      <c r="AD222" s="9" t="s">
        <v>38</v>
      </c>
      <c r="AE222" s="9" t="s">
        <v>39</v>
      </c>
      <c r="AF222" s="9" t="s">
        <v>40</v>
      </c>
    </row>
    <row r="223">
      <c r="A223" s="7" t="s">
        <v>342</v>
      </c>
      <c r="B223" s="8">
        <v>6431.0</v>
      </c>
      <c r="C223" s="8">
        <v>2552995.0</v>
      </c>
      <c r="D223" s="8">
        <v>2554089.0</v>
      </c>
      <c r="E223" s="9" t="s">
        <v>625</v>
      </c>
      <c r="F223" s="9"/>
      <c r="G223" s="9" t="s">
        <v>509</v>
      </c>
      <c r="H223" s="9" t="s">
        <v>345</v>
      </c>
      <c r="I223" s="8">
        <v>1939.0</v>
      </c>
      <c r="J223" s="9" t="s">
        <v>346</v>
      </c>
      <c r="K223" s="9" t="s">
        <v>43</v>
      </c>
      <c r="L223" s="9" t="s">
        <v>43</v>
      </c>
      <c r="M223" s="9"/>
      <c r="N223" s="9" t="s">
        <v>45</v>
      </c>
      <c r="O223" s="9" t="s">
        <v>626</v>
      </c>
      <c r="P223" s="9" t="s">
        <v>627</v>
      </c>
      <c r="Q223" s="8">
        <v>0.0</v>
      </c>
      <c r="R223" s="8">
        <v>0.0</v>
      </c>
      <c r="S223" s="8">
        <v>0.0</v>
      </c>
      <c r="T223" s="8">
        <v>0.0</v>
      </c>
      <c r="U223" s="8">
        <v>0.0</v>
      </c>
      <c r="V223" s="8">
        <v>0.0</v>
      </c>
      <c r="W223" s="8">
        <v>0.0</v>
      </c>
      <c r="X223" s="8">
        <v>0.0</v>
      </c>
      <c r="Y223" s="8">
        <v>1.0</v>
      </c>
      <c r="Z223" s="8">
        <v>0.0</v>
      </c>
      <c r="AA223" s="8">
        <v>0.0</v>
      </c>
      <c r="AB223" s="8">
        <v>0.0</v>
      </c>
      <c r="AC223" s="8">
        <v>0.0</v>
      </c>
      <c r="AD223" s="9" t="s">
        <v>92</v>
      </c>
      <c r="AE223" s="9" t="s">
        <v>39</v>
      </c>
      <c r="AF223" s="9" t="s">
        <v>40</v>
      </c>
    </row>
    <row r="224">
      <c r="A224" s="7" t="s">
        <v>342</v>
      </c>
      <c r="B224" s="8">
        <v>6595.0</v>
      </c>
      <c r="C224" s="8">
        <v>3278633.0</v>
      </c>
      <c r="D224" s="8">
        <v>3289463.0</v>
      </c>
      <c r="E224" s="9" t="s">
        <v>625</v>
      </c>
      <c r="F224" s="9"/>
      <c r="G224" s="9" t="s">
        <v>509</v>
      </c>
      <c r="H224" s="9" t="s">
        <v>345</v>
      </c>
      <c r="I224" s="8">
        <v>1939.0</v>
      </c>
      <c r="J224" s="9" t="s">
        <v>346</v>
      </c>
      <c r="K224" s="9" t="s">
        <v>43</v>
      </c>
      <c r="L224" s="9" t="s">
        <v>43</v>
      </c>
      <c r="M224" s="9" t="s">
        <v>628</v>
      </c>
      <c r="N224" s="9" t="s">
        <v>35</v>
      </c>
      <c r="O224" s="9" t="s">
        <v>629</v>
      </c>
      <c r="P224" s="9" t="s">
        <v>630</v>
      </c>
      <c r="Q224" s="8">
        <v>0.0</v>
      </c>
      <c r="R224" s="8">
        <v>0.0</v>
      </c>
      <c r="S224" s="8">
        <v>0.0</v>
      </c>
      <c r="T224" s="8">
        <v>0.0</v>
      </c>
      <c r="U224" s="8">
        <v>0.0</v>
      </c>
      <c r="V224" s="8">
        <v>0.0</v>
      </c>
      <c r="W224" s="8">
        <v>0.0</v>
      </c>
      <c r="X224" s="8">
        <v>0.0</v>
      </c>
      <c r="Y224" s="8">
        <v>1.0</v>
      </c>
      <c r="Z224" s="8">
        <v>0.0</v>
      </c>
      <c r="AA224" s="8">
        <v>0.0</v>
      </c>
      <c r="AB224" s="8">
        <v>0.0</v>
      </c>
      <c r="AC224" s="8">
        <v>0.0</v>
      </c>
      <c r="AD224" s="9" t="s">
        <v>92</v>
      </c>
      <c r="AE224" s="9" t="s">
        <v>39</v>
      </c>
      <c r="AF224" s="9" t="s">
        <v>40</v>
      </c>
    </row>
    <row r="225">
      <c r="A225" s="7" t="s">
        <v>342</v>
      </c>
      <c r="B225" s="8">
        <v>6613.0</v>
      </c>
      <c r="C225" s="8">
        <v>3360045.0</v>
      </c>
      <c r="D225" s="8">
        <v>3366901.0</v>
      </c>
      <c r="E225" s="9" t="s">
        <v>625</v>
      </c>
      <c r="F225" s="9"/>
      <c r="G225" s="9" t="s">
        <v>509</v>
      </c>
      <c r="H225" s="9" t="s">
        <v>345</v>
      </c>
      <c r="I225" s="8">
        <v>1939.0</v>
      </c>
      <c r="J225" s="9" t="s">
        <v>346</v>
      </c>
      <c r="K225" s="9" t="s">
        <v>43</v>
      </c>
      <c r="L225" s="9" t="s">
        <v>43</v>
      </c>
      <c r="M225" s="9"/>
      <c r="N225" s="9" t="s">
        <v>45</v>
      </c>
      <c r="O225" s="9" t="s">
        <v>631</v>
      </c>
      <c r="P225" s="9" t="s">
        <v>632</v>
      </c>
      <c r="Q225" s="8">
        <v>0.0</v>
      </c>
      <c r="R225" s="8">
        <v>0.0</v>
      </c>
      <c r="S225" s="8">
        <v>0.0</v>
      </c>
      <c r="T225" s="8">
        <v>0.0</v>
      </c>
      <c r="U225" s="8">
        <v>0.0</v>
      </c>
      <c r="V225" s="8">
        <v>0.0</v>
      </c>
      <c r="W225" s="8">
        <v>0.0</v>
      </c>
      <c r="X225" s="8">
        <v>1.0</v>
      </c>
      <c r="Y225" s="8">
        <v>0.0</v>
      </c>
      <c r="Z225" s="8">
        <v>0.0</v>
      </c>
      <c r="AA225" s="8">
        <v>0.0</v>
      </c>
      <c r="AB225" s="8">
        <v>0.0</v>
      </c>
      <c r="AC225" s="8">
        <v>0.0</v>
      </c>
      <c r="AD225" s="9" t="s">
        <v>92</v>
      </c>
      <c r="AE225" s="9" t="s">
        <v>39</v>
      </c>
      <c r="AF225" s="9" t="s">
        <v>40</v>
      </c>
    </row>
    <row r="226">
      <c r="A226" s="7" t="s">
        <v>342</v>
      </c>
      <c r="B226" s="8">
        <v>6647.0</v>
      </c>
      <c r="C226" s="8">
        <v>277926.0</v>
      </c>
      <c r="D226" s="8">
        <v>280455.0</v>
      </c>
      <c r="E226" s="9" t="s">
        <v>633</v>
      </c>
      <c r="F226" s="9"/>
      <c r="G226" s="9" t="s">
        <v>426</v>
      </c>
      <c r="H226" s="9" t="s">
        <v>345</v>
      </c>
      <c r="I226" s="8">
        <v>1953.0</v>
      </c>
      <c r="J226" s="9" t="s">
        <v>346</v>
      </c>
      <c r="K226" s="9" t="s">
        <v>43</v>
      </c>
      <c r="L226" s="9" t="s">
        <v>43</v>
      </c>
      <c r="M226" s="9"/>
      <c r="N226" s="9" t="s">
        <v>45</v>
      </c>
      <c r="O226" s="9" t="s">
        <v>634</v>
      </c>
      <c r="P226" s="9" t="s">
        <v>68</v>
      </c>
      <c r="Q226" s="8">
        <v>1.0</v>
      </c>
      <c r="R226" s="8">
        <v>0.0</v>
      </c>
      <c r="S226" s="8">
        <v>0.0</v>
      </c>
      <c r="T226" s="8">
        <v>0.0</v>
      </c>
      <c r="U226" s="8">
        <v>0.0</v>
      </c>
      <c r="V226" s="8">
        <v>0.0</v>
      </c>
      <c r="W226" s="8">
        <v>0.0</v>
      </c>
      <c r="X226" s="8">
        <v>0.0</v>
      </c>
      <c r="Y226" s="8">
        <v>0.0</v>
      </c>
      <c r="Z226" s="8">
        <v>0.0</v>
      </c>
      <c r="AA226" s="8">
        <v>0.0</v>
      </c>
      <c r="AB226" s="8">
        <v>0.0</v>
      </c>
      <c r="AC226" s="8">
        <v>0.0</v>
      </c>
      <c r="AD226" s="9" t="s">
        <v>38</v>
      </c>
      <c r="AE226" s="9" t="s">
        <v>39</v>
      </c>
      <c r="AF226" s="9" t="s">
        <v>40</v>
      </c>
    </row>
    <row r="227">
      <c r="A227" s="7" t="s">
        <v>342</v>
      </c>
      <c r="B227" s="8">
        <v>6651.0</v>
      </c>
      <c r="C227" s="8">
        <v>327790.0</v>
      </c>
      <c r="D227" s="8">
        <v>332530.0</v>
      </c>
      <c r="E227" s="9" t="s">
        <v>633</v>
      </c>
      <c r="F227" s="9"/>
      <c r="G227" s="9" t="s">
        <v>426</v>
      </c>
      <c r="H227" s="9" t="s">
        <v>345</v>
      </c>
      <c r="I227" s="8">
        <v>1953.0</v>
      </c>
      <c r="J227" s="9" t="s">
        <v>346</v>
      </c>
      <c r="K227" s="9" t="s">
        <v>43</v>
      </c>
      <c r="L227" s="9" t="s">
        <v>43</v>
      </c>
      <c r="M227" s="9" t="s">
        <v>635</v>
      </c>
      <c r="N227" s="9" t="s">
        <v>35</v>
      </c>
      <c r="O227" s="9" t="s">
        <v>636</v>
      </c>
      <c r="P227" s="9" t="s">
        <v>637</v>
      </c>
      <c r="Q227" s="8">
        <v>0.0</v>
      </c>
      <c r="R227" s="8">
        <v>1.0</v>
      </c>
      <c r="S227" s="8">
        <v>0.0</v>
      </c>
      <c r="T227" s="8">
        <v>0.0</v>
      </c>
      <c r="U227" s="8">
        <v>0.0</v>
      </c>
      <c r="V227" s="8">
        <v>0.0</v>
      </c>
      <c r="W227" s="8">
        <v>0.0</v>
      </c>
      <c r="X227" s="8">
        <v>0.0</v>
      </c>
      <c r="Y227" s="8">
        <v>0.0</v>
      </c>
      <c r="Z227" s="8">
        <v>0.0</v>
      </c>
      <c r="AA227" s="8">
        <v>0.0</v>
      </c>
      <c r="AB227" s="8">
        <v>0.0</v>
      </c>
      <c r="AC227" s="8">
        <v>0.0</v>
      </c>
      <c r="AD227" s="10" t="s">
        <v>44</v>
      </c>
      <c r="AE227" s="9" t="s">
        <v>40</v>
      </c>
      <c r="AF227" s="9" t="s">
        <v>40</v>
      </c>
    </row>
    <row r="228">
      <c r="A228" s="7" t="s">
        <v>342</v>
      </c>
      <c r="B228" s="8">
        <v>6651.0</v>
      </c>
      <c r="C228" s="8">
        <v>327790.0</v>
      </c>
      <c r="D228" s="8">
        <v>332530.0</v>
      </c>
      <c r="E228" s="9" t="s">
        <v>633</v>
      </c>
      <c r="F228" s="9"/>
      <c r="G228" s="9" t="s">
        <v>426</v>
      </c>
      <c r="H228" s="9" t="s">
        <v>345</v>
      </c>
      <c r="I228" s="8">
        <v>1953.0</v>
      </c>
      <c r="J228" s="9" t="s">
        <v>346</v>
      </c>
      <c r="K228" s="9" t="s">
        <v>43</v>
      </c>
      <c r="L228" s="9" t="s">
        <v>43</v>
      </c>
      <c r="M228" s="9" t="s">
        <v>638</v>
      </c>
      <c r="N228" s="9" t="s">
        <v>35</v>
      </c>
      <c r="O228" s="9" t="s">
        <v>639</v>
      </c>
      <c r="P228" s="9" t="s">
        <v>37</v>
      </c>
      <c r="Q228" s="8">
        <v>0.0</v>
      </c>
      <c r="R228" s="8">
        <v>1.0</v>
      </c>
      <c r="S228" s="8">
        <v>0.0</v>
      </c>
      <c r="T228" s="8">
        <v>0.0</v>
      </c>
      <c r="U228" s="8">
        <v>0.0</v>
      </c>
      <c r="V228" s="8">
        <v>0.0</v>
      </c>
      <c r="W228" s="8">
        <v>0.0</v>
      </c>
      <c r="X228" s="8">
        <v>0.0</v>
      </c>
      <c r="Y228" s="8">
        <v>0.0</v>
      </c>
      <c r="Z228" s="8">
        <v>0.0</v>
      </c>
      <c r="AA228" s="8">
        <v>0.0</v>
      </c>
      <c r="AB228" s="8">
        <v>0.0</v>
      </c>
      <c r="AC228" s="8">
        <v>0.0</v>
      </c>
      <c r="AD228" s="10" t="s">
        <v>44</v>
      </c>
      <c r="AE228" s="9" t="s">
        <v>40</v>
      </c>
      <c r="AF228" s="9" t="s">
        <v>40</v>
      </c>
    </row>
    <row r="229">
      <c r="A229" s="7" t="s">
        <v>342</v>
      </c>
      <c r="B229" s="8">
        <v>6658.0</v>
      </c>
      <c r="C229" s="8">
        <v>403676.0</v>
      </c>
      <c r="D229" s="8">
        <v>409310.0</v>
      </c>
      <c r="E229" s="9" t="s">
        <v>633</v>
      </c>
      <c r="F229" s="9"/>
      <c r="G229" s="9" t="s">
        <v>426</v>
      </c>
      <c r="H229" s="9" t="s">
        <v>345</v>
      </c>
      <c r="I229" s="8">
        <v>1953.0</v>
      </c>
      <c r="J229" s="9" t="s">
        <v>346</v>
      </c>
      <c r="K229" s="9" t="s">
        <v>43</v>
      </c>
      <c r="L229" s="9" t="s">
        <v>43</v>
      </c>
      <c r="M229" s="9" t="s">
        <v>640</v>
      </c>
      <c r="N229" s="9" t="s">
        <v>35</v>
      </c>
      <c r="O229" s="9" t="s">
        <v>641</v>
      </c>
      <c r="P229" s="9" t="s">
        <v>642</v>
      </c>
      <c r="Q229" s="8">
        <v>0.0</v>
      </c>
      <c r="R229" s="8">
        <v>0.0</v>
      </c>
      <c r="S229" s="8">
        <v>0.0</v>
      </c>
      <c r="T229" s="8">
        <v>1.0</v>
      </c>
      <c r="U229" s="8">
        <v>0.0</v>
      </c>
      <c r="V229" s="8">
        <v>0.0</v>
      </c>
      <c r="W229" s="8">
        <v>0.0</v>
      </c>
      <c r="X229" s="8">
        <v>0.0</v>
      </c>
      <c r="Y229" s="8">
        <v>0.0</v>
      </c>
      <c r="Z229" s="8">
        <v>0.0</v>
      </c>
      <c r="AA229" s="8">
        <v>0.0</v>
      </c>
      <c r="AB229" s="8">
        <v>0.0</v>
      </c>
      <c r="AC229" s="8">
        <v>0.0</v>
      </c>
      <c r="AD229" s="9" t="s">
        <v>38</v>
      </c>
      <c r="AE229" s="9" t="s">
        <v>39</v>
      </c>
      <c r="AF229" s="9" t="s">
        <v>40</v>
      </c>
    </row>
    <row r="230">
      <c r="A230" s="7" t="s">
        <v>342</v>
      </c>
      <c r="B230" s="8">
        <v>6674.0</v>
      </c>
      <c r="C230" s="8">
        <v>599280.0</v>
      </c>
      <c r="D230" s="8">
        <v>620058.0</v>
      </c>
      <c r="E230" s="9" t="s">
        <v>633</v>
      </c>
      <c r="F230" s="9"/>
      <c r="G230" s="9" t="s">
        <v>426</v>
      </c>
      <c r="H230" s="9" t="s">
        <v>345</v>
      </c>
      <c r="I230" s="8">
        <v>1953.0</v>
      </c>
      <c r="J230" s="9" t="s">
        <v>346</v>
      </c>
      <c r="K230" s="9" t="s">
        <v>43</v>
      </c>
      <c r="L230" s="9" t="s">
        <v>43</v>
      </c>
      <c r="M230" s="9" t="s">
        <v>643</v>
      </c>
      <c r="N230" s="9" t="s">
        <v>35</v>
      </c>
      <c r="O230" s="9" t="s">
        <v>644</v>
      </c>
      <c r="P230" s="9" t="s">
        <v>645</v>
      </c>
      <c r="Q230" s="8">
        <v>0.0</v>
      </c>
      <c r="R230" s="8">
        <v>0.0</v>
      </c>
      <c r="S230" s="8">
        <v>0.0</v>
      </c>
      <c r="T230" s="8">
        <v>0.0</v>
      </c>
      <c r="U230" s="8">
        <v>0.0</v>
      </c>
      <c r="V230" s="8">
        <v>0.0</v>
      </c>
      <c r="W230" s="8">
        <v>0.0</v>
      </c>
      <c r="X230" s="8">
        <v>0.0</v>
      </c>
      <c r="Y230" s="8">
        <v>1.0</v>
      </c>
      <c r="Z230" s="8">
        <v>0.0</v>
      </c>
      <c r="AA230" s="8">
        <v>0.0</v>
      </c>
      <c r="AB230" s="8">
        <v>0.0</v>
      </c>
      <c r="AC230" s="8">
        <v>0.0</v>
      </c>
      <c r="AD230" s="9" t="s">
        <v>44</v>
      </c>
      <c r="AE230" s="9" t="s">
        <v>40</v>
      </c>
      <c r="AF230" s="9" t="s">
        <v>40</v>
      </c>
    </row>
    <row r="231">
      <c r="A231" s="7" t="s">
        <v>342</v>
      </c>
      <c r="B231" s="8">
        <v>6680.0</v>
      </c>
      <c r="C231" s="8">
        <v>698107.0</v>
      </c>
      <c r="D231" s="8">
        <v>723808.0</v>
      </c>
      <c r="E231" s="9" t="s">
        <v>633</v>
      </c>
      <c r="F231" s="9"/>
      <c r="G231" s="9" t="s">
        <v>426</v>
      </c>
      <c r="H231" s="9" t="s">
        <v>345</v>
      </c>
      <c r="I231" s="8">
        <v>1953.0</v>
      </c>
      <c r="J231" s="9" t="s">
        <v>346</v>
      </c>
      <c r="K231" s="9" t="s">
        <v>43</v>
      </c>
      <c r="L231" s="9" t="s">
        <v>43</v>
      </c>
      <c r="M231" s="9" t="s">
        <v>646</v>
      </c>
      <c r="N231" s="9" t="s">
        <v>35</v>
      </c>
      <c r="O231" s="9" t="s">
        <v>647</v>
      </c>
      <c r="P231" s="9" t="s">
        <v>648</v>
      </c>
      <c r="Q231" s="8">
        <v>1.0</v>
      </c>
      <c r="R231" s="8">
        <v>0.0</v>
      </c>
      <c r="S231" s="8">
        <v>0.0</v>
      </c>
      <c r="T231" s="8">
        <v>0.0</v>
      </c>
      <c r="U231" s="8">
        <v>0.0</v>
      </c>
      <c r="V231" s="8">
        <v>0.0</v>
      </c>
      <c r="W231" s="8">
        <v>0.0</v>
      </c>
      <c r="X231" s="8">
        <v>0.0</v>
      </c>
      <c r="Y231" s="8">
        <v>0.0</v>
      </c>
      <c r="Z231" s="8">
        <v>0.0</v>
      </c>
      <c r="AA231" s="8">
        <v>0.0</v>
      </c>
      <c r="AB231" s="8">
        <v>0.0</v>
      </c>
      <c r="AC231" s="8">
        <v>0.0</v>
      </c>
      <c r="AD231" s="9" t="s">
        <v>38</v>
      </c>
      <c r="AE231" s="9" t="s">
        <v>39</v>
      </c>
      <c r="AF231" s="9" t="s">
        <v>40</v>
      </c>
    </row>
    <row r="232">
      <c r="A232" s="7" t="s">
        <v>342</v>
      </c>
      <c r="B232" s="8">
        <v>6686.0</v>
      </c>
      <c r="C232" s="8">
        <v>767789.0</v>
      </c>
      <c r="D232" s="8">
        <v>778596.0</v>
      </c>
      <c r="E232" s="9" t="s">
        <v>633</v>
      </c>
      <c r="F232" s="9"/>
      <c r="G232" s="9" t="s">
        <v>426</v>
      </c>
      <c r="H232" s="9" t="s">
        <v>345</v>
      </c>
      <c r="I232" s="8">
        <v>1953.0</v>
      </c>
      <c r="J232" s="9" t="s">
        <v>346</v>
      </c>
      <c r="K232" s="9" t="s">
        <v>43</v>
      </c>
      <c r="L232" s="9" t="s">
        <v>43</v>
      </c>
      <c r="M232" s="9" t="s">
        <v>649</v>
      </c>
      <c r="N232" s="9" t="s">
        <v>35</v>
      </c>
      <c r="O232" s="9" t="s">
        <v>650</v>
      </c>
      <c r="P232" s="9" t="s">
        <v>121</v>
      </c>
      <c r="Q232" s="8">
        <v>0.0</v>
      </c>
      <c r="R232" s="8">
        <v>0.0</v>
      </c>
      <c r="S232" s="8">
        <v>0.0</v>
      </c>
      <c r="T232" s="8">
        <v>0.0</v>
      </c>
      <c r="U232" s="8">
        <v>0.0</v>
      </c>
      <c r="V232" s="8">
        <v>0.0</v>
      </c>
      <c r="W232" s="8">
        <v>0.0</v>
      </c>
      <c r="X232" s="8">
        <v>0.0</v>
      </c>
      <c r="Y232" s="8">
        <v>0.0</v>
      </c>
      <c r="Z232" s="8">
        <v>1.0</v>
      </c>
      <c r="AA232" s="8">
        <v>0.0</v>
      </c>
      <c r="AB232" s="8">
        <v>0.0</v>
      </c>
      <c r="AC232" s="8">
        <v>0.0</v>
      </c>
      <c r="AD232" s="9" t="s">
        <v>38</v>
      </c>
      <c r="AE232" s="9" t="s">
        <v>39</v>
      </c>
      <c r="AF232" s="9" t="s">
        <v>40</v>
      </c>
    </row>
    <row r="233">
      <c r="A233" s="7" t="s">
        <v>342</v>
      </c>
      <c r="B233" s="8">
        <v>6740.0</v>
      </c>
      <c r="C233" s="8">
        <v>1321666.0</v>
      </c>
      <c r="D233" s="8">
        <v>1334966.0</v>
      </c>
      <c r="E233" s="9" t="s">
        <v>633</v>
      </c>
      <c r="F233" s="9"/>
      <c r="G233" s="9" t="s">
        <v>426</v>
      </c>
      <c r="H233" s="9" t="s">
        <v>345</v>
      </c>
      <c r="I233" s="8">
        <v>1953.0</v>
      </c>
      <c r="J233" s="9" t="s">
        <v>346</v>
      </c>
      <c r="K233" s="9" t="s">
        <v>43</v>
      </c>
      <c r="L233" s="9" t="s">
        <v>43</v>
      </c>
      <c r="M233" s="9" t="s">
        <v>651</v>
      </c>
      <c r="N233" s="9" t="s">
        <v>35</v>
      </c>
      <c r="O233" s="9" t="s">
        <v>652</v>
      </c>
      <c r="P233" s="9" t="s">
        <v>653</v>
      </c>
      <c r="Q233" s="8">
        <v>0.0</v>
      </c>
      <c r="R233" s="8">
        <v>0.0</v>
      </c>
      <c r="S233" s="8">
        <v>0.0</v>
      </c>
      <c r="T233" s="8">
        <v>0.0</v>
      </c>
      <c r="U233" s="8">
        <v>0.0</v>
      </c>
      <c r="V233" s="8">
        <v>0.0</v>
      </c>
      <c r="W233" s="8">
        <v>0.0</v>
      </c>
      <c r="X233" s="8">
        <v>0.0</v>
      </c>
      <c r="Y233" s="8">
        <v>1.0</v>
      </c>
      <c r="Z233" s="8">
        <v>0.0</v>
      </c>
      <c r="AA233" s="8">
        <v>0.0</v>
      </c>
      <c r="AB233" s="8">
        <v>0.0</v>
      </c>
      <c r="AC233" s="8">
        <v>0.0</v>
      </c>
      <c r="AD233" s="9" t="s">
        <v>44</v>
      </c>
      <c r="AE233" s="9" t="s">
        <v>40</v>
      </c>
      <c r="AF233" s="9" t="s">
        <v>40</v>
      </c>
    </row>
    <row r="234">
      <c r="A234" s="7" t="s">
        <v>342</v>
      </c>
      <c r="B234" s="8">
        <v>6785.0</v>
      </c>
      <c r="C234" s="8">
        <v>1815465.0</v>
      </c>
      <c r="D234" s="8">
        <v>1817317.0</v>
      </c>
      <c r="E234" s="9" t="s">
        <v>633</v>
      </c>
      <c r="F234" s="9"/>
      <c r="G234" s="9" t="s">
        <v>426</v>
      </c>
      <c r="H234" s="9" t="s">
        <v>345</v>
      </c>
      <c r="I234" s="8">
        <v>1953.0</v>
      </c>
      <c r="J234" s="9" t="s">
        <v>346</v>
      </c>
      <c r="K234" s="9" t="s">
        <v>43</v>
      </c>
      <c r="L234" s="9" t="s">
        <v>43</v>
      </c>
      <c r="M234" s="9" t="s">
        <v>654</v>
      </c>
      <c r="N234" s="9" t="s">
        <v>35</v>
      </c>
      <c r="O234" s="9" t="s">
        <v>655</v>
      </c>
      <c r="P234" s="9" t="s">
        <v>656</v>
      </c>
      <c r="Q234" s="8">
        <v>0.0</v>
      </c>
      <c r="R234" s="8">
        <v>0.0</v>
      </c>
      <c r="S234" s="8">
        <v>0.0</v>
      </c>
      <c r="T234" s="8">
        <v>0.0</v>
      </c>
      <c r="U234" s="8">
        <v>0.0</v>
      </c>
      <c r="V234" s="8">
        <v>0.0</v>
      </c>
      <c r="W234" s="8">
        <v>0.0</v>
      </c>
      <c r="X234" s="8">
        <v>0.0</v>
      </c>
      <c r="Y234" s="8">
        <v>1.0</v>
      </c>
      <c r="Z234" s="8">
        <v>0.0</v>
      </c>
      <c r="AA234" s="8">
        <v>0.0</v>
      </c>
      <c r="AB234" s="8">
        <v>0.0</v>
      </c>
      <c r="AC234" s="8">
        <v>0.0</v>
      </c>
      <c r="AD234" s="9" t="s">
        <v>44</v>
      </c>
      <c r="AE234" s="9" t="s">
        <v>40</v>
      </c>
      <c r="AF234" s="9" t="s">
        <v>40</v>
      </c>
    </row>
    <row r="235">
      <c r="A235" s="7" t="s">
        <v>342</v>
      </c>
      <c r="B235" s="8">
        <v>6812.0</v>
      </c>
      <c r="C235" s="8">
        <v>1981328.0</v>
      </c>
      <c r="D235" s="8">
        <v>1991304.0</v>
      </c>
      <c r="E235" s="9" t="s">
        <v>633</v>
      </c>
      <c r="F235" s="9"/>
      <c r="G235" s="9" t="s">
        <v>426</v>
      </c>
      <c r="H235" s="9" t="s">
        <v>345</v>
      </c>
      <c r="I235" s="8">
        <v>1953.0</v>
      </c>
      <c r="J235" s="9" t="s">
        <v>346</v>
      </c>
      <c r="K235" s="9" t="s">
        <v>43</v>
      </c>
      <c r="L235" s="9" t="s">
        <v>43</v>
      </c>
      <c r="M235" s="9" t="s">
        <v>657</v>
      </c>
      <c r="N235" s="9" t="s">
        <v>35</v>
      </c>
      <c r="O235" s="9" t="s">
        <v>658</v>
      </c>
      <c r="P235" s="9" t="s">
        <v>659</v>
      </c>
      <c r="Q235" s="8">
        <v>1.0</v>
      </c>
      <c r="R235" s="8">
        <v>0.0</v>
      </c>
      <c r="S235" s="8">
        <v>0.0</v>
      </c>
      <c r="T235" s="8">
        <v>0.0</v>
      </c>
      <c r="U235" s="8">
        <v>0.0</v>
      </c>
      <c r="V235" s="8">
        <v>0.0</v>
      </c>
      <c r="W235" s="8">
        <v>0.0</v>
      </c>
      <c r="X235" s="8">
        <v>0.0</v>
      </c>
      <c r="Y235" s="8">
        <v>0.0</v>
      </c>
      <c r="Z235" s="8">
        <v>0.0</v>
      </c>
      <c r="AA235" s="8">
        <v>0.0</v>
      </c>
      <c r="AB235" s="8">
        <v>0.0</v>
      </c>
      <c r="AC235" s="8">
        <v>0.0</v>
      </c>
      <c r="AD235" s="9" t="s">
        <v>38</v>
      </c>
      <c r="AE235" s="9" t="s">
        <v>39</v>
      </c>
      <c r="AF235" s="9" t="s">
        <v>40</v>
      </c>
    </row>
    <row r="236">
      <c r="A236" s="7" t="s">
        <v>342</v>
      </c>
      <c r="B236" s="8">
        <v>6816.0</v>
      </c>
      <c r="C236" s="8">
        <v>2014804.0</v>
      </c>
      <c r="D236" s="8">
        <v>2017561.0</v>
      </c>
      <c r="E236" s="9" t="s">
        <v>633</v>
      </c>
      <c r="F236" s="9"/>
      <c r="G236" s="9" t="s">
        <v>426</v>
      </c>
      <c r="H236" s="9" t="s">
        <v>345</v>
      </c>
      <c r="I236" s="8">
        <v>1953.0</v>
      </c>
      <c r="J236" s="9" t="s">
        <v>346</v>
      </c>
      <c r="K236" s="9" t="s">
        <v>43</v>
      </c>
      <c r="L236" s="9" t="s">
        <v>43</v>
      </c>
      <c r="M236" s="9" t="s">
        <v>660</v>
      </c>
      <c r="N236" s="9" t="s">
        <v>35</v>
      </c>
      <c r="O236" s="9" t="s">
        <v>661</v>
      </c>
      <c r="P236" s="9" t="s">
        <v>662</v>
      </c>
      <c r="Q236" s="8">
        <v>0.0</v>
      </c>
      <c r="R236" s="8">
        <v>0.0</v>
      </c>
      <c r="S236" s="8">
        <v>0.0</v>
      </c>
      <c r="T236" s="8">
        <v>0.0</v>
      </c>
      <c r="U236" s="8">
        <v>0.0</v>
      </c>
      <c r="V236" s="8">
        <v>0.0</v>
      </c>
      <c r="W236" s="8">
        <v>0.0</v>
      </c>
      <c r="X236" s="8">
        <v>0.0</v>
      </c>
      <c r="Y236" s="8">
        <v>0.0</v>
      </c>
      <c r="Z236" s="8">
        <v>0.0</v>
      </c>
      <c r="AA236" s="8">
        <v>1.0</v>
      </c>
      <c r="AB236" s="8">
        <v>0.0</v>
      </c>
      <c r="AC236" s="8">
        <v>0.0</v>
      </c>
      <c r="AD236" s="9" t="s">
        <v>38</v>
      </c>
      <c r="AE236" s="9" t="s">
        <v>39</v>
      </c>
      <c r="AF236" s="9" t="s">
        <v>40</v>
      </c>
    </row>
    <row r="237">
      <c r="A237" s="7" t="s">
        <v>342</v>
      </c>
      <c r="B237" s="8">
        <v>6817.0</v>
      </c>
      <c r="C237" s="8">
        <v>2020072.0</v>
      </c>
      <c r="D237" s="8">
        <v>2027828.0</v>
      </c>
      <c r="E237" s="9" t="s">
        <v>633</v>
      </c>
      <c r="F237" s="9"/>
      <c r="G237" s="9" t="s">
        <v>426</v>
      </c>
      <c r="H237" s="9" t="s">
        <v>345</v>
      </c>
      <c r="I237" s="8">
        <v>1953.0</v>
      </c>
      <c r="J237" s="9" t="s">
        <v>346</v>
      </c>
      <c r="K237" s="9" t="s">
        <v>43</v>
      </c>
      <c r="L237" s="9" t="s">
        <v>43</v>
      </c>
      <c r="M237" s="9" t="s">
        <v>663</v>
      </c>
      <c r="N237" s="9" t="s">
        <v>35</v>
      </c>
      <c r="O237" s="9" t="s">
        <v>664</v>
      </c>
      <c r="P237" s="9" t="s">
        <v>418</v>
      </c>
      <c r="Q237" s="8">
        <v>0.0</v>
      </c>
      <c r="R237" s="8">
        <v>0.0</v>
      </c>
      <c r="S237" s="8">
        <v>0.0</v>
      </c>
      <c r="T237" s="8">
        <v>0.0</v>
      </c>
      <c r="U237" s="8">
        <v>1.0</v>
      </c>
      <c r="V237" s="8">
        <v>0.0</v>
      </c>
      <c r="W237" s="8">
        <v>0.0</v>
      </c>
      <c r="X237" s="8">
        <v>0.0</v>
      </c>
      <c r="Y237" s="8">
        <v>0.0</v>
      </c>
      <c r="Z237" s="8">
        <v>0.0</v>
      </c>
      <c r="AA237" s="8">
        <v>0.0</v>
      </c>
      <c r="AB237" s="8">
        <v>0.0</v>
      </c>
      <c r="AC237" s="8">
        <v>0.0</v>
      </c>
      <c r="AD237" s="9" t="s">
        <v>38</v>
      </c>
      <c r="AE237" s="9" t="s">
        <v>39</v>
      </c>
      <c r="AF237" s="9" t="s">
        <v>40</v>
      </c>
    </row>
    <row r="238">
      <c r="A238" s="7" t="s">
        <v>342</v>
      </c>
      <c r="B238" s="8">
        <v>6840.0</v>
      </c>
      <c r="C238" s="8">
        <v>2146505.0</v>
      </c>
      <c r="D238" s="8">
        <v>2155425.0</v>
      </c>
      <c r="E238" s="9" t="s">
        <v>633</v>
      </c>
      <c r="F238" s="9"/>
      <c r="G238" s="9" t="s">
        <v>426</v>
      </c>
      <c r="H238" s="9" t="s">
        <v>345</v>
      </c>
      <c r="I238" s="8">
        <v>1953.0</v>
      </c>
      <c r="J238" s="9" t="s">
        <v>346</v>
      </c>
      <c r="K238" s="9" t="s">
        <v>43</v>
      </c>
      <c r="L238" s="9" t="s">
        <v>43</v>
      </c>
      <c r="M238" s="9" t="s">
        <v>665</v>
      </c>
      <c r="N238" s="9" t="s">
        <v>35</v>
      </c>
      <c r="O238" s="9" t="s">
        <v>666</v>
      </c>
      <c r="P238" s="9" t="s">
        <v>391</v>
      </c>
      <c r="Q238" s="8">
        <v>1.0</v>
      </c>
      <c r="R238" s="8">
        <v>0.0</v>
      </c>
      <c r="S238" s="8">
        <v>0.0</v>
      </c>
      <c r="T238" s="8">
        <v>0.0</v>
      </c>
      <c r="U238" s="8">
        <v>0.0</v>
      </c>
      <c r="V238" s="8">
        <v>0.0</v>
      </c>
      <c r="W238" s="8">
        <v>0.0</v>
      </c>
      <c r="X238" s="8">
        <v>0.0</v>
      </c>
      <c r="Y238" s="8">
        <v>0.0</v>
      </c>
      <c r="Z238" s="8">
        <v>0.0</v>
      </c>
      <c r="AA238" s="8">
        <v>0.0</v>
      </c>
      <c r="AB238" s="8">
        <v>0.0</v>
      </c>
      <c r="AC238" s="8">
        <v>0.0</v>
      </c>
      <c r="AD238" s="10" t="s">
        <v>44</v>
      </c>
      <c r="AE238" s="9" t="s">
        <v>40</v>
      </c>
      <c r="AF238" s="9" t="s">
        <v>40</v>
      </c>
    </row>
    <row r="239">
      <c r="A239" s="7" t="s">
        <v>342</v>
      </c>
      <c r="B239" s="8">
        <v>6863.0</v>
      </c>
      <c r="C239" s="8">
        <v>2391067.0</v>
      </c>
      <c r="D239" s="8">
        <v>2401610.0</v>
      </c>
      <c r="E239" s="9" t="s">
        <v>633</v>
      </c>
      <c r="F239" s="9"/>
      <c r="G239" s="9" t="s">
        <v>426</v>
      </c>
      <c r="H239" s="9" t="s">
        <v>345</v>
      </c>
      <c r="I239" s="8">
        <v>1953.0</v>
      </c>
      <c r="J239" s="9" t="s">
        <v>346</v>
      </c>
      <c r="K239" s="9" t="s">
        <v>43</v>
      </c>
      <c r="L239" s="9" t="s">
        <v>43</v>
      </c>
      <c r="M239" s="9" t="s">
        <v>667</v>
      </c>
      <c r="N239" s="9" t="s">
        <v>35</v>
      </c>
      <c r="O239" s="9" t="s">
        <v>668</v>
      </c>
      <c r="P239" s="9" t="s">
        <v>391</v>
      </c>
      <c r="Q239" s="8">
        <v>1.0</v>
      </c>
      <c r="R239" s="8">
        <v>0.0</v>
      </c>
      <c r="S239" s="8">
        <v>0.0</v>
      </c>
      <c r="T239" s="8">
        <v>0.0</v>
      </c>
      <c r="U239" s="8">
        <v>0.0</v>
      </c>
      <c r="V239" s="8">
        <v>0.0</v>
      </c>
      <c r="W239" s="8">
        <v>0.0</v>
      </c>
      <c r="X239" s="8">
        <v>0.0</v>
      </c>
      <c r="Y239" s="8">
        <v>0.0</v>
      </c>
      <c r="Z239" s="8">
        <v>0.0</v>
      </c>
      <c r="AA239" s="8">
        <v>0.0</v>
      </c>
      <c r="AB239" s="8">
        <v>0.0</v>
      </c>
      <c r="AC239" s="8">
        <v>0.0</v>
      </c>
      <c r="AD239" s="9" t="s">
        <v>38</v>
      </c>
      <c r="AE239" s="9" t="s">
        <v>39</v>
      </c>
      <c r="AF239" s="9" t="s">
        <v>40</v>
      </c>
    </row>
    <row r="240">
      <c r="A240" s="7" t="s">
        <v>342</v>
      </c>
      <c r="B240" s="8">
        <v>6872.0</v>
      </c>
      <c r="C240" s="8">
        <v>2442212.0</v>
      </c>
      <c r="D240" s="8">
        <v>2445644.0</v>
      </c>
      <c r="E240" s="9" t="s">
        <v>633</v>
      </c>
      <c r="F240" s="9"/>
      <c r="G240" s="9" t="s">
        <v>426</v>
      </c>
      <c r="H240" s="9" t="s">
        <v>345</v>
      </c>
      <c r="I240" s="8">
        <v>1953.0</v>
      </c>
      <c r="J240" s="9" t="s">
        <v>346</v>
      </c>
      <c r="K240" s="9" t="s">
        <v>43</v>
      </c>
      <c r="L240" s="9" t="s">
        <v>43</v>
      </c>
      <c r="M240" s="9" t="s">
        <v>669</v>
      </c>
      <c r="N240" s="9" t="s">
        <v>45</v>
      </c>
      <c r="O240" s="9" t="s">
        <v>670</v>
      </c>
      <c r="P240" s="9" t="s">
        <v>68</v>
      </c>
      <c r="Q240" s="8">
        <v>1.0</v>
      </c>
      <c r="R240" s="8">
        <v>0.0</v>
      </c>
      <c r="S240" s="8">
        <v>0.0</v>
      </c>
      <c r="T240" s="8">
        <v>0.0</v>
      </c>
      <c r="U240" s="8">
        <v>0.0</v>
      </c>
      <c r="V240" s="8">
        <v>0.0</v>
      </c>
      <c r="W240" s="8">
        <v>0.0</v>
      </c>
      <c r="X240" s="8">
        <v>0.0</v>
      </c>
      <c r="Y240" s="8">
        <v>0.0</v>
      </c>
      <c r="Z240" s="8">
        <v>0.0</v>
      </c>
      <c r="AA240" s="8">
        <v>0.0</v>
      </c>
      <c r="AB240" s="8">
        <v>0.0</v>
      </c>
      <c r="AC240" s="8">
        <v>0.0</v>
      </c>
      <c r="AD240" s="9" t="s">
        <v>38</v>
      </c>
      <c r="AE240" s="9" t="s">
        <v>39</v>
      </c>
      <c r="AF240" s="9" t="s">
        <v>166</v>
      </c>
    </row>
    <row r="241">
      <c r="A241" s="7" t="s">
        <v>342</v>
      </c>
      <c r="B241" s="8">
        <v>6924.0</v>
      </c>
      <c r="C241" s="8">
        <v>2739360.0</v>
      </c>
      <c r="D241" s="8">
        <v>2748650.0</v>
      </c>
      <c r="E241" s="9" t="s">
        <v>633</v>
      </c>
      <c r="F241" s="9"/>
      <c r="G241" s="9" t="s">
        <v>426</v>
      </c>
      <c r="H241" s="9" t="s">
        <v>345</v>
      </c>
      <c r="I241" s="8">
        <v>1953.0</v>
      </c>
      <c r="J241" s="9" t="s">
        <v>346</v>
      </c>
      <c r="K241" s="9" t="s">
        <v>43</v>
      </c>
      <c r="L241" s="9" t="s">
        <v>43</v>
      </c>
      <c r="M241" s="9" t="s">
        <v>671</v>
      </c>
      <c r="N241" s="9" t="s">
        <v>35</v>
      </c>
      <c r="O241" s="9" t="s">
        <v>672</v>
      </c>
      <c r="P241" s="9" t="s">
        <v>648</v>
      </c>
      <c r="Q241" s="8">
        <v>1.0</v>
      </c>
      <c r="R241" s="8">
        <v>0.0</v>
      </c>
      <c r="S241" s="8">
        <v>0.0</v>
      </c>
      <c r="T241" s="8">
        <v>0.0</v>
      </c>
      <c r="U241" s="8">
        <v>0.0</v>
      </c>
      <c r="V241" s="8">
        <v>0.0</v>
      </c>
      <c r="W241" s="8">
        <v>0.0</v>
      </c>
      <c r="X241" s="8">
        <v>0.0</v>
      </c>
      <c r="Y241" s="8">
        <v>0.0</v>
      </c>
      <c r="Z241" s="8">
        <v>0.0</v>
      </c>
      <c r="AA241" s="8">
        <v>0.0</v>
      </c>
      <c r="AB241" s="8">
        <v>0.0</v>
      </c>
      <c r="AC241" s="8">
        <v>0.0</v>
      </c>
      <c r="AD241" s="10" t="s">
        <v>44</v>
      </c>
      <c r="AE241" s="9" t="s">
        <v>40</v>
      </c>
      <c r="AF241" s="9" t="s">
        <v>40</v>
      </c>
    </row>
    <row r="242">
      <c r="A242" s="7" t="s">
        <v>342</v>
      </c>
      <c r="B242" s="8">
        <v>6938.0</v>
      </c>
      <c r="C242" s="8">
        <v>2828414.0</v>
      </c>
      <c r="D242" s="8">
        <v>2833390.0</v>
      </c>
      <c r="E242" s="9" t="s">
        <v>633</v>
      </c>
      <c r="F242" s="9"/>
      <c r="G242" s="9" t="s">
        <v>426</v>
      </c>
      <c r="H242" s="9" t="s">
        <v>345</v>
      </c>
      <c r="I242" s="8">
        <v>1953.0</v>
      </c>
      <c r="J242" s="9" t="s">
        <v>346</v>
      </c>
      <c r="K242" s="9" t="s">
        <v>43</v>
      </c>
      <c r="L242" s="9" t="s">
        <v>43</v>
      </c>
      <c r="M242" s="9" t="s">
        <v>673</v>
      </c>
      <c r="N242" s="9" t="s">
        <v>35</v>
      </c>
      <c r="O242" s="9" t="s">
        <v>674</v>
      </c>
      <c r="P242" s="9" t="s">
        <v>675</v>
      </c>
      <c r="Q242" s="8">
        <v>0.0</v>
      </c>
      <c r="R242" s="8">
        <v>0.0</v>
      </c>
      <c r="S242" s="8">
        <v>0.0</v>
      </c>
      <c r="T242" s="8">
        <v>1.0</v>
      </c>
      <c r="U242" s="8">
        <v>0.0</v>
      </c>
      <c r="V242" s="8">
        <v>0.0</v>
      </c>
      <c r="W242" s="8">
        <v>0.0</v>
      </c>
      <c r="X242" s="8">
        <v>0.0</v>
      </c>
      <c r="Y242" s="8">
        <v>0.0</v>
      </c>
      <c r="Z242" s="8">
        <v>0.0</v>
      </c>
      <c r="AA242" s="8">
        <v>0.0</v>
      </c>
      <c r="AB242" s="8">
        <v>0.0</v>
      </c>
      <c r="AC242" s="8">
        <v>0.0</v>
      </c>
      <c r="AD242" s="9" t="s">
        <v>38</v>
      </c>
      <c r="AE242" s="9" t="s">
        <v>39</v>
      </c>
      <c r="AF242" s="9" t="s">
        <v>40</v>
      </c>
    </row>
    <row r="243">
      <c r="A243" s="7" t="s">
        <v>342</v>
      </c>
      <c r="B243" s="8">
        <v>6965.0</v>
      </c>
      <c r="C243" s="8">
        <v>2992171.0</v>
      </c>
      <c r="D243" s="8">
        <v>3003895.0</v>
      </c>
      <c r="E243" s="9" t="s">
        <v>633</v>
      </c>
      <c r="F243" s="9"/>
      <c r="G243" s="9" t="s">
        <v>426</v>
      </c>
      <c r="H243" s="9" t="s">
        <v>345</v>
      </c>
      <c r="I243" s="8">
        <v>1953.0</v>
      </c>
      <c r="J243" s="9" t="s">
        <v>346</v>
      </c>
      <c r="K243" s="9" t="s">
        <v>43</v>
      </c>
      <c r="L243" s="9" t="s">
        <v>43</v>
      </c>
      <c r="M243" s="9" t="s">
        <v>676</v>
      </c>
      <c r="N243" s="9" t="s">
        <v>45</v>
      </c>
      <c r="O243" s="9" t="s">
        <v>677</v>
      </c>
      <c r="P243" s="9" t="s">
        <v>543</v>
      </c>
      <c r="Q243" s="8">
        <v>0.0</v>
      </c>
      <c r="R243" s="8">
        <v>0.0</v>
      </c>
      <c r="S243" s="8">
        <v>0.0</v>
      </c>
      <c r="T243" s="8">
        <v>0.0</v>
      </c>
      <c r="U243" s="8">
        <v>0.0</v>
      </c>
      <c r="V243" s="8">
        <v>1.0</v>
      </c>
      <c r="W243" s="8">
        <v>0.0</v>
      </c>
      <c r="X243" s="8">
        <v>0.0</v>
      </c>
      <c r="Y243" s="8">
        <v>0.0</v>
      </c>
      <c r="Z243" s="8">
        <v>0.0</v>
      </c>
      <c r="AA243" s="8">
        <v>0.0</v>
      </c>
      <c r="AB243" s="8">
        <v>0.0</v>
      </c>
      <c r="AC243" s="8">
        <v>0.0</v>
      </c>
      <c r="AD243" s="9" t="s">
        <v>38</v>
      </c>
      <c r="AE243" s="9" t="s">
        <v>39</v>
      </c>
      <c r="AF243" s="9" t="s">
        <v>40</v>
      </c>
    </row>
    <row r="244">
      <c r="A244" s="7" t="s">
        <v>342</v>
      </c>
      <c r="B244" s="8">
        <v>6999.0</v>
      </c>
      <c r="C244" s="8">
        <v>3186470.0</v>
      </c>
      <c r="D244" s="8">
        <v>3191900.0</v>
      </c>
      <c r="E244" s="9" t="s">
        <v>633</v>
      </c>
      <c r="F244" s="9"/>
      <c r="G244" s="9" t="s">
        <v>426</v>
      </c>
      <c r="H244" s="9" t="s">
        <v>345</v>
      </c>
      <c r="I244" s="8">
        <v>1953.0</v>
      </c>
      <c r="J244" s="9" t="s">
        <v>346</v>
      </c>
      <c r="K244" s="9" t="s">
        <v>43</v>
      </c>
      <c r="L244" s="9" t="s">
        <v>43</v>
      </c>
      <c r="M244" s="9" t="s">
        <v>678</v>
      </c>
      <c r="N244" s="9" t="s">
        <v>35</v>
      </c>
      <c r="O244" s="9" t="s">
        <v>679</v>
      </c>
      <c r="P244" s="9" t="s">
        <v>408</v>
      </c>
      <c r="Q244" s="8">
        <v>1.0</v>
      </c>
      <c r="R244" s="8">
        <v>0.0</v>
      </c>
      <c r="S244" s="8">
        <v>0.0</v>
      </c>
      <c r="T244" s="8">
        <v>0.0</v>
      </c>
      <c r="U244" s="8">
        <v>0.0</v>
      </c>
      <c r="V244" s="8">
        <v>0.0</v>
      </c>
      <c r="W244" s="8">
        <v>0.0</v>
      </c>
      <c r="X244" s="8">
        <v>0.0</v>
      </c>
      <c r="Y244" s="8">
        <v>0.0</v>
      </c>
      <c r="Z244" s="8">
        <v>0.0</v>
      </c>
      <c r="AA244" s="8">
        <v>0.0</v>
      </c>
      <c r="AB244" s="8">
        <v>0.0</v>
      </c>
      <c r="AC244" s="8">
        <v>0.0</v>
      </c>
      <c r="AD244" s="10" t="s">
        <v>44</v>
      </c>
      <c r="AE244" s="9" t="s">
        <v>40</v>
      </c>
      <c r="AF244" s="9" t="s">
        <v>40</v>
      </c>
    </row>
    <row r="245">
      <c r="A245" s="7" t="s">
        <v>342</v>
      </c>
      <c r="B245" s="8">
        <v>7080.0</v>
      </c>
      <c r="C245" s="8">
        <v>3654441.0</v>
      </c>
      <c r="D245" s="8">
        <v>3663775.0</v>
      </c>
      <c r="E245" s="9" t="s">
        <v>633</v>
      </c>
      <c r="F245" s="9"/>
      <c r="G245" s="9" t="s">
        <v>426</v>
      </c>
      <c r="H245" s="9" t="s">
        <v>345</v>
      </c>
      <c r="I245" s="8">
        <v>1953.0</v>
      </c>
      <c r="J245" s="9" t="s">
        <v>346</v>
      </c>
      <c r="K245" s="9" t="s">
        <v>43</v>
      </c>
      <c r="L245" s="9" t="s">
        <v>43</v>
      </c>
      <c r="M245" s="9" t="s">
        <v>680</v>
      </c>
      <c r="N245" s="9" t="s">
        <v>35</v>
      </c>
      <c r="O245" s="9" t="s">
        <v>681</v>
      </c>
      <c r="P245" s="9" t="s">
        <v>682</v>
      </c>
      <c r="Q245" s="8">
        <v>0.0</v>
      </c>
      <c r="R245" s="8">
        <v>0.0</v>
      </c>
      <c r="S245" s="8">
        <v>0.0</v>
      </c>
      <c r="T245" s="8">
        <v>0.0</v>
      </c>
      <c r="U245" s="8">
        <v>0.0</v>
      </c>
      <c r="V245" s="8">
        <v>0.0</v>
      </c>
      <c r="W245" s="8">
        <v>0.0</v>
      </c>
      <c r="X245" s="8">
        <v>1.0</v>
      </c>
      <c r="Y245" s="8">
        <v>0.0</v>
      </c>
      <c r="Z245" s="8">
        <v>0.0</v>
      </c>
      <c r="AA245" s="8">
        <v>0.0</v>
      </c>
      <c r="AB245" s="8">
        <v>0.0</v>
      </c>
      <c r="AC245" s="8">
        <v>0.0</v>
      </c>
      <c r="AD245" s="9" t="s">
        <v>38</v>
      </c>
      <c r="AE245" s="10" t="s">
        <v>39</v>
      </c>
      <c r="AF245" s="9" t="s">
        <v>40</v>
      </c>
    </row>
    <row r="246">
      <c r="A246" s="7" t="s">
        <v>342</v>
      </c>
      <c r="B246" s="8">
        <v>7149.0</v>
      </c>
      <c r="C246" s="8">
        <v>4002161.0</v>
      </c>
      <c r="D246" s="8">
        <v>4006690.0</v>
      </c>
      <c r="E246" s="9" t="s">
        <v>633</v>
      </c>
      <c r="F246" s="9"/>
      <c r="G246" s="9" t="s">
        <v>426</v>
      </c>
      <c r="H246" s="9" t="s">
        <v>345</v>
      </c>
      <c r="I246" s="8">
        <v>1953.0</v>
      </c>
      <c r="J246" s="9" t="s">
        <v>346</v>
      </c>
      <c r="K246" s="9" t="s">
        <v>43</v>
      </c>
      <c r="L246" s="9" t="s">
        <v>43</v>
      </c>
      <c r="M246" s="9" t="s">
        <v>683</v>
      </c>
      <c r="N246" s="9" t="s">
        <v>35</v>
      </c>
      <c r="O246" s="9" t="s">
        <v>684</v>
      </c>
      <c r="P246" s="9" t="s">
        <v>685</v>
      </c>
      <c r="Q246" s="8">
        <v>0.0</v>
      </c>
      <c r="R246" s="8">
        <v>0.0</v>
      </c>
      <c r="S246" s="8">
        <v>0.0</v>
      </c>
      <c r="T246" s="8">
        <v>0.0</v>
      </c>
      <c r="U246" s="8">
        <v>0.0</v>
      </c>
      <c r="V246" s="8">
        <v>0.0</v>
      </c>
      <c r="W246" s="8">
        <v>0.0</v>
      </c>
      <c r="X246" s="8">
        <v>0.0</v>
      </c>
      <c r="Y246" s="8">
        <v>1.0</v>
      </c>
      <c r="Z246" s="8">
        <v>0.0</v>
      </c>
      <c r="AA246" s="8">
        <v>0.0</v>
      </c>
      <c r="AB246" s="8">
        <v>0.0</v>
      </c>
      <c r="AC246" s="8">
        <v>0.0</v>
      </c>
      <c r="AD246" s="9" t="s">
        <v>92</v>
      </c>
      <c r="AE246" s="9" t="s">
        <v>39</v>
      </c>
      <c r="AF246" s="9" t="s">
        <v>40</v>
      </c>
    </row>
    <row r="247">
      <c r="A247" s="7" t="s">
        <v>342</v>
      </c>
      <c r="B247" s="8">
        <v>7150.0</v>
      </c>
      <c r="C247" s="8">
        <v>4006867.0</v>
      </c>
      <c r="D247" s="8">
        <v>4014259.0</v>
      </c>
      <c r="E247" s="9" t="s">
        <v>633</v>
      </c>
      <c r="F247" s="9"/>
      <c r="G247" s="9" t="s">
        <v>426</v>
      </c>
      <c r="H247" s="9" t="s">
        <v>345</v>
      </c>
      <c r="I247" s="8">
        <v>1953.0</v>
      </c>
      <c r="J247" s="9" t="s">
        <v>346</v>
      </c>
      <c r="K247" s="9" t="s">
        <v>43</v>
      </c>
      <c r="L247" s="9" t="s">
        <v>43</v>
      </c>
      <c r="M247" s="9"/>
      <c r="N247" s="9" t="s">
        <v>35</v>
      </c>
      <c r="O247" s="9" t="s">
        <v>686</v>
      </c>
      <c r="P247" s="9" t="s">
        <v>687</v>
      </c>
      <c r="Q247" s="8">
        <v>0.0</v>
      </c>
      <c r="R247" s="8">
        <v>0.0</v>
      </c>
      <c r="S247" s="8">
        <v>0.0</v>
      </c>
      <c r="T247" s="8">
        <v>0.0</v>
      </c>
      <c r="U247" s="8">
        <v>0.0</v>
      </c>
      <c r="V247" s="8">
        <v>0.0</v>
      </c>
      <c r="W247" s="8">
        <v>0.0</v>
      </c>
      <c r="X247" s="8">
        <v>0.0</v>
      </c>
      <c r="Y247" s="8">
        <v>1.0</v>
      </c>
      <c r="Z247" s="8">
        <v>0.0</v>
      </c>
      <c r="AA247" s="8">
        <v>0.0</v>
      </c>
      <c r="AB247" s="8">
        <v>0.0</v>
      </c>
      <c r="AC247" s="8">
        <v>0.0</v>
      </c>
      <c r="AD247" s="9" t="s">
        <v>92</v>
      </c>
      <c r="AE247" s="9" t="s">
        <v>39</v>
      </c>
      <c r="AF247" s="9" t="s">
        <v>40</v>
      </c>
    </row>
    <row r="248">
      <c r="A248" s="7" t="s">
        <v>342</v>
      </c>
      <c r="B248" s="8">
        <v>7174.0</v>
      </c>
      <c r="C248" s="8">
        <v>4133708.0</v>
      </c>
      <c r="D248" s="8">
        <v>4141120.0</v>
      </c>
      <c r="E248" s="9" t="s">
        <v>633</v>
      </c>
      <c r="F248" s="9"/>
      <c r="G248" s="9" t="s">
        <v>426</v>
      </c>
      <c r="H248" s="9" t="s">
        <v>345</v>
      </c>
      <c r="I248" s="8">
        <v>1953.0</v>
      </c>
      <c r="J248" s="9" t="s">
        <v>346</v>
      </c>
      <c r="K248" s="9" t="s">
        <v>43</v>
      </c>
      <c r="L248" s="9" t="s">
        <v>43</v>
      </c>
      <c r="M248" s="9" t="s">
        <v>688</v>
      </c>
      <c r="N248" s="9" t="s">
        <v>35</v>
      </c>
      <c r="O248" s="9" t="s">
        <v>689</v>
      </c>
      <c r="P248" s="9" t="s">
        <v>347</v>
      </c>
      <c r="Q248" s="8">
        <v>1.0</v>
      </c>
      <c r="R248" s="8">
        <v>0.0</v>
      </c>
      <c r="S248" s="8">
        <v>0.0</v>
      </c>
      <c r="T248" s="8">
        <v>0.0</v>
      </c>
      <c r="U248" s="8">
        <v>0.0</v>
      </c>
      <c r="V248" s="8">
        <v>0.0</v>
      </c>
      <c r="W248" s="8">
        <v>0.0</v>
      </c>
      <c r="X248" s="8">
        <v>0.0</v>
      </c>
      <c r="Y248" s="8">
        <v>0.0</v>
      </c>
      <c r="Z248" s="8">
        <v>0.0</v>
      </c>
      <c r="AA248" s="8">
        <v>0.0</v>
      </c>
      <c r="AB248" s="8">
        <v>0.0</v>
      </c>
      <c r="AC248" s="8">
        <v>0.0</v>
      </c>
      <c r="AD248" s="10" t="s">
        <v>44</v>
      </c>
      <c r="AE248" s="9" t="s">
        <v>40</v>
      </c>
      <c r="AF248" s="9" t="s">
        <v>40</v>
      </c>
    </row>
    <row r="249">
      <c r="A249" s="7" t="s">
        <v>342</v>
      </c>
      <c r="B249" s="8">
        <v>7179.0</v>
      </c>
      <c r="C249" s="8">
        <v>4161913.0</v>
      </c>
      <c r="D249" s="8">
        <v>4167599.0</v>
      </c>
      <c r="E249" s="9" t="s">
        <v>633</v>
      </c>
      <c r="F249" s="9"/>
      <c r="G249" s="9" t="s">
        <v>426</v>
      </c>
      <c r="H249" s="9" t="s">
        <v>345</v>
      </c>
      <c r="I249" s="8">
        <v>1953.0</v>
      </c>
      <c r="J249" s="9" t="s">
        <v>346</v>
      </c>
      <c r="K249" s="9" t="s">
        <v>43</v>
      </c>
      <c r="L249" s="9" t="s">
        <v>43</v>
      </c>
      <c r="M249" s="9" t="s">
        <v>690</v>
      </c>
      <c r="N249" s="9" t="s">
        <v>35</v>
      </c>
      <c r="O249" s="9" t="s">
        <v>691</v>
      </c>
      <c r="P249" s="9" t="s">
        <v>408</v>
      </c>
      <c r="Q249" s="8">
        <v>1.0</v>
      </c>
      <c r="R249" s="8">
        <v>0.0</v>
      </c>
      <c r="S249" s="8">
        <v>0.0</v>
      </c>
      <c r="T249" s="8">
        <v>0.0</v>
      </c>
      <c r="U249" s="8">
        <v>0.0</v>
      </c>
      <c r="V249" s="8">
        <v>0.0</v>
      </c>
      <c r="W249" s="8">
        <v>0.0</v>
      </c>
      <c r="X249" s="8">
        <v>0.0</v>
      </c>
      <c r="Y249" s="8">
        <v>0.0</v>
      </c>
      <c r="Z249" s="8">
        <v>0.0</v>
      </c>
      <c r="AA249" s="8">
        <v>0.0</v>
      </c>
      <c r="AB249" s="8">
        <v>0.0</v>
      </c>
      <c r="AC249" s="8">
        <v>0.0</v>
      </c>
      <c r="AD249" s="9" t="s">
        <v>38</v>
      </c>
      <c r="AE249" s="9" t="s">
        <v>39</v>
      </c>
      <c r="AF249" s="9" t="s">
        <v>40</v>
      </c>
    </row>
    <row r="250">
      <c r="A250" s="7" t="s">
        <v>342</v>
      </c>
      <c r="B250" s="8">
        <v>7214.0</v>
      </c>
      <c r="C250" s="8">
        <v>4343422.0</v>
      </c>
      <c r="D250" s="8">
        <v>4353539.0</v>
      </c>
      <c r="E250" s="9" t="s">
        <v>633</v>
      </c>
      <c r="F250" s="9"/>
      <c r="G250" s="9" t="s">
        <v>426</v>
      </c>
      <c r="H250" s="9" t="s">
        <v>345</v>
      </c>
      <c r="I250" s="8">
        <v>1953.0</v>
      </c>
      <c r="J250" s="9" t="s">
        <v>346</v>
      </c>
      <c r="K250" s="9" t="s">
        <v>43</v>
      </c>
      <c r="L250" s="9" t="s">
        <v>43</v>
      </c>
      <c r="M250" s="9" t="s">
        <v>692</v>
      </c>
      <c r="N250" s="9" t="s">
        <v>35</v>
      </c>
      <c r="O250" s="9" t="s">
        <v>693</v>
      </c>
      <c r="P250" s="9" t="s">
        <v>694</v>
      </c>
      <c r="Q250" s="8">
        <v>0.0</v>
      </c>
      <c r="R250" s="8">
        <v>0.0</v>
      </c>
      <c r="S250" s="8">
        <v>0.0</v>
      </c>
      <c r="T250" s="8">
        <v>0.0</v>
      </c>
      <c r="U250" s="8">
        <v>0.0</v>
      </c>
      <c r="V250" s="8">
        <v>0.0</v>
      </c>
      <c r="W250" s="8">
        <v>0.0</v>
      </c>
      <c r="X250" s="8">
        <v>0.0</v>
      </c>
      <c r="Y250" s="8">
        <v>1.0</v>
      </c>
      <c r="Z250" s="8">
        <v>0.0</v>
      </c>
      <c r="AA250" s="8">
        <v>0.0</v>
      </c>
      <c r="AB250" s="8">
        <v>0.0</v>
      </c>
      <c r="AC250" s="8">
        <v>0.0</v>
      </c>
      <c r="AD250" s="9" t="s">
        <v>92</v>
      </c>
      <c r="AE250" s="9" t="s">
        <v>39</v>
      </c>
      <c r="AF250" s="9" t="s">
        <v>40</v>
      </c>
    </row>
    <row r="251">
      <c r="A251" s="7" t="s">
        <v>342</v>
      </c>
      <c r="B251" s="8">
        <v>7222.0</v>
      </c>
      <c r="C251" s="8">
        <v>4384174.0</v>
      </c>
      <c r="D251" s="8">
        <v>4389743.0</v>
      </c>
      <c r="E251" s="9" t="s">
        <v>633</v>
      </c>
      <c r="F251" s="9"/>
      <c r="G251" s="9" t="s">
        <v>426</v>
      </c>
      <c r="H251" s="9" t="s">
        <v>345</v>
      </c>
      <c r="I251" s="8">
        <v>1953.0</v>
      </c>
      <c r="J251" s="9" t="s">
        <v>346</v>
      </c>
      <c r="K251" s="9" t="s">
        <v>43</v>
      </c>
      <c r="L251" s="9" t="s">
        <v>43</v>
      </c>
      <c r="M251" s="9" t="s">
        <v>695</v>
      </c>
      <c r="N251" s="9" t="s">
        <v>35</v>
      </c>
      <c r="O251" s="9" t="s">
        <v>696</v>
      </c>
      <c r="P251" s="9" t="s">
        <v>121</v>
      </c>
      <c r="Q251" s="8">
        <v>0.0</v>
      </c>
      <c r="R251" s="8">
        <v>0.0</v>
      </c>
      <c r="S251" s="8">
        <v>0.0</v>
      </c>
      <c r="T251" s="8">
        <v>0.0</v>
      </c>
      <c r="U251" s="8">
        <v>0.0</v>
      </c>
      <c r="V251" s="8">
        <v>0.0</v>
      </c>
      <c r="W251" s="8">
        <v>0.0</v>
      </c>
      <c r="X251" s="8">
        <v>0.0</v>
      </c>
      <c r="Y251" s="8">
        <v>0.0</v>
      </c>
      <c r="Z251" s="8">
        <v>1.0</v>
      </c>
      <c r="AA251" s="8">
        <v>0.0</v>
      </c>
      <c r="AB251" s="8">
        <v>0.0</v>
      </c>
      <c r="AC251" s="8">
        <v>0.0</v>
      </c>
      <c r="AD251" s="10" t="s">
        <v>44</v>
      </c>
      <c r="AE251" s="9" t="s">
        <v>40</v>
      </c>
      <c r="AF251" s="9" t="s">
        <v>40</v>
      </c>
    </row>
    <row r="252">
      <c r="A252" s="7" t="s">
        <v>342</v>
      </c>
      <c r="B252" s="8">
        <v>7241.0</v>
      </c>
      <c r="C252" s="8">
        <v>4466775.0</v>
      </c>
      <c r="D252" s="8">
        <v>4490323.0</v>
      </c>
      <c r="E252" s="9" t="s">
        <v>633</v>
      </c>
      <c r="F252" s="9"/>
      <c r="G252" s="9" t="s">
        <v>426</v>
      </c>
      <c r="H252" s="9" t="s">
        <v>345</v>
      </c>
      <c r="I252" s="8">
        <v>1953.0</v>
      </c>
      <c r="J252" s="9" t="s">
        <v>346</v>
      </c>
      <c r="K252" s="9" t="s">
        <v>43</v>
      </c>
      <c r="L252" s="9" t="s">
        <v>43</v>
      </c>
      <c r="M252" s="9" t="s">
        <v>697</v>
      </c>
      <c r="N252" s="9" t="s">
        <v>35</v>
      </c>
      <c r="O252" s="9" t="s">
        <v>698</v>
      </c>
      <c r="P252" s="9" t="s">
        <v>52</v>
      </c>
      <c r="Q252" s="8">
        <v>0.0</v>
      </c>
      <c r="R252" s="8">
        <v>0.0</v>
      </c>
      <c r="S252" s="8">
        <v>1.0</v>
      </c>
      <c r="T252" s="8">
        <v>0.0</v>
      </c>
      <c r="U252" s="8">
        <v>0.0</v>
      </c>
      <c r="V252" s="8">
        <v>0.0</v>
      </c>
      <c r="W252" s="8">
        <v>0.0</v>
      </c>
      <c r="X252" s="8">
        <v>0.0</v>
      </c>
      <c r="Y252" s="8">
        <v>0.0</v>
      </c>
      <c r="Z252" s="8">
        <v>0.0</v>
      </c>
      <c r="AA252" s="8">
        <v>0.0</v>
      </c>
      <c r="AB252" s="8">
        <v>0.0</v>
      </c>
      <c r="AC252" s="8">
        <v>0.0</v>
      </c>
      <c r="AD252" s="9" t="s">
        <v>38</v>
      </c>
      <c r="AE252" s="9" t="s">
        <v>39</v>
      </c>
      <c r="AF252" s="9" t="s">
        <v>40</v>
      </c>
    </row>
    <row r="253">
      <c r="A253" s="7" t="s">
        <v>342</v>
      </c>
      <c r="B253" s="8">
        <v>7340.0</v>
      </c>
      <c r="C253" s="8">
        <v>4897285.0</v>
      </c>
      <c r="D253" s="8">
        <v>4903514.0</v>
      </c>
      <c r="E253" s="9" t="s">
        <v>633</v>
      </c>
      <c r="F253" s="9"/>
      <c r="G253" s="9" t="s">
        <v>426</v>
      </c>
      <c r="H253" s="9" t="s">
        <v>345</v>
      </c>
      <c r="I253" s="8">
        <v>1953.0</v>
      </c>
      <c r="J253" s="9" t="s">
        <v>346</v>
      </c>
      <c r="K253" s="9" t="s">
        <v>43</v>
      </c>
      <c r="L253" s="9" t="s">
        <v>43</v>
      </c>
      <c r="M253" s="9" t="s">
        <v>699</v>
      </c>
      <c r="N253" s="9" t="s">
        <v>35</v>
      </c>
      <c r="O253" s="9" t="s">
        <v>700</v>
      </c>
      <c r="P253" s="9" t="s">
        <v>701</v>
      </c>
      <c r="Q253" s="8">
        <v>0.0</v>
      </c>
      <c r="R253" s="8">
        <v>0.0</v>
      </c>
      <c r="S253" s="8">
        <v>0.0</v>
      </c>
      <c r="T253" s="8">
        <v>0.0</v>
      </c>
      <c r="U253" s="8">
        <v>0.0</v>
      </c>
      <c r="V253" s="8">
        <v>0.0</v>
      </c>
      <c r="W253" s="8">
        <v>0.0</v>
      </c>
      <c r="X253" s="8">
        <v>1.0</v>
      </c>
      <c r="Y253" s="8">
        <v>0.0</v>
      </c>
      <c r="Z253" s="8">
        <v>0.0</v>
      </c>
      <c r="AA253" s="8">
        <v>0.0</v>
      </c>
      <c r="AB253" s="8">
        <v>0.0</v>
      </c>
      <c r="AC253" s="8">
        <v>0.0</v>
      </c>
      <c r="AD253" s="9" t="s">
        <v>38</v>
      </c>
      <c r="AE253" s="9" t="s">
        <v>39</v>
      </c>
      <c r="AF253" s="9" t="s">
        <v>40</v>
      </c>
    </row>
    <row r="254">
      <c r="A254" s="7" t="s">
        <v>342</v>
      </c>
      <c r="B254" s="8">
        <v>7427.0</v>
      </c>
      <c r="C254" s="8">
        <v>5353710.0</v>
      </c>
      <c r="D254" s="8">
        <v>5356360.0</v>
      </c>
      <c r="E254" s="9" t="s">
        <v>633</v>
      </c>
      <c r="F254" s="9"/>
      <c r="G254" s="9" t="s">
        <v>426</v>
      </c>
      <c r="H254" s="9" t="s">
        <v>345</v>
      </c>
      <c r="I254" s="8">
        <v>1953.0</v>
      </c>
      <c r="J254" s="9" t="s">
        <v>346</v>
      </c>
      <c r="K254" s="9" t="s">
        <v>43</v>
      </c>
      <c r="L254" s="9" t="s">
        <v>43</v>
      </c>
      <c r="M254" s="9" t="s">
        <v>702</v>
      </c>
      <c r="N254" s="9" t="s">
        <v>35</v>
      </c>
      <c r="O254" s="9" t="s">
        <v>703</v>
      </c>
      <c r="P254" s="9" t="s">
        <v>704</v>
      </c>
      <c r="Q254" s="8">
        <v>0.0</v>
      </c>
      <c r="R254" s="8">
        <v>0.0</v>
      </c>
      <c r="S254" s="8">
        <v>0.0</v>
      </c>
      <c r="T254" s="8">
        <v>0.0</v>
      </c>
      <c r="U254" s="8">
        <v>0.0</v>
      </c>
      <c r="V254" s="8">
        <v>0.0</v>
      </c>
      <c r="W254" s="8">
        <v>0.0</v>
      </c>
      <c r="X254" s="8">
        <v>0.0</v>
      </c>
      <c r="Y254" s="8">
        <v>1.0</v>
      </c>
      <c r="Z254" s="8">
        <v>0.0</v>
      </c>
      <c r="AA254" s="8">
        <v>0.0</v>
      </c>
      <c r="AB254" s="8">
        <v>0.0</v>
      </c>
      <c r="AC254" s="8">
        <v>0.0</v>
      </c>
      <c r="AD254" s="9" t="s">
        <v>92</v>
      </c>
      <c r="AE254" s="10" t="s">
        <v>39</v>
      </c>
      <c r="AF254" s="9" t="s">
        <v>40</v>
      </c>
    </row>
    <row r="255">
      <c r="A255" s="7" t="s">
        <v>342</v>
      </c>
      <c r="B255" s="8">
        <v>7454.0</v>
      </c>
      <c r="C255" s="8">
        <v>5472800.0</v>
      </c>
      <c r="D255" s="8">
        <v>5474250.0</v>
      </c>
      <c r="E255" s="9" t="s">
        <v>633</v>
      </c>
      <c r="F255" s="9"/>
      <c r="G255" s="9" t="s">
        <v>426</v>
      </c>
      <c r="H255" s="9" t="s">
        <v>345</v>
      </c>
      <c r="I255" s="8">
        <v>1953.0</v>
      </c>
      <c r="J255" s="9" t="s">
        <v>346</v>
      </c>
      <c r="K255" s="9" t="s">
        <v>43</v>
      </c>
      <c r="L255" s="9" t="s">
        <v>43</v>
      </c>
      <c r="M255" s="9" t="s">
        <v>705</v>
      </c>
      <c r="N255" s="9" t="s">
        <v>35</v>
      </c>
      <c r="O255" s="9" t="s">
        <v>706</v>
      </c>
      <c r="P255" s="9" t="s">
        <v>707</v>
      </c>
      <c r="Q255" s="8">
        <v>0.0</v>
      </c>
      <c r="R255" s="8">
        <v>0.0</v>
      </c>
      <c r="S255" s="8">
        <v>0.0</v>
      </c>
      <c r="T255" s="8">
        <v>0.0</v>
      </c>
      <c r="U255" s="8">
        <v>0.0</v>
      </c>
      <c r="V255" s="8">
        <v>0.0</v>
      </c>
      <c r="W255" s="8">
        <v>0.0</v>
      </c>
      <c r="X255" s="8">
        <v>0.0</v>
      </c>
      <c r="Y255" s="8">
        <v>1.0</v>
      </c>
      <c r="Z255" s="8">
        <v>0.0</v>
      </c>
      <c r="AA255" s="8">
        <v>0.0</v>
      </c>
      <c r="AB255" s="8">
        <v>0.0</v>
      </c>
      <c r="AC255" s="8">
        <v>0.0</v>
      </c>
      <c r="AD255" s="10" t="s">
        <v>92</v>
      </c>
      <c r="AE255" s="9" t="s">
        <v>39</v>
      </c>
      <c r="AF255" s="9" t="s">
        <v>40</v>
      </c>
    </row>
    <row r="256">
      <c r="A256" s="7" t="s">
        <v>342</v>
      </c>
      <c r="B256" s="8">
        <v>7460.0</v>
      </c>
      <c r="C256" s="8">
        <v>5484134.0</v>
      </c>
      <c r="D256" s="8">
        <v>5487367.0</v>
      </c>
      <c r="E256" s="9" t="s">
        <v>633</v>
      </c>
      <c r="F256" s="9"/>
      <c r="G256" s="9" t="s">
        <v>426</v>
      </c>
      <c r="H256" s="9" t="s">
        <v>345</v>
      </c>
      <c r="I256" s="8">
        <v>1953.0</v>
      </c>
      <c r="J256" s="9" t="s">
        <v>346</v>
      </c>
      <c r="K256" s="9" t="s">
        <v>43</v>
      </c>
      <c r="L256" s="9" t="s">
        <v>43</v>
      </c>
      <c r="M256" s="9" t="s">
        <v>708</v>
      </c>
      <c r="N256" s="9" t="s">
        <v>35</v>
      </c>
      <c r="O256" s="9" t="s">
        <v>709</v>
      </c>
      <c r="P256" s="9" t="s">
        <v>710</v>
      </c>
      <c r="Q256" s="8">
        <v>0.0</v>
      </c>
      <c r="R256" s="8">
        <v>0.0</v>
      </c>
      <c r="S256" s="8">
        <v>0.0</v>
      </c>
      <c r="T256" s="8">
        <v>0.0</v>
      </c>
      <c r="U256" s="8">
        <v>0.0</v>
      </c>
      <c r="V256" s="8">
        <v>0.0</v>
      </c>
      <c r="W256" s="8">
        <v>0.0</v>
      </c>
      <c r="X256" s="8">
        <v>0.0</v>
      </c>
      <c r="Y256" s="8">
        <v>1.0</v>
      </c>
      <c r="Z256" s="8">
        <v>0.0</v>
      </c>
      <c r="AA256" s="8">
        <v>0.0</v>
      </c>
      <c r="AB256" s="8">
        <v>0.0</v>
      </c>
      <c r="AC256" s="8">
        <v>0.0</v>
      </c>
      <c r="AD256" s="9" t="s">
        <v>92</v>
      </c>
      <c r="AE256" s="10" t="s">
        <v>39</v>
      </c>
      <c r="AF256" s="9" t="s">
        <v>40</v>
      </c>
    </row>
    <row r="257">
      <c r="A257" s="7" t="s">
        <v>342</v>
      </c>
      <c r="B257" s="8">
        <v>7531.0</v>
      </c>
      <c r="C257" s="8">
        <v>5815235.0</v>
      </c>
      <c r="D257" s="8">
        <v>5824801.0</v>
      </c>
      <c r="E257" s="9" t="s">
        <v>633</v>
      </c>
      <c r="F257" s="9"/>
      <c r="G257" s="9" t="s">
        <v>426</v>
      </c>
      <c r="H257" s="9" t="s">
        <v>345</v>
      </c>
      <c r="I257" s="8">
        <v>1953.0</v>
      </c>
      <c r="J257" s="9" t="s">
        <v>346</v>
      </c>
      <c r="K257" s="9" t="s">
        <v>43</v>
      </c>
      <c r="L257" s="9" t="s">
        <v>43</v>
      </c>
      <c r="M257" s="9" t="s">
        <v>711</v>
      </c>
      <c r="N257" s="9" t="s">
        <v>35</v>
      </c>
      <c r="O257" s="9" t="s">
        <v>712</v>
      </c>
      <c r="P257" s="9" t="s">
        <v>391</v>
      </c>
      <c r="Q257" s="8">
        <v>1.0</v>
      </c>
      <c r="R257" s="8">
        <v>0.0</v>
      </c>
      <c r="S257" s="8">
        <v>0.0</v>
      </c>
      <c r="T257" s="8">
        <v>0.0</v>
      </c>
      <c r="U257" s="8">
        <v>0.0</v>
      </c>
      <c r="V257" s="8">
        <v>0.0</v>
      </c>
      <c r="W257" s="8">
        <v>0.0</v>
      </c>
      <c r="X257" s="8">
        <v>0.0</v>
      </c>
      <c r="Y257" s="8">
        <v>0.0</v>
      </c>
      <c r="Z257" s="8">
        <v>0.0</v>
      </c>
      <c r="AA257" s="8">
        <v>0.0</v>
      </c>
      <c r="AB257" s="8">
        <v>0.0</v>
      </c>
      <c r="AC257" s="8">
        <v>0.0</v>
      </c>
      <c r="AD257" s="10" t="s">
        <v>44</v>
      </c>
      <c r="AE257" s="9" t="s">
        <v>40</v>
      </c>
      <c r="AF257" s="9" t="s">
        <v>40</v>
      </c>
    </row>
    <row r="258">
      <c r="A258" s="7" t="s">
        <v>342</v>
      </c>
      <c r="B258" s="8">
        <v>7578.0</v>
      </c>
      <c r="C258" s="8">
        <v>6005678.0</v>
      </c>
      <c r="D258" s="8">
        <v>6015145.0</v>
      </c>
      <c r="E258" s="9" t="s">
        <v>633</v>
      </c>
      <c r="F258" s="9"/>
      <c r="G258" s="9" t="s">
        <v>426</v>
      </c>
      <c r="H258" s="9" t="s">
        <v>345</v>
      </c>
      <c r="I258" s="8">
        <v>1953.0</v>
      </c>
      <c r="J258" s="9" t="s">
        <v>346</v>
      </c>
      <c r="K258" s="9" t="s">
        <v>43</v>
      </c>
      <c r="L258" s="9" t="s">
        <v>43</v>
      </c>
      <c r="M258" s="9" t="s">
        <v>713</v>
      </c>
      <c r="N258" s="9" t="s">
        <v>35</v>
      </c>
      <c r="O258" s="9" t="s">
        <v>714</v>
      </c>
      <c r="P258" s="9" t="s">
        <v>593</v>
      </c>
      <c r="Q258" s="8">
        <v>0.0</v>
      </c>
      <c r="R258" s="8">
        <v>0.0</v>
      </c>
      <c r="S258" s="8">
        <v>0.0</v>
      </c>
      <c r="T258" s="8">
        <v>0.0</v>
      </c>
      <c r="U258" s="8">
        <v>1.0</v>
      </c>
      <c r="V258" s="8">
        <v>0.0</v>
      </c>
      <c r="W258" s="8">
        <v>0.0</v>
      </c>
      <c r="X258" s="8">
        <v>0.0</v>
      </c>
      <c r="Y258" s="8">
        <v>0.0</v>
      </c>
      <c r="Z258" s="8">
        <v>0.0</v>
      </c>
      <c r="AA258" s="8">
        <v>0.0</v>
      </c>
      <c r="AB258" s="8">
        <v>0.0</v>
      </c>
      <c r="AC258" s="8">
        <v>0.0</v>
      </c>
      <c r="AD258" s="9" t="s">
        <v>38</v>
      </c>
      <c r="AE258" s="9" t="s">
        <v>39</v>
      </c>
      <c r="AF258" s="9" t="s">
        <v>40</v>
      </c>
    </row>
    <row r="259">
      <c r="A259" s="7" t="s">
        <v>342</v>
      </c>
      <c r="B259" s="8">
        <v>7743.0</v>
      </c>
      <c r="C259" s="8">
        <v>6681940.0</v>
      </c>
      <c r="D259" s="8">
        <v>6684690.0</v>
      </c>
      <c r="E259" s="9" t="s">
        <v>633</v>
      </c>
      <c r="F259" s="9"/>
      <c r="G259" s="9" t="s">
        <v>426</v>
      </c>
      <c r="H259" s="9" t="s">
        <v>345</v>
      </c>
      <c r="I259" s="8">
        <v>1953.0</v>
      </c>
      <c r="J259" s="9" t="s">
        <v>346</v>
      </c>
      <c r="K259" s="9" t="s">
        <v>43</v>
      </c>
      <c r="L259" s="9" t="s">
        <v>43</v>
      </c>
      <c r="M259" s="9"/>
      <c r="N259" s="9" t="s">
        <v>35</v>
      </c>
      <c r="O259" s="9" t="s">
        <v>715</v>
      </c>
      <c r="P259" s="9" t="s">
        <v>716</v>
      </c>
      <c r="Q259" s="8">
        <v>1.0</v>
      </c>
      <c r="R259" s="8">
        <v>0.0</v>
      </c>
      <c r="S259" s="8">
        <v>0.0</v>
      </c>
      <c r="T259" s="8">
        <v>0.0</v>
      </c>
      <c r="U259" s="8">
        <v>0.0</v>
      </c>
      <c r="V259" s="8">
        <v>0.0</v>
      </c>
      <c r="W259" s="8">
        <v>0.0</v>
      </c>
      <c r="X259" s="8">
        <v>0.0</v>
      </c>
      <c r="Y259" s="8">
        <v>0.0</v>
      </c>
      <c r="Z259" s="8">
        <v>0.0</v>
      </c>
      <c r="AA259" s="8">
        <v>0.0</v>
      </c>
      <c r="AB259" s="8">
        <v>0.0</v>
      </c>
      <c r="AC259" s="8">
        <v>0.0</v>
      </c>
      <c r="AD259" s="9" t="s">
        <v>38</v>
      </c>
      <c r="AE259" s="9" t="s">
        <v>39</v>
      </c>
      <c r="AF259" s="9" t="s">
        <v>40</v>
      </c>
    </row>
    <row r="260">
      <c r="A260" s="7" t="s">
        <v>342</v>
      </c>
      <c r="B260" s="8">
        <v>7943.0</v>
      </c>
      <c r="C260" s="8">
        <v>7712901.0</v>
      </c>
      <c r="D260" s="8">
        <v>7718402.0</v>
      </c>
      <c r="E260" s="9" t="s">
        <v>633</v>
      </c>
      <c r="F260" s="9"/>
      <c r="G260" s="9" t="s">
        <v>426</v>
      </c>
      <c r="H260" s="9" t="s">
        <v>345</v>
      </c>
      <c r="I260" s="8">
        <v>1953.0</v>
      </c>
      <c r="J260" s="9" t="s">
        <v>346</v>
      </c>
      <c r="K260" s="9" t="s">
        <v>43</v>
      </c>
      <c r="L260" s="9" t="s">
        <v>43</v>
      </c>
      <c r="M260" s="9" t="s">
        <v>717</v>
      </c>
      <c r="N260" s="9" t="s">
        <v>45</v>
      </c>
      <c r="O260" s="9" t="s">
        <v>718</v>
      </c>
      <c r="P260" s="9" t="s">
        <v>37</v>
      </c>
      <c r="Q260" s="8">
        <v>0.0</v>
      </c>
      <c r="R260" s="8">
        <v>1.0</v>
      </c>
      <c r="S260" s="8">
        <v>0.0</v>
      </c>
      <c r="T260" s="8">
        <v>0.0</v>
      </c>
      <c r="U260" s="8">
        <v>0.0</v>
      </c>
      <c r="V260" s="8">
        <v>0.0</v>
      </c>
      <c r="W260" s="8">
        <v>0.0</v>
      </c>
      <c r="X260" s="8">
        <v>0.0</v>
      </c>
      <c r="Y260" s="8">
        <v>0.0</v>
      </c>
      <c r="Z260" s="8">
        <v>0.0</v>
      </c>
      <c r="AA260" s="8">
        <v>0.0</v>
      </c>
      <c r="AB260" s="8">
        <v>0.0</v>
      </c>
      <c r="AC260" s="8">
        <v>0.0</v>
      </c>
      <c r="AD260" s="9" t="s">
        <v>38</v>
      </c>
      <c r="AE260" s="9" t="s">
        <v>39</v>
      </c>
      <c r="AF260" s="9" t="s">
        <v>40</v>
      </c>
    </row>
    <row r="261">
      <c r="A261" s="7" t="s">
        <v>342</v>
      </c>
      <c r="B261" s="8">
        <v>8154.0</v>
      </c>
      <c r="C261" s="8">
        <v>8802649.0</v>
      </c>
      <c r="D261" s="8">
        <v>8806550.0</v>
      </c>
      <c r="E261" s="9" t="s">
        <v>633</v>
      </c>
      <c r="F261" s="9"/>
      <c r="G261" s="9" t="s">
        <v>426</v>
      </c>
      <c r="H261" s="9" t="s">
        <v>345</v>
      </c>
      <c r="I261" s="8">
        <v>1953.0</v>
      </c>
      <c r="J261" s="9" t="s">
        <v>346</v>
      </c>
      <c r="K261" s="9" t="s">
        <v>43</v>
      </c>
      <c r="L261" s="9" t="s">
        <v>43</v>
      </c>
      <c r="M261" s="9" t="s">
        <v>719</v>
      </c>
      <c r="N261" s="9" t="s">
        <v>35</v>
      </c>
      <c r="O261" s="9" t="s">
        <v>720</v>
      </c>
      <c r="P261" s="9" t="s">
        <v>572</v>
      </c>
      <c r="Q261" s="8">
        <v>0.0</v>
      </c>
      <c r="R261" s="8">
        <v>0.0</v>
      </c>
      <c r="S261" s="8">
        <v>0.0</v>
      </c>
      <c r="T261" s="8">
        <v>0.0</v>
      </c>
      <c r="U261" s="8">
        <v>0.0</v>
      </c>
      <c r="V261" s="8">
        <v>0.0</v>
      </c>
      <c r="W261" s="8">
        <v>0.0</v>
      </c>
      <c r="X261" s="8">
        <v>1.0</v>
      </c>
      <c r="Y261" s="8">
        <v>0.0</v>
      </c>
      <c r="Z261" s="8">
        <v>0.0</v>
      </c>
      <c r="AA261" s="8">
        <v>0.0</v>
      </c>
      <c r="AB261" s="8">
        <v>0.0</v>
      </c>
      <c r="AC261" s="8">
        <v>0.0</v>
      </c>
      <c r="AD261" s="9" t="s">
        <v>38</v>
      </c>
      <c r="AE261" s="9" t="s">
        <v>39</v>
      </c>
      <c r="AF261" s="9" t="s">
        <v>40</v>
      </c>
    </row>
    <row r="262">
      <c r="A262" s="7" t="s">
        <v>342</v>
      </c>
      <c r="B262" s="8">
        <v>5010.0</v>
      </c>
      <c r="C262" s="8">
        <v>436209.0</v>
      </c>
      <c r="D262" s="8">
        <v>438555.0</v>
      </c>
      <c r="E262" s="9" t="s">
        <v>577</v>
      </c>
      <c r="F262" s="9"/>
      <c r="G262" s="9" t="s">
        <v>578</v>
      </c>
      <c r="H262" s="9" t="s">
        <v>377</v>
      </c>
      <c r="I262" s="8">
        <v>1954.0</v>
      </c>
      <c r="J262" s="9" t="s">
        <v>346</v>
      </c>
      <c r="K262" s="9" t="s">
        <v>43</v>
      </c>
      <c r="L262" s="9" t="s">
        <v>43</v>
      </c>
      <c r="M262" s="9" t="s">
        <v>721</v>
      </c>
      <c r="N262" s="9" t="s">
        <v>35</v>
      </c>
      <c r="O262" s="9" t="s">
        <v>722</v>
      </c>
      <c r="P262" s="9" t="s">
        <v>723</v>
      </c>
      <c r="Q262" s="8">
        <v>0.0</v>
      </c>
      <c r="R262" s="8">
        <v>0.0</v>
      </c>
      <c r="S262" s="8">
        <v>0.0</v>
      </c>
      <c r="T262" s="8">
        <v>0.0</v>
      </c>
      <c r="U262" s="8">
        <v>0.0</v>
      </c>
      <c r="V262" s="11">
        <v>0.0</v>
      </c>
      <c r="W262" s="8">
        <v>0.0</v>
      </c>
      <c r="X262" s="11">
        <v>1.0</v>
      </c>
      <c r="Y262" s="8">
        <v>0.0</v>
      </c>
      <c r="Z262" s="8">
        <v>0.0</v>
      </c>
      <c r="AA262" s="8">
        <v>0.0</v>
      </c>
      <c r="AB262" s="8">
        <v>0.0</v>
      </c>
      <c r="AC262" s="8">
        <v>0.0</v>
      </c>
      <c r="AD262" s="9" t="s">
        <v>38</v>
      </c>
      <c r="AE262" s="9" t="s">
        <v>39</v>
      </c>
      <c r="AF262" s="9" t="s">
        <v>40</v>
      </c>
    </row>
    <row r="263">
      <c r="A263" s="7" t="s">
        <v>342</v>
      </c>
      <c r="B263" s="8">
        <v>5329.0</v>
      </c>
      <c r="C263" s="8">
        <v>2854103.0</v>
      </c>
      <c r="D263" s="8">
        <v>2857337.0</v>
      </c>
      <c r="E263" s="9" t="s">
        <v>588</v>
      </c>
      <c r="F263" s="9"/>
      <c r="G263" s="9" t="s">
        <v>509</v>
      </c>
      <c r="H263" s="9" t="s">
        <v>345</v>
      </c>
      <c r="I263" s="8">
        <v>1939.0</v>
      </c>
      <c r="J263" s="9" t="s">
        <v>346</v>
      </c>
      <c r="K263" s="9" t="s">
        <v>43</v>
      </c>
      <c r="L263" s="9" t="s">
        <v>43</v>
      </c>
      <c r="M263" s="9" t="s">
        <v>724</v>
      </c>
      <c r="N263" s="9" t="s">
        <v>35</v>
      </c>
      <c r="O263" s="9" t="s">
        <v>725</v>
      </c>
      <c r="P263" s="9" t="s">
        <v>726</v>
      </c>
      <c r="Q263" s="8">
        <v>0.0</v>
      </c>
      <c r="R263" s="8">
        <v>0.0</v>
      </c>
      <c r="S263" s="8">
        <v>0.0</v>
      </c>
      <c r="T263" s="8">
        <v>0.0</v>
      </c>
      <c r="U263" s="8">
        <v>0.0</v>
      </c>
      <c r="V263" s="8">
        <v>0.0</v>
      </c>
      <c r="W263" s="8">
        <v>0.0</v>
      </c>
      <c r="X263" s="8">
        <v>0.0</v>
      </c>
      <c r="Y263" s="8">
        <v>0.0</v>
      </c>
      <c r="Z263" s="11">
        <v>1.0</v>
      </c>
      <c r="AA263" s="11">
        <v>0.0</v>
      </c>
      <c r="AB263" s="8">
        <v>0.0</v>
      </c>
      <c r="AC263" s="8">
        <v>0.0</v>
      </c>
      <c r="AD263" s="9" t="s">
        <v>38</v>
      </c>
      <c r="AE263" s="9" t="s">
        <v>39</v>
      </c>
      <c r="AF263" s="9" t="s">
        <v>40</v>
      </c>
    </row>
    <row r="264">
      <c r="A264" s="7" t="s">
        <v>342</v>
      </c>
      <c r="B264" s="8">
        <v>5679.0</v>
      </c>
      <c r="C264" s="8">
        <v>1292133.0</v>
      </c>
      <c r="D264" s="8">
        <v>1299260.0</v>
      </c>
      <c r="E264" s="9" t="s">
        <v>594</v>
      </c>
      <c r="F264" s="9"/>
      <c r="G264" s="9" t="s">
        <v>388</v>
      </c>
      <c r="H264" s="9" t="s">
        <v>345</v>
      </c>
      <c r="I264" s="8">
        <v>1932.0</v>
      </c>
      <c r="J264" s="9" t="s">
        <v>389</v>
      </c>
      <c r="K264" s="9" t="s">
        <v>390</v>
      </c>
      <c r="L264" s="9" t="s">
        <v>391</v>
      </c>
      <c r="M264" s="9" t="s">
        <v>727</v>
      </c>
      <c r="N264" s="9" t="s">
        <v>35</v>
      </c>
      <c r="O264" s="9" t="s">
        <v>728</v>
      </c>
      <c r="P264" s="9" t="s">
        <v>607</v>
      </c>
      <c r="Q264" s="8">
        <v>0.0</v>
      </c>
      <c r="R264" s="8">
        <v>0.0</v>
      </c>
      <c r="S264" s="8">
        <v>0.0</v>
      </c>
      <c r="T264" s="8">
        <v>0.0</v>
      </c>
      <c r="U264" s="8">
        <v>0.0</v>
      </c>
      <c r="V264" s="8">
        <v>0.0</v>
      </c>
      <c r="W264" s="11">
        <v>0.0</v>
      </c>
      <c r="X264" s="8">
        <v>0.0</v>
      </c>
      <c r="Y264" s="8">
        <v>0.0</v>
      </c>
      <c r="Z264" s="11">
        <v>1.0</v>
      </c>
      <c r="AA264" s="8">
        <v>0.0</v>
      </c>
      <c r="AB264" s="8">
        <v>0.0</v>
      </c>
      <c r="AC264" s="8">
        <v>0.0</v>
      </c>
      <c r="AD264" s="9" t="s">
        <v>38</v>
      </c>
      <c r="AE264" s="9" t="s">
        <v>39</v>
      </c>
      <c r="AF264" s="9" t="s">
        <v>40</v>
      </c>
    </row>
    <row r="265">
      <c r="A265" s="7" t="s">
        <v>342</v>
      </c>
      <c r="B265" s="8">
        <v>6784.0</v>
      </c>
      <c r="C265" s="8">
        <v>1805851.0</v>
      </c>
      <c r="D265" s="8">
        <v>1815465.0</v>
      </c>
      <c r="E265" s="9" t="s">
        <v>633</v>
      </c>
      <c r="F265" s="9"/>
      <c r="G265" s="9" t="s">
        <v>426</v>
      </c>
      <c r="H265" s="9" t="s">
        <v>345</v>
      </c>
      <c r="I265" s="8">
        <v>1953.0</v>
      </c>
      <c r="J265" s="9" t="s">
        <v>346</v>
      </c>
      <c r="K265" s="9" t="s">
        <v>43</v>
      </c>
      <c r="L265" s="9" t="s">
        <v>43</v>
      </c>
      <c r="M265" s="9" t="s">
        <v>729</v>
      </c>
      <c r="N265" s="9" t="s">
        <v>35</v>
      </c>
      <c r="O265" s="9" t="s">
        <v>730</v>
      </c>
      <c r="P265" s="9" t="s">
        <v>731</v>
      </c>
      <c r="Q265" s="8">
        <v>0.0</v>
      </c>
      <c r="R265" s="8">
        <v>0.0</v>
      </c>
      <c r="S265" s="8">
        <v>0.0</v>
      </c>
      <c r="T265" s="8">
        <v>0.0</v>
      </c>
      <c r="U265" s="8">
        <v>0.0</v>
      </c>
      <c r="V265" s="8">
        <v>0.0</v>
      </c>
      <c r="W265" s="8">
        <v>0.0</v>
      </c>
      <c r="X265" s="8">
        <v>0.0</v>
      </c>
      <c r="Y265" s="8">
        <v>1.0</v>
      </c>
      <c r="Z265" s="8">
        <v>0.0</v>
      </c>
      <c r="AA265" s="8">
        <v>0.0</v>
      </c>
      <c r="AB265" s="8">
        <v>0.0</v>
      </c>
      <c r="AC265" s="8">
        <v>0.0</v>
      </c>
      <c r="AD265" s="9" t="s">
        <v>44</v>
      </c>
      <c r="AE265" s="9" t="s">
        <v>40</v>
      </c>
      <c r="AF265" s="9" t="s">
        <v>40</v>
      </c>
    </row>
    <row r="266">
      <c r="A266" s="7" t="s">
        <v>342</v>
      </c>
      <c r="B266" s="8">
        <v>70.0</v>
      </c>
      <c r="C266" s="8">
        <v>580140.0</v>
      </c>
      <c r="D266" s="8">
        <v>589460.0</v>
      </c>
      <c r="E266" s="9" t="s">
        <v>343</v>
      </c>
      <c r="F266" s="9"/>
      <c r="G266" s="9" t="s">
        <v>344</v>
      </c>
      <c r="H266" s="9" t="s">
        <v>345</v>
      </c>
      <c r="I266" s="8">
        <v>1940.0</v>
      </c>
      <c r="J266" s="9" t="s">
        <v>346</v>
      </c>
      <c r="K266" s="9" t="s">
        <v>347</v>
      </c>
      <c r="L266" s="9" t="s">
        <v>43</v>
      </c>
      <c r="M266" s="9" t="s">
        <v>732</v>
      </c>
      <c r="N266" s="9" t="s">
        <v>89</v>
      </c>
      <c r="O266" s="9" t="s">
        <v>733</v>
      </c>
      <c r="P266" s="9" t="s">
        <v>734</v>
      </c>
      <c r="Q266" s="8">
        <v>0.0</v>
      </c>
      <c r="R266" s="8">
        <v>0.0</v>
      </c>
      <c r="S266" s="8">
        <v>0.0</v>
      </c>
      <c r="T266" s="8">
        <v>0.0</v>
      </c>
      <c r="U266" s="8">
        <v>0.0</v>
      </c>
      <c r="V266" s="8">
        <v>0.0</v>
      </c>
      <c r="W266" s="8">
        <v>0.0</v>
      </c>
      <c r="X266" s="8">
        <v>1.0</v>
      </c>
      <c r="Y266" s="8">
        <v>0.0</v>
      </c>
      <c r="Z266" s="8">
        <v>0.0</v>
      </c>
      <c r="AA266" s="8">
        <v>0.0</v>
      </c>
      <c r="AB266" s="8">
        <v>0.0</v>
      </c>
      <c r="AC266" s="8">
        <v>0.0</v>
      </c>
      <c r="AD266" s="9" t="s">
        <v>38</v>
      </c>
      <c r="AE266" s="9" t="s">
        <v>39</v>
      </c>
      <c r="AF266" s="9" t="s">
        <v>40</v>
      </c>
    </row>
    <row r="267">
      <c r="A267" s="7" t="s">
        <v>342</v>
      </c>
      <c r="B267" s="8">
        <v>169.0</v>
      </c>
      <c r="C267" s="8">
        <v>1363340.0</v>
      </c>
      <c r="D267" s="8">
        <v>1365260.0</v>
      </c>
      <c r="E267" s="9" t="s">
        <v>343</v>
      </c>
      <c r="F267" s="9"/>
      <c r="G267" s="9" t="s">
        <v>344</v>
      </c>
      <c r="H267" s="9" t="s">
        <v>345</v>
      </c>
      <c r="I267" s="8">
        <v>1940.0</v>
      </c>
      <c r="J267" s="9" t="s">
        <v>346</v>
      </c>
      <c r="K267" s="9" t="s">
        <v>347</v>
      </c>
      <c r="L267" s="9" t="s">
        <v>43</v>
      </c>
      <c r="M267" s="9"/>
      <c r="N267" s="9" t="s">
        <v>333</v>
      </c>
      <c r="O267" s="9" t="s">
        <v>735</v>
      </c>
      <c r="P267" s="9" t="s">
        <v>648</v>
      </c>
      <c r="Q267" s="8">
        <v>1.0</v>
      </c>
      <c r="R267" s="8">
        <v>0.0</v>
      </c>
      <c r="S267" s="8">
        <v>0.0</v>
      </c>
      <c r="T267" s="8">
        <v>0.0</v>
      </c>
      <c r="U267" s="8">
        <v>0.0</v>
      </c>
      <c r="V267" s="8">
        <v>0.0</v>
      </c>
      <c r="W267" s="8">
        <v>0.0</v>
      </c>
      <c r="X267" s="8">
        <v>0.0</v>
      </c>
      <c r="Y267" s="8">
        <v>0.0</v>
      </c>
      <c r="Z267" s="8">
        <v>0.0</v>
      </c>
      <c r="AA267" s="8">
        <v>0.0</v>
      </c>
      <c r="AB267" s="8">
        <v>0.0</v>
      </c>
      <c r="AC267" s="8">
        <v>0.0</v>
      </c>
      <c r="AD267" s="10" t="s">
        <v>44</v>
      </c>
      <c r="AE267" s="9" t="s">
        <v>40</v>
      </c>
      <c r="AF267" s="9" t="s">
        <v>40</v>
      </c>
    </row>
    <row r="268">
      <c r="A268" s="7" t="s">
        <v>342</v>
      </c>
      <c r="B268" s="8">
        <v>1528.0</v>
      </c>
      <c r="C268" s="8">
        <v>512068.0</v>
      </c>
      <c r="D268" s="8">
        <v>519000.0</v>
      </c>
      <c r="E268" s="9" t="s">
        <v>425</v>
      </c>
      <c r="F268" s="9"/>
      <c r="G268" s="9" t="s">
        <v>426</v>
      </c>
      <c r="H268" s="9" t="s">
        <v>345</v>
      </c>
      <c r="I268" s="8">
        <v>1953.0</v>
      </c>
      <c r="J268" s="9" t="s">
        <v>346</v>
      </c>
      <c r="K268" s="9" t="s">
        <v>43</v>
      </c>
      <c r="L268" s="9" t="s">
        <v>43</v>
      </c>
      <c r="M268" s="9" t="s">
        <v>736</v>
      </c>
      <c r="N268" s="9" t="s">
        <v>89</v>
      </c>
      <c r="O268" s="9" t="s">
        <v>737</v>
      </c>
      <c r="P268" s="9" t="s">
        <v>738</v>
      </c>
      <c r="Q268" s="8">
        <v>0.0</v>
      </c>
      <c r="R268" s="8">
        <v>0.0</v>
      </c>
      <c r="S268" s="8">
        <v>0.0</v>
      </c>
      <c r="T268" s="8">
        <v>0.0</v>
      </c>
      <c r="U268" s="8">
        <v>1.0</v>
      </c>
      <c r="V268" s="8">
        <v>0.0</v>
      </c>
      <c r="W268" s="8">
        <v>0.0</v>
      </c>
      <c r="X268" s="8">
        <v>0.0</v>
      </c>
      <c r="Y268" s="8">
        <v>0.0</v>
      </c>
      <c r="Z268" s="8">
        <v>0.0</v>
      </c>
      <c r="AA268" s="8">
        <v>0.0</v>
      </c>
      <c r="AB268" s="8">
        <v>0.0</v>
      </c>
      <c r="AC268" s="8">
        <v>0.0</v>
      </c>
      <c r="AD268" s="9" t="s">
        <v>38</v>
      </c>
      <c r="AE268" s="9" t="s">
        <v>39</v>
      </c>
      <c r="AF268" s="9" t="s">
        <v>40</v>
      </c>
    </row>
    <row r="269">
      <c r="A269" s="7" t="s">
        <v>342</v>
      </c>
      <c r="B269" s="8">
        <v>1587.0</v>
      </c>
      <c r="C269" s="8">
        <v>865187.0</v>
      </c>
      <c r="D269" s="8">
        <v>877511.0</v>
      </c>
      <c r="E269" s="9" t="s">
        <v>425</v>
      </c>
      <c r="F269" s="9"/>
      <c r="G269" s="9" t="s">
        <v>426</v>
      </c>
      <c r="H269" s="9" t="s">
        <v>345</v>
      </c>
      <c r="I269" s="8">
        <v>1953.0</v>
      </c>
      <c r="J269" s="9" t="s">
        <v>346</v>
      </c>
      <c r="K269" s="9" t="s">
        <v>43</v>
      </c>
      <c r="L269" s="9" t="s">
        <v>43</v>
      </c>
      <c r="M269" s="9" t="s">
        <v>739</v>
      </c>
      <c r="N269" s="9" t="s">
        <v>89</v>
      </c>
      <c r="O269" s="9" t="s">
        <v>740</v>
      </c>
      <c r="P269" s="9" t="s">
        <v>648</v>
      </c>
      <c r="Q269" s="8">
        <v>1.0</v>
      </c>
      <c r="R269" s="8">
        <v>0.0</v>
      </c>
      <c r="S269" s="8">
        <v>0.0</v>
      </c>
      <c r="T269" s="8">
        <v>0.0</v>
      </c>
      <c r="U269" s="8">
        <v>0.0</v>
      </c>
      <c r="V269" s="8">
        <v>0.0</v>
      </c>
      <c r="W269" s="8">
        <v>0.0</v>
      </c>
      <c r="X269" s="8">
        <v>0.0</v>
      </c>
      <c r="Y269" s="8">
        <v>0.0</v>
      </c>
      <c r="Z269" s="8">
        <v>0.0</v>
      </c>
      <c r="AA269" s="8">
        <v>0.0</v>
      </c>
      <c r="AB269" s="8">
        <v>0.0</v>
      </c>
      <c r="AC269" s="8">
        <v>0.0</v>
      </c>
      <c r="AD269" s="9" t="s">
        <v>38</v>
      </c>
      <c r="AE269" s="9" t="s">
        <v>39</v>
      </c>
      <c r="AF269" s="9" t="s">
        <v>40</v>
      </c>
    </row>
    <row r="270">
      <c r="A270" s="7" t="s">
        <v>342</v>
      </c>
      <c r="B270" s="8">
        <v>1587.0</v>
      </c>
      <c r="C270" s="8">
        <v>865187.0</v>
      </c>
      <c r="D270" s="8">
        <v>877511.0</v>
      </c>
      <c r="E270" s="9" t="s">
        <v>425</v>
      </c>
      <c r="F270" s="9"/>
      <c r="G270" s="9" t="s">
        <v>426</v>
      </c>
      <c r="H270" s="9" t="s">
        <v>345</v>
      </c>
      <c r="I270" s="8">
        <v>1953.0</v>
      </c>
      <c r="J270" s="9" t="s">
        <v>346</v>
      </c>
      <c r="K270" s="9" t="s">
        <v>43</v>
      </c>
      <c r="L270" s="9" t="s">
        <v>43</v>
      </c>
      <c r="M270" s="9" t="s">
        <v>741</v>
      </c>
      <c r="N270" s="9" t="s">
        <v>89</v>
      </c>
      <c r="O270" s="9" t="s">
        <v>742</v>
      </c>
      <c r="P270" s="9" t="s">
        <v>379</v>
      </c>
      <c r="Q270" s="8">
        <v>1.0</v>
      </c>
      <c r="R270" s="8">
        <v>0.0</v>
      </c>
      <c r="S270" s="8">
        <v>0.0</v>
      </c>
      <c r="T270" s="8">
        <v>0.0</v>
      </c>
      <c r="U270" s="8">
        <v>0.0</v>
      </c>
      <c r="V270" s="8">
        <v>0.0</v>
      </c>
      <c r="W270" s="8">
        <v>0.0</v>
      </c>
      <c r="X270" s="8">
        <v>0.0</v>
      </c>
      <c r="Y270" s="8">
        <v>0.0</v>
      </c>
      <c r="Z270" s="8">
        <v>0.0</v>
      </c>
      <c r="AA270" s="8">
        <v>0.0</v>
      </c>
      <c r="AB270" s="8">
        <v>0.0</v>
      </c>
      <c r="AC270" s="8">
        <v>0.0</v>
      </c>
      <c r="AD270" s="9" t="s">
        <v>38</v>
      </c>
      <c r="AE270" s="9" t="s">
        <v>39</v>
      </c>
      <c r="AF270" s="9" t="s">
        <v>40</v>
      </c>
    </row>
    <row r="271">
      <c r="A271" s="7" t="s">
        <v>342</v>
      </c>
      <c r="B271" s="8">
        <v>1600.0</v>
      </c>
      <c r="C271" s="8">
        <v>935903.0</v>
      </c>
      <c r="D271" s="8">
        <v>941222.0</v>
      </c>
      <c r="E271" s="9" t="s">
        <v>425</v>
      </c>
      <c r="F271" s="9"/>
      <c r="G271" s="9" t="s">
        <v>426</v>
      </c>
      <c r="H271" s="9" t="s">
        <v>345</v>
      </c>
      <c r="I271" s="8">
        <v>1953.0</v>
      </c>
      <c r="J271" s="9" t="s">
        <v>346</v>
      </c>
      <c r="K271" s="9" t="s">
        <v>43</v>
      </c>
      <c r="L271" s="9" t="s">
        <v>43</v>
      </c>
      <c r="M271" s="9" t="s">
        <v>743</v>
      </c>
      <c r="N271" s="9" t="s">
        <v>89</v>
      </c>
      <c r="O271" s="9" t="s">
        <v>744</v>
      </c>
      <c r="P271" s="9" t="s">
        <v>648</v>
      </c>
      <c r="Q271" s="8">
        <v>1.0</v>
      </c>
      <c r="R271" s="8">
        <v>0.0</v>
      </c>
      <c r="S271" s="8">
        <v>0.0</v>
      </c>
      <c r="T271" s="8">
        <v>0.0</v>
      </c>
      <c r="U271" s="8">
        <v>0.0</v>
      </c>
      <c r="V271" s="8">
        <v>0.0</v>
      </c>
      <c r="W271" s="8">
        <v>0.0</v>
      </c>
      <c r="X271" s="8">
        <v>0.0</v>
      </c>
      <c r="Y271" s="8">
        <v>0.0</v>
      </c>
      <c r="Z271" s="8">
        <v>0.0</v>
      </c>
      <c r="AA271" s="8">
        <v>0.0</v>
      </c>
      <c r="AB271" s="8">
        <v>0.0</v>
      </c>
      <c r="AC271" s="8">
        <v>0.0</v>
      </c>
      <c r="AD271" s="10" t="s">
        <v>44</v>
      </c>
      <c r="AE271" s="9" t="s">
        <v>40</v>
      </c>
      <c r="AF271" s="9" t="s">
        <v>40</v>
      </c>
    </row>
    <row r="272">
      <c r="A272" s="7" t="s">
        <v>342</v>
      </c>
      <c r="B272" s="8">
        <v>1606.0</v>
      </c>
      <c r="C272" s="8">
        <v>962786.0</v>
      </c>
      <c r="D272" s="8">
        <v>972355.0</v>
      </c>
      <c r="E272" s="9" t="s">
        <v>425</v>
      </c>
      <c r="F272" s="9"/>
      <c r="G272" s="9" t="s">
        <v>426</v>
      </c>
      <c r="H272" s="9" t="s">
        <v>345</v>
      </c>
      <c r="I272" s="8">
        <v>1953.0</v>
      </c>
      <c r="J272" s="9" t="s">
        <v>346</v>
      </c>
      <c r="K272" s="9" t="s">
        <v>43</v>
      </c>
      <c r="L272" s="9" t="s">
        <v>43</v>
      </c>
      <c r="M272" s="9" t="s">
        <v>745</v>
      </c>
      <c r="N272" s="9" t="s">
        <v>333</v>
      </c>
      <c r="O272" s="9" t="s">
        <v>746</v>
      </c>
      <c r="P272" s="9" t="s">
        <v>738</v>
      </c>
      <c r="Q272" s="8">
        <v>0.0</v>
      </c>
      <c r="R272" s="8">
        <v>0.0</v>
      </c>
      <c r="S272" s="8">
        <v>0.0</v>
      </c>
      <c r="T272" s="8">
        <v>0.0</v>
      </c>
      <c r="U272" s="8">
        <v>1.0</v>
      </c>
      <c r="V272" s="8">
        <v>0.0</v>
      </c>
      <c r="W272" s="8">
        <v>0.0</v>
      </c>
      <c r="X272" s="8">
        <v>0.0</v>
      </c>
      <c r="Y272" s="8">
        <v>0.0</v>
      </c>
      <c r="Z272" s="8">
        <v>0.0</v>
      </c>
      <c r="AA272" s="8">
        <v>0.0</v>
      </c>
      <c r="AB272" s="8">
        <v>0.0</v>
      </c>
      <c r="AC272" s="8">
        <v>0.0</v>
      </c>
      <c r="AD272" s="9" t="s">
        <v>38</v>
      </c>
      <c r="AE272" s="9" t="s">
        <v>39</v>
      </c>
      <c r="AF272" s="9" t="s">
        <v>40</v>
      </c>
    </row>
    <row r="273">
      <c r="A273" s="7" t="s">
        <v>342</v>
      </c>
      <c r="B273" s="8">
        <v>1693.0</v>
      </c>
      <c r="C273" s="8">
        <v>1410925.0</v>
      </c>
      <c r="D273" s="8">
        <v>1424275.0</v>
      </c>
      <c r="E273" s="9" t="s">
        <v>425</v>
      </c>
      <c r="F273" s="9"/>
      <c r="G273" s="9" t="s">
        <v>426</v>
      </c>
      <c r="H273" s="9" t="s">
        <v>345</v>
      </c>
      <c r="I273" s="8">
        <v>1953.0</v>
      </c>
      <c r="J273" s="9" t="s">
        <v>346</v>
      </c>
      <c r="K273" s="9" t="s">
        <v>43</v>
      </c>
      <c r="L273" s="9" t="s">
        <v>43</v>
      </c>
      <c r="M273" s="9" t="s">
        <v>747</v>
      </c>
      <c r="N273" s="9" t="s">
        <v>89</v>
      </c>
      <c r="O273" s="9" t="s">
        <v>748</v>
      </c>
      <c r="P273" s="9" t="s">
        <v>738</v>
      </c>
      <c r="Q273" s="8">
        <v>0.0</v>
      </c>
      <c r="R273" s="8">
        <v>0.0</v>
      </c>
      <c r="S273" s="8">
        <v>0.0</v>
      </c>
      <c r="T273" s="8">
        <v>0.0</v>
      </c>
      <c r="U273" s="8">
        <v>1.0</v>
      </c>
      <c r="V273" s="8">
        <v>0.0</v>
      </c>
      <c r="W273" s="8">
        <v>0.0</v>
      </c>
      <c r="X273" s="8">
        <v>0.0</v>
      </c>
      <c r="Y273" s="8">
        <v>0.0</v>
      </c>
      <c r="Z273" s="8">
        <v>0.0</v>
      </c>
      <c r="AA273" s="8">
        <v>0.0</v>
      </c>
      <c r="AB273" s="8">
        <v>0.0</v>
      </c>
      <c r="AC273" s="8">
        <v>0.0</v>
      </c>
      <c r="AD273" s="9" t="s">
        <v>38</v>
      </c>
      <c r="AE273" s="9" t="s">
        <v>39</v>
      </c>
      <c r="AF273" s="9" t="s">
        <v>40</v>
      </c>
    </row>
    <row r="274">
      <c r="A274" s="7" t="s">
        <v>342</v>
      </c>
      <c r="B274" s="8">
        <v>3211.0</v>
      </c>
      <c r="C274" s="8">
        <v>4163911.0</v>
      </c>
      <c r="D274" s="8">
        <v>4174321.0</v>
      </c>
      <c r="E274" s="9" t="s">
        <v>483</v>
      </c>
      <c r="F274" s="9"/>
      <c r="G274" s="9" t="s">
        <v>426</v>
      </c>
      <c r="H274" s="9" t="s">
        <v>345</v>
      </c>
      <c r="I274" s="8">
        <v>1953.0</v>
      </c>
      <c r="J274" s="9" t="s">
        <v>346</v>
      </c>
      <c r="K274" s="9" t="s">
        <v>43</v>
      </c>
      <c r="L274" s="9" t="s">
        <v>43</v>
      </c>
      <c r="M274" s="9" t="s">
        <v>749</v>
      </c>
      <c r="N274" s="9" t="s">
        <v>89</v>
      </c>
      <c r="O274" s="9" t="s">
        <v>750</v>
      </c>
      <c r="P274" s="9" t="s">
        <v>738</v>
      </c>
      <c r="Q274" s="8">
        <v>0.0</v>
      </c>
      <c r="R274" s="8">
        <v>0.0</v>
      </c>
      <c r="S274" s="8">
        <v>0.0</v>
      </c>
      <c r="T274" s="8">
        <v>0.0</v>
      </c>
      <c r="U274" s="8">
        <v>1.0</v>
      </c>
      <c r="V274" s="8">
        <v>0.0</v>
      </c>
      <c r="W274" s="8">
        <v>0.0</v>
      </c>
      <c r="X274" s="8">
        <v>0.0</v>
      </c>
      <c r="Y274" s="8">
        <v>0.0</v>
      </c>
      <c r="Z274" s="8">
        <v>0.0</v>
      </c>
      <c r="AA274" s="8">
        <v>0.0</v>
      </c>
      <c r="AB274" s="8">
        <v>0.0</v>
      </c>
      <c r="AC274" s="8">
        <v>0.0</v>
      </c>
      <c r="AD274" s="9" t="s">
        <v>38</v>
      </c>
      <c r="AE274" s="9" t="s">
        <v>39</v>
      </c>
      <c r="AF274" s="9" t="s">
        <v>40</v>
      </c>
    </row>
    <row r="275">
      <c r="A275" s="7" t="s">
        <v>342</v>
      </c>
      <c r="B275" s="8">
        <v>3258.0</v>
      </c>
      <c r="C275" s="8">
        <v>4360278.0</v>
      </c>
      <c r="D275" s="8">
        <v>4368783.0</v>
      </c>
      <c r="E275" s="9" t="s">
        <v>483</v>
      </c>
      <c r="F275" s="9"/>
      <c r="G275" s="9" t="s">
        <v>426</v>
      </c>
      <c r="H275" s="9" t="s">
        <v>345</v>
      </c>
      <c r="I275" s="8">
        <v>1953.0</v>
      </c>
      <c r="J275" s="9" t="s">
        <v>346</v>
      </c>
      <c r="K275" s="9" t="s">
        <v>43</v>
      </c>
      <c r="L275" s="9" t="s">
        <v>43</v>
      </c>
      <c r="M275" s="9" t="s">
        <v>751</v>
      </c>
      <c r="N275" s="9" t="s">
        <v>89</v>
      </c>
      <c r="O275" s="9" t="s">
        <v>752</v>
      </c>
      <c r="P275" s="9" t="s">
        <v>738</v>
      </c>
      <c r="Q275" s="8">
        <v>0.0</v>
      </c>
      <c r="R275" s="8">
        <v>0.0</v>
      </c>
      <c r="S275" s="8">
        <v>0.0</v>
      </c>
      <c r="T275" s="8">
        <v>0.0</v>
      </c>
      <c r="U275" s="8">
        <v>1.0</v>
      </c>
      <c r="V275" s="8">
        <v>0.0</v>
      </c>
      <c r="W275" s="8">
        <v>0.0</v>
      </c>
      <c r="X275" s="8">
        <v>0.0</v>
      </c>
      <c r="Y275" s="8">
        <v>0.0</v>
      </c>
      <c r="Z275" s="8">
        <v>0.0</v>
      </c>
      <c r="AA275" s="8">
        <v>0.0</v>
      </c>
      <c r="AB275" s="8">
        <v>0.0</v>
      </c>
      <c r="AC275" s="8">
        <v>0.0</v>
      </c>
      <c r="AD275" s="9" t="s">
        <v>38</v>
      </c>
      <c r="AE275" s="9" t="s">
        <v>39</v>
      </c>
      <c r="AF275" s="9" t="s">
        <v>40</v>
      </c>
    </row>
    <row r="276">
      <c r="A276" s="7" t="s">
        <v>342</v>
      </c>
      <c r="B276" s="8">
        <v>3555.0</v>
      </c>
      <c r="C276" s="8">
        <v>5749536.0</v>
      </c>
      <c r="D276" s="8">
        <v>5755264.0</v>
      </c>
      <c r="E276" s="9" t="s">
        <v>483</v>
      </c>
      <c r="F276" s="9"/>
      <c r="G276" s="9" t="s">
        <v>426</v>
      </c>
      <c r="H276" s="9" t="s">
        <v>345</v>
      </c>
      <c r="I276" s="8">
        <v>1953.0</v>
      </c>
      <c r="J276" s="9" t="s">
        <v>346</v>
      </c>
      <c r="K276" s="9" t="s">
        <v>43</v>
      </c>
      <c r="L276" s="9" t="s">
        <v>43</v>
      </c>
      <c r="M276" s="9" t="s">
        <v>753</v>
      </c>
      <c r="N276" s="9" t="s">
        <v>89</v>
      </c>
      <c r="O276" s="9" t="s">
        <v>754</v>
      </c>
      <c r="P276" s="9" t="s">
        <v>648</v>
      </c>
      <c r="Q276" s="8">
        <v>1.0</v>
      </c>
      <c r="R276" s="8">
        <v>0.0</v>
      </c>
      <c r="S276" s="8">
        <v>0.0</v>
      </c>
      <c r="T276" s="8">
        <v>0.0</v>
      </c>
      <c r="U276" s="8">
        <v>0.0</v>
      </c>
      <c r="V276" s="8">
        <v>0.0</v>
      </c>
      <c r="W276" s="8">
        <v>0.0</v>
      </c>
      <c r="X276" s="8">
        <v>0.0</v>
      </c>
      <c r="Y276" s="8">
        <v>0.0</v>
      </c>
      <c r="Z276" s="8">
        <v>0.0</v>
      </c>
      <c r="AA276" s="8">
        <v>0.0</v>
      </c>
      <c r="AB276" s="8">
        <v>0.0</v>
      </c>
      <c r="AC276" s="8">
        <v>0.0</v>
      </c>
      <c r="AD276" s="10" t="s">
        <v>44</v>
      </c>
      <c r="AE276" s="9" t="s">
        <v>40</v>
      </c>
      <c r="AF276" s="9" t="s">
        <v>40</v>
      </c>
    </row>
    <row r="277">
      <c r="A277" s="7" t="s">
        <v>342</v>
      </c>
      <c r="B277" s="8">
        <v>4222.0</v>
      </c>
      <c r="C277" s="8">
        <v>4316628.0</v>
      </c>
      <c r="D277" s="8">
        <v>4330865.0</v>
      </c>
      <c r="E277" s="9" t="s">
        <v>511</v>
      </c>
      <c r="F277" s="9"/>
      <c r="G277" s="9" t="s">
        <v>512</v>
      </c>
      <c r="H277" s="9" t="s">
        <v>345</v>
      </c>
      <c r="I277" s="8">
        <v>1950.0</v>
      </c>
      <c r="J277" s="9" t="s">
        <v>346</v>
      </c>
      <c r="K277" s="9" t="s">
        <v>391</v>
      </c>
      <c r="L277" s="9" t="s">
        <v>391</v>
      </c>
      <c r="M277" s="9" t="s">
        <v>755</v>
      </c>
      <c r="N277" s="9" t="s">
        <v>89</v>
      </c>
      <c r="O277" s="9" t="s">
        <v>756</v>
      </c>
      <c r="P277" s="9" t="s">
        <v>738</v>
      </c>
      <c r="Q277" s="8">
        <v>0.0</v>
      </c>
      <c r="R277" s="8">
        <v>0.0</v>
      </c>
      <c r="S277" s="8">
        <v>0.0</v>
      </c>
      <c r="T277" s="8">
        <v>0.0</v>
      </c>
      <c r="U277" s="8">
        <v>1.0</v>
      </c>
      <c r="V277" s="8">
        <v>0.0</v>
      </c>
      <c r="W277" s="8">
        <v>0.0</v>
      </c>
      <c r="X277" s="8">
        <v>0.0</v>
      </c>
      <c r="Y277" s="8">
        <v>0.0</v>
      </c>
      <c r="Z277" s="8">
        <v>0.0</v>
      </c>
      <c r="AA277" s="8">
        <v>0.0</v>
      </c>
      <c r="AB277" s="8">
        <v>0.0</v>
      </c>
      <c r="AC277" s="8">
        <v>0.0</v>
      </c>
      <c r="AD277" s="9" t="s">
        <v>38</v>
      </c>
      <c r="AE277" s="9" t="s">
        <v>39</v>
      </c>
      <c r="AF277" s="9" t="s">
        <v>40</v>
      </c>
    </row>
    <row r="278">
      <c r="A278" s="7" t="s">
        <v>342</v>
      </c>
      <c r="B278" s="8">
        <v>4267.0</v>
      </c>
      <c r="C278" s="8">
        <v>4576789.0</v>
      </c>
      <c r="D278" s="8">
        <v>4584630.0</v>
      </c>
      <c r="E278" s="9" t="s">
        <v>511</v>
      </c>
      <c r="F278" s="9"/>
      <c r="G278" s="9" t="s">
        <v>512</v>
      </c>
      <c r="H278" s="9" t="s">
        <v>345</v>
      </c>
      <c r="I278" s="8">
        <v>1950.0</v>
      </c>
      <c r="J278" s="9" t="s">
        <v>346</v>
      </c>
      <c r="K278" s="9" t="s">
        <v>391</v>
      </c>
      <c r="L278" s="9" t="s">
        <v>391</v>
      </c>
      <c r="M278" s="9" t="s">
        <v>757</v>
      </c>
      <c r="N278" s="9" t="s">
        <v>89</v>
      </c>
      <c r="O278" s="9" t="s">
        <v>758</v>
      </c>
      <c r="P278" s="9" t="s">
        <v>379</v>
      </c>
      <c r="Q278" s="8">
        <v>1.0</v>
      </c>
      <c r="R278" s="8">
        <v>0.0</v>
      </c>
      <c r="S278" s="8">
        <v>0.0</v>
      </c>
      <c r="T278" s="8">
        <v>0.0</v>
      </c>
      <c r="U278" s="8">
        <v>0.0</v>
      </c>
      <c r="V278" s="8">
        <v>0.0</v>
      </c>
      <c r="W278" s="8">
        <v>0.0</v>
      </c>
      <c r="X278" s="8">
        <v>0.0</v>
      </c>
      <c r="Y278" s="8">
        <v>0.0</v>
      </c>
      <c r="Z278" s="8">
        <v>0.0</v>
      </c>
      <c r="AA278" s="8">
        <v>0.0</v>
      </c>
      <c r="AB278" s="8">
        <v>0.0</v>
      </c>
      <c r="AC278" s="8">
        <v>0.0</v>
      </c>
      <c r="AD278" s="9" t="s">
        <v>38</v>
      </c>
      <c r="AE278" s="9" t="s">
        <v>39</v>
      </c>
      <c r="AF278" s="9" t="s">
        <v>40</v>
      </c>
    </row>
    <row r="279">
      <c r="A279" s="7" t="s">
        <v>342</v>
      </c>
      <c r="B279" s="8">
        <v>4584.0</v>
      </c>
      <c r="C279" s="8">
        <v>6002660.0</v>
      </c>
      <c r="D279" s="8">
        <v>6008210.0</v>
      </c>
      <c r="E279" s="9" t="s">
        <v>511</v>
      </c>
      <c r="F279" s="9"/>
      <c r="G279" s="9" t="s">
        <v>512</v>
      </c>
      <c r="H279" s="9" t="s">
        <v>345</v>
      </c>
      <c r="I279" s="8">
        <v>1950.0</v>
      </c>
      <c r="J279" s="9" t="s">
        <v>346</v>
      </c>
      <c r="K279" s="9" t="s">
        <v>391</v>
      </c>
      <c r="L279" s="9" t="s">
        <v>391</v>
      </c>
      <c r="M279" s="9" t="s">
        <v>759</v>
      </c>
      <c r="N279" s="9" t="s">
        <v>89</v>
      </c>
      <c r="O279" s="9" t="s">
        <v>760</v>
      </c>
      <c r="P279" s="9" t="s">
        <v>497</v>
      </c>
      <c r="Q279" s="8">
        <v>0.0</v>
      </c>
      <c r="R279" s="8">
        <v>0.0</v>
      </c>
      <c r="S279" s="8">
        <v>0.0</v>
      </c>
      <c r="T279" s="8">
        <v>0.0</v>
      </c>
      <c r="U279" s="8">
        <v>0.0</v>
      </c>
      <c r="V279" s="8">
        <v>0.0</v>
      </c>
      <c r="W279" s="8">
        <v>0.0</v>
      </c>
      <c r="X279" s="8">
        <v>0.0</v>
      </c>
      <c r="Y279" s="8">
        <v>1.0</v>
      </c>
      <c r="Z279" s="8">
        <v>0.0</v>
      </c>
      <c r="AA279" s="8">
        <v>0.0</v>
      </c>
      <c r="AB279" s="8">
        <v>0.0</v>
      </c>
      <c r="AC279" s="8">
        <v>0.0</v>
      </c>
      <c r="AD279" s="9" t="s">
        <v>92</v>
      </c>
      <c r="AE279" s="10" t="s">
        <v>39</v>
      </c>
      <c r="AF279" s="9" t="s">
        <v>40</v>
      </c>
    </row>
    <row r="280">
      <c r="A280" s="7" t="s">
        <v>342</v>
      </c>
      <c r="B280" s="8">
        <v>5208.0</v>
      </c>
      <c r="C280" s="8">
        <v>2164330.0</v>
      </c>
      <c r="D280" s="8">
        <v>2167666.0</v>
      </c>
      <c r="E280" s="9" t="s">
        <v>588</v>
      </c>
      <c r="F280" s="9"/>
      <c r="G280" s="9" t="s">
        <v>509</v>
      </c>
      <c r="H280" s="9" t="s">
        <v>345</v>
      </c>
      <c r="I280" s="8">
        <v>1939.0</v>
      </c>
      <c r="J280" s="9" t="s">
        <v>346</v>
      </c>
      <c r="K280" s="9" t="s">
        <v>43</v>
      </c>
      <c r="L280" s="9" t="s">
        <v>43</v>
      </c>
      <c r="M280" s="9" t="s">
        <v>761</v>
      </c>
      <c r="N280" s="9" t="s">
        <v>333</v>
      </c>
      <c r="O280" s="9" t="s">
        <v>762</v>
      </c>
      <c r="P280" s="9" t="s">
        <v>763</v>
      </c>
      <c r="Q280" s="8">
        <v>0.0</v>
      </c>
      <c r="R280" s="8">
        <v>0.0</v>
      </c>
      <c r="S280" s="8">
        <v>0.0</v>
      </c>
      <c r="T280" s="8">
        <v>0.0</v>
      </c>
      <c r="U280" s="8">
        <v>0.0</v>
      </c>
      <c r="V280" s="8">
        <v>0.0</v>
      </c>
      <c r="W280" s="8">
        <v>0.0</v>
      </c>
      <c r="X280" s="8">
        <v>0.0</v>
      </c>
      <c r="Y280" s="8">
        <v>1.0</v>
      </c>
      <c r="Z280" s="8">
        <v>0.0</v>
      </c>
      <c r="AA280" s="8">
        <v>0.0</v>
      </c>
      <c r="AB280" s="8">
        <v>0.0</v>
      </c>
      <c r="AC280" s="8">
        <v>0.0</v>
      </c>
      <c r="AD280" s="9" t="s">
        <v>92</v>
      </c>
      <c r="AE280" s="9" t="s">
        <v>39</v>
      </c>
      <c r="AF280" s="9" t="s">
        <v>40</v>
      </c>
    </row>
    <row r="281">
      <c r="A281" s="7" t="s">
        <v>342</v>
      </c>
      <c r="B281" s="8">
        <v>5877.0</v>
      </c>
      <c r="C281" s="8">
        <v>713150.0</v>
      </c>
      <c r="D281" s="8">
        <v>715040.0</v>
      </c>
      <c r="E281" s="9" t="s">
        <v>610</v>
      </c>
      <c r="F281" s="9"/>
      <c r="G281" s="9" t="s">
        <v>611</v>
      </c>
      <c r="H281" s="9" t="s">
        <v>377</v>
      </c>
      <c r="I281" s="8">
        <v>1941.0</v>
      </c>
      <c r="J281" s="9" t="s">
        <v>346</v>
      </c>
      <c r="K281" s="9" t="s">
        <v>43</v>
      </c>
      <c r="L281" s="9" t="s">
        <v>43</v>
      </c>
      <c r="M281" s="9" t="s">
        <v>764</v>
      </c>
      <c r="N281" s="9" t="s">
        <v>89</v>
      </c>
      <c r="O281" s="9" t="s">
        <v>765</v>
      </c>
      <c r="P281" s="9" t="s">
        <v>91</v>
      </c>
      <c r="Q281" s="8">
        <v>0.0</v>
      </c>
      <c r="R281" s="8">
        <v>0.0</v>
      </c>
      <c r="S281" s="8">
        <v>0.0</v>
      </c>
      <c r="T281" s="8">
        <v>0.0</v>
      </c>
      <c r="U281" s="8">
        <v>0.0</v>
      </c>
      <c r="V281" s="8">
        <v>0.0</v>
      </c>
      <c r="W281" s="8">
        <v>0.0</v>
      </c>
      <c r="X281" s="8">
        <v>0.0</v>
      </c>
      <c r="Y281" s="8">
        <v>1.0</v>
      </c>
      <c r="Z281" s="8">
        <v>0.0</v>
      </c>
      <c r="AA281" s="8">
        <v>0.0</v>
      </c>
      <c r="AB281" s="8">
        <v>0.0</v>
      </c>
      <c r="AC281" s="8">
        <v>0.0</v>
      </c>
      <c r="AD281" s="9" t="s">
        <v>92</v>
      </c>
      <c r="AE281" s="9" t="s">
        <v>39</v>
      </c>
      <c r="AF281" s="9" t="s">
        <v>40</v>
      </c>
    </row>
    <row r="282">
      <c r="A282" s="7" t="s">
        <v>342</v>
      </c>
      <c r="B282" s="8">
        <v>6751.0</v>
      </c>
      <c r="C282" s="8">
        <v>1454245.0</v>
      </c>
      <c r="D282" s="8">
        <v>1472691.0</v>
      </c>
      <c r="E282" s="9" t="s">
        <v>633</v>
      </c>
      <c r="F282" s="9"/>
      <c r="G282" s="9" t="s">
        <v>426</v>
      </c>
      <c r="H282" s="9" t="s">
        <v>345</v>
      </c>
      <c r="I282" s="8">
        <v>1953.0</v>
      </c>
      <c r="J282" s="9" t="s">
        <v>346</v>
      </c>
      <c r="K282" s="9" t="s">
        <v>43</v>
      </c>
      <c r="L282" s="9" t="s">
        <v>43</v>
      </c>
      <c r="M282" s="9" t="s">
        <v>766</v>
      </c>
      <c r="N282" s="9" t="s">
        <v>89</v>
      </c>
      <c r="O282" s="9" t="s">
        <v>767</v>
      </c>
      <c r="P282" s="9" t="s">
        <v>738</v>
      </c>
      <c r="Q282" s="8">
        <v>0.0</v>
      </c>
      <c r="R282" s="8">
        <v>0.0</v>
      </c>
      <c r="S282" s="8">
        <v>0.0</v>
      </c>
      <c r="T282" s="8">
        <v>0.0</v>
      </c>
      <c r="U282" s="8">
        <v>1.0</v>
      </c>
      <c r="V282" s="8">
        <v>0.0</v>
      </c>
      <c r="W282" s="8">
        <v>0.0</v>
      </c>
      <c r="X282" s="8">
        <v>0.0</v>
      </c>
      <c r="Y282" s="8">
        <v>0.0</v>
      </c>
      <c r="Z282" s="8">
        <v>0.0</v>
      </c>
      <c r="AA282" s="8">
        <v>0.0</v>
      </c>
      <c r="AB282" s="8">
        <v>0.0</v>
      </c>
      <c r="AC282" s="8">
        <v>0.0</v>
      </c>
      <c r="AD282" s="9" t="s">
        <v>38</v>
      </c>
      <c r="AE282" s="9" t="s">
        <v>39</v>
      </c>
      <c r="AF282" s="9" t="s">
        <v>40</v>
      </c>
    </row>
    <row r="283">
      <c r="A283" s="7" t="s">
        <v>342</v>
      </c>
      <c r="B283" s="8">
        <v>6812.0</v>
      </c>
      <c r="C283" s="8">
        <v>1981328.0</v>
      </c>
      <c r="D283" s="8">
        <v>1991304.0</v>
      </c>
      <c r="E283" s="9" t="s">
        <v>633</v>
      </c>
      <c r="F283" s="9"/>
      <c r="G283" s="9" t="s">
        <v>426</v>
      </c>
      <c r="H283" s="9" t="s">
        <v>345</v>
      </c>
      <c r="I283" s="8">
        <v>1953.0</v>
      </c>
      <c r="J283" s="9" t="s">
        <v>346</v>
      </c>
      <c r="K283" s="9" t="s">
        <v>43</v>
      </c>
      <c r="L283" s="9" t="s">
        <v>43</v>
      </c>
      <c r="M283" s="9" t="s">
        <v>768</v>
      </c>
      <c r="N283" s="9" t="s">
        <v>89</v>
      </c>
      <c r="O283" s="9" t="s">
        <v>769</v>
      </c>
      <c r="P283" s="9" t="s">
        <v>770</v>
      </c>
      <c r="Q283" s="8">
        <v>1.0</v>
      </c>
      <c r="R283" s="8">
        <v>0.0</v>
      </c>
      <c r="S283" s="8">
        <v>0.0</v>
      </c>
      <c r="T283" s="8">
        <v>0.0</v>
      </c>
      <c r="U283" s="8">
        <v>0.0</v>
      </c>
      <c r="V283" s="8">
        <v>0.0</v>
      </c>
      <c r="W283" s="8">
        <v>0.0</v>
      </c>
      <c r="X283" s="8">
        <v>0.0</v>
      </c>
      <c r="Y283" s="8">
        <v>0.0</v>
      </c>
      <c r="Z283" s="8">
        <v>0.0</v>
      </c>
      <c r="AA283" s="8">
        <v>0.0</v>
      </c>
      <c r="AB283" s="8">
        <v>0.0</v>
      </c>
      <c r="AC283" s="8">
        <v>0.0</v>
      </c>
      <c r="AD283" s="9" t="s">
        <v>38</v>
      </c>
      <c r="AE283" s="9" t="s">
        <v>39</v>
      </c>
      <c r="AF283" s="9" t="s">
        <v>40</v>
      </c>
    </row>
    <row r="284">
      <c r="A284" s="7" t="s">
        <v>342</v>
      </c>
      <c r="B284" s="8">
        <v>6812.0</v>
      </c>
      <c r="C284" s="8">
        <v>1981328.0</v>
      </c>
      <c r="D284" s="8">
        <v>1991304.0</v>
      </c>
      <c r="E284" s="9" t="s">
        <v>633</v>
      </c>
      <c r="F284" s="9"/>
      <c r="G284" s="9" t="s">
        <v>426</v>
      </c>
      <c r="H284" s="9" t="s">
        <v>345</v>
      </c>
      <c r="I284" s="8">
        <v>1953.0</v>
      </c>
      <c r="J284" s="9" t="s">
        <v>346</v>
      </c>
      <c r="K284" s="9" t="s">
        <v>43</v>
      </c>
      <c r="L284" s="9" t="s">
        <v>43</v>
      </c>
      <c r="M284" s="9" t="s">
        <v>771</v>
      </c>
      <c r="N284" s="9" t="s">
        <v>89</v>
      </c>
      <c r="O284" s="9" t="s">
        <v>772</v>
      </c>
      <c r="P284" s="9" t="s">
        <v>99</v>
      </c>
      <c r="Q284" s="8">
        <v>0.0</v>
      </c>
      <c r="R284" s="8">
        <v>1.0</v>
      </c>
      <c r="S284" s="8">
        <v>0.0</v>
      </c>
      <c r="T284" s="8">
        <v>0.0</v>
      </c>
      <c r="U284" s="8">
        <v>0.0</v>
      </c>
      <c r="V284" s="8">
        <v>0.0</v>
      </c>
      <c r="W284" s="8">
        <v>0.0</v>
      </c>
      <c r="X284" s="8">
        <v>0.0</v>
      </c>
      <c r="Y284" s="8">
        <v>0.0</v>
      </c>
      <c r="Z284" s="8">
        <v>0.0</v>
      </c>
      <c r="AA284" s="8">
        <v>0.0</v>
      </c>
      <c r="AB284" s="8">
        <v>0.0</v>
      </c>
      <c r="AC284" s="8">
        <v>0.0</v>
      </c>
      <c r="AD284" s="9" t="s">
        <v>38</v>
      </c>
      <c r="AE284" s="9" t="s">
        <v>39</v>
      </c>
      <c r="AF284" s="9" t="s">
        <v>40</v>
      </c>
    </row>
    <row r="285">
      <c r="A285" s="7" t="s">
        <v>342</v>
      </c>
      <c r="B285" s="8">
        <v>7022.0</v>
      </c>
      <c r="C285" s="8">
        <v>3325630.0</v>
      </c>
      <c r="D285" s="8">
        <v>3333010.0</v>
      </c>
      <c r="E285" s="9" t="s">
        <v>633</v>
      </c>
      <c r="F285" s="9"/>
      <c r="G285" s="9" t="s">
        <v>426</v>
      </c>
      <c r="H285" s="9" t="s">
        <v>345</v>
      </c>
      <c r="I285" s="8">
        <v>1953.0</v>
      </c>
      <c r="J285" s="9" t="s">
        <v>346</v>
      </c>
      <c r="K285" s="9" t="s">
        <v>43</v>
      </c>
      <c r="L285" s="9" t="s">
        <v>43</v>
      </c>
      <c r="M285" s="9" t="s">
        <v>773</v>
      </c>
      <c r="N285" s="9" t="s">
        <v>89</v>
      </c>
      <c r="O285" s="9" t="s">
        <v>774</v>
      </c>
      <c r="P285" s="9" t="s">
        <v>738</v>
      </c>
      <c r="Q285" s="8">
        <v>0.0</v>
      </c>
      <c r="R285" s="8">
        <v>0.0</v>
      </c>
      <c r="S285" s="8">
        <v>0.0</v>
      </c>
      <c r="T285" s="8">
        <v>0.0</v>
      </c>
      <c r="U285" s="8">
        <v>1.0</v>
      </c>
      <c r="V285" s="8">
        <v>0.0</v>
      </c>
      <c r="W285" s="8">
        <v>0.0</v>
      </c>
      <c r="X285" s="8">
        <v>0.0</v>
      </c>
      <c r="Y285" s="8">
        <v>0.0</v>
      </c>
      <c r="Z285" s="8">
        <v>0.0</v>
      </c>
      <c r="AA285" s="8">
        <v>0.0</v>
      </c>
      <c r="AB285" s="8">
        <v>0.0</v>
      </c>
      <c r="AC285" s="8">
        <v>0.0</v>
      </c>
      <c r="AD285" s="9" t="s">
        <v>38</v>
      </c>
      <c r="AE285" s="9" t="s">
        <v>39</v>
      </c>
      <c r="AF285" s="9" t="s">
        <v>40</v>
      </c>
    </row>
    <row r="286">
      <c r="A286" s="7" t="s">
        <v>342</v>
      </c>
      <c r="B286" s="8">
        <v>7023.0</v>
      </c>
      <c r="C286" s="8">
        <v>3333350.0</v>
      </c>
      <c r="D286" s="8">
        <v>3342110.0</v>
      </c>
      <c r="E286" s="9" t="s">
        <v>633</v>
      </c>
      <c r="F286" s="9"/>
      <c r="G286" s="9" t="s">
        <v>426</v>
      </c>
      <c r="H286" s="9" t="s">
        <v>345</v>
      </c>
      <c r="I286" s="8">
        <v>1953.0</v>
      </c>
      <c r="J286" s="9" t="s">
        <v>346</v>
      </c>
      <c r="K286" s="9" t="s">
        <v>43</v>
      </c>
      <c r="L286" s="9" t="s">
        <v>43</v>
      </c>
      <c r="M286" s="9" t="s">
        <v>775</v>
      </c>
      <c r="N286" s="9" t="s">
        <v>333</v>
      </c>
      <c r="O286" s="9" t="s">
        <v>776</v>
      </c>
      <c r="P286" s="9" t="s">
        <v>738</v>
      </c>
      <c r="Q286" s="8">
        <v>0.0</v>
      </c>
      <c r="R286" s="8">
        <v>0.0</v>
      </c>
      <c r="S286" s="8">
        <v>0.0</v>
      </c>
      <c r="T286" s="8">
        <v>0.0</v>
      </c>
      <c r="U286" s="8">
        <v>1.0</v>
      </c>
      <c r="V286" s="8">
        <v>0.0</v>
      </c>
      <c r="W286" s="8">
        <v>0.0</v>
      </c>
      <c r="X286" s="8">
        <v>0.0</v>
      </c>
      <c r="Y286" s="8">
        <v>0.0</v>
      </c>
      <c r="Z286" s="8">
        <v>0.0</v>
      </c>
      <c r="AA286" s="8">
        <v>0.0</v>
      </c>
      <c r="AB286" s="8">
        <v>0.0</v>
      </c>
      <c r="AC286" s="8">
        <v>0.0</v>
      </c>
      <c r="AD286" s="9" t="s">
        <v>38</v>
      </c>
      <c r="AE286" s="9" t="s">
        <v>39</v>
      </c>
      <c r="AF286" s="9" t="s">
        <v>40</v>
      </c>
    </row>
    <row r="287">
      <c r="A287" s="7" t="s">
        <v>342</v>
      </c>
      <c r="B287" s="8">
        <v>7214.0</v>
      </c>
      <c r="C287" s="8">
        <v>4343422.0</v>
      </c>
      <c r="D287" s="8">
        <v>4353539.0</v>
      </c>
      <c r="E287" s="9" t="s">
        <v>633</v>
      </c>
      <c r="F287" s="9"/>
      <c r="G287" s="9" t="s">
        <v>426</v>
      </c>
      <c r="H287" s="9" t="s">
        <v>345</v>
      </c>
      <c r="I287" s="8">
        <v>1953.0</v>
      </c>
      <c r="J287" s="9" t="s">
        <v>346</v>
      </c>
      <c r="K287" s="9" t="s">
        <v>43</v>
      </c>
      <c r="L287" s="9" t="s">
        <v>43</v>
      </c>
      <c r="M287" s="9" t="s">
        <v>777</v>
      </c>
      <c r="N287" s="9" t="s">
        <v>89</v>
      </c>
      <c r="O287" s="9" t="s">
        <v>778</v>
      </c>
      <c r="P287" s="9" t="s">
        <v>534</v>
      </c>
      <c r="Q287" s="8">
        <v>0.0</v>
      </c>
      <c r="R287" s="8">
        <v>0.0</v>
      </c>
      <c r="S287" s="8">
        <v>0.0</v>
      </c>
      <c r="T287" s="8">
        <v>0.0</v>
      </c>
      <c r="U287" s="8">
        <v>0.0</v>
      </c>
      <c r="V287" s="8">
        <v>0.0</v>
      </c>
      <c r="W287" s="8">
        <v>0.0</v>
      </c>
      <c r="X287" s="8">
        <v>0.0</v>
      </c>
      <c r="Y287" s="8">
        <v>1.0</v>
      </c>
      <c r="Z287" s="8">
        <v>0.0</v>
      </c>
      <c r="AA287" s="8">
        <v>0.0</v>
      </c>
      <c r="AB287" s="8">
        <v>0.0</v>
      </c>
      <c r="AC287" s="8">
        <v>0.0</v>
      </c>
      <c r="AD287" s="9" t="s">
        <v>92</v>
      </c>
      <c r="AE287" s="9" t="s">
        <v>39</v>
      </c>
      <c r="AF287" s="9" t="s">
        <v>40</v>
      </c>
    </row>
    <row r="288">
      <c r="A288" s="7" t="s">
        <v>342</v>
      </c>
      <c r="B288" s="8">
        <v>7313.0</v>
      </c>
      <c r="C288" s="8">
        <v>4772655.0</v>
      </c>
      <c r="D288" s="8">
        <v>4778383.0</v>
      </c>
      <c r="E288" s="9" t="s">
        <v>633</v>
      </c>
      <c r="F288" s="9"/>
      <c r="G288" s="9" t="s">
        <v>426</v>
      </c>
      <c r="H288" s="9" t="s">
        <v>345</v>
      </c>
      <c r="I288" s="8">
        <v>1953.0</v>
      </c>
      <c r="J288" s="9" t="s">
        <v>346</v>
      </c>
      <c r="K288" s="9" t="s">
        <v>43</v>
      </c>
      <c r="L288" s="9" t="s">
        <v>43</v>
      </c>
      <c r="M288" s="9" t="s">
        <v>779</v>
      </c>
      <c r="N288" s="9" t="s">
        <v>89</v>
      </c>
      <c r="O288" s="9" t="s">
        <v>780</v>
      </c>
      <c r="P288" s="9" t="s">
        <v>738</v>
      </c>
      <c r="Q288" s="8">
        <v>0.0</v>
      </c>
      <c r="R288" s="8">
        <v>0.0</v>
      </c>
      <c r="S288" s="8">
        <v>0.0</v>
      </c>
      <c r="T288" s="8">
        <v>0.0</v>
      </c>
      <c r="U288" s="8">
        <v>1.0</v>
      </c>
      <c r="V288" s="8">
        <v>0.0</v>
      </c>
      <c r="W288" s="8">
        <v>0.0</v>
      </c>
      <c r="X288" s="8">
        <v>0.0</v>
      </c>
      <c r="Y288" s="8">
        <v>0.0</v>
      </c>
      <c r="Z288" s="8">
        <v>0.0</v>
      </c>
      <c r="AA288" s="8">
        <v>0.0</v>
      </c>
      <c r="AB288" s="8">
        <v>0.0</v>
      </c>
      <c r="AC288" s="8">
        <v>0.0</v>
      </c>
      <c r="AD288" s="9" t="s">
        <v>38</v>
      </c>
      <c r="AE288" s="9" t="s">
        <v>39</v>
      </c>
      <c r="AF288" s="9" t="s">
        <v>40</v>
      </c>
    </row>
    <row r="289">
      <c r="A289" s="7" t="s">
        <v>342</v>
      </c>
      <c r="B289" s="8">
        <v>7377.0</v>
      </c>
      <c r="C289" s="8">
        <v>5093004.0</v>
      </c>
      <c r="D289" s="8">
        <v>5102150.0</v>
      </c>
      <c r="E289" s="9" t="s">
        <v>633</v>
      </c>
      <c r="F289" s="9"/>
      <c r="G289" s="9" t="s">
        <v>426</v>
      </c>
      <c r="H289" s="9" t="s">
        <v>345</v>
      </c>
      <c r="I289" s="8">
        <v>1953.0</v>
      </c>
      <c r="J289" s="9" t="s">
        <v>346</v>
      </c>
      <c r="K289" s="9" t="s">
        <v>43</v>
      </c>
      <c r="L289" s="9" t="s">
        <v>43</v>
      </c>
      <c r="M289" s="9" t="s">
        <v>781</v>
      </c>
      <c r="N289" s="9" t="s">
        <v>89</v>
      </c>
      <c r="O289" s="9" t="s">
        <v>782</v>
      </c>
      <c r="P289" s="9" t="s">
        <v>738</v>
      </c>
      <c r="Q289" s="8">
        <v>0.0</v>
      </c>
      <c r="R289" s="8">
        <v>0.0</v>
      </c>
      <c r="S289" s="8">
        <v>0.0</v>
      </c>
      <c r="T289" s="8">
        <v>0.0</v>
      </c>
      <c r="U289" s="8">
        <v>1.0</v>
      </c>
      <c r="V289" s="8">
        <v>0.0</v>
      </c>
      <c r="W289" s="8">
        <v>0.0</v>
      </c>
      <c r="X289" s="8">
        <v>0.0</v>
      </c>
      <c r="Y289" s="8">
        <v>0.0</v>
      </c>
      <c r="Z289" s="8">
        <v>0.0</v>
      </c>
      <c r="AA289" s="8">
        <v>0.0</v>
      </c>
      <c r="AB289" s="8">
        <v>0.0</v>
      </c>
      <c r="AC289" s="8">
        <v>0.0</v>
      </c>
      <c r="AD289" s="9" t="s">
        <v>38</v>
      </c>
      <c r="AE289" s="9" t="s">
        <v>39</v>
      </c>
      <c r="AF289" s="9" t="s">
        <v>40</v>
      </c>
    </row>
    <row r="290">
      <c r="A290" s="7" t="s">
        <v>342</v>
      </c>
      <c r="B290" s="8">
        <v>7431.0</v>
      </c>
      <c r="C290" s="8">
        <v>5367820.0</v>
      </c>
      <c r="D290" s="8">
        <v>5376553.0</v>
      </c>
      <c r="E290" s="9" t="s">
        <v>633</v>
      </c>
      <c r="F290" s="9"/>
      <c r="G290" s="9" t="s">
        <v>426</v>
      </c>
      <c r="H290" s="9" t="s">
        <v>345</v>
      </c>
      <c r="I290" s="8">
        <v>1953.0</v>
      </c>
      <c r="J290" s="9" t="s">
        <v>346</v>
      </c>
      <c r="K290" s="9" t="s">
        <v>43</v>
      </c>
      <c r="L290" s="9" t="s">
        <v>43</v>
      </c>
      <c r="M290" s="9" t="s">
        <v>783</v>
      </c>
      <c r="N290" s="9" t="s">
        <v>89</v>
      </c>
      <c r="O290" s="9" t="s">
        <v>784</v>
      </c>
      <c r="P290" s="9" t="s">
        <v>738</v>
      </c>
      <c r="Q290" s="8">
        <v>0.0</v>
      </c>
      <c r="R290" s="8">
        <v>0.0</v>
      </c>
      <c r="S290" s="8">
        <v>0.0</v>
      </c>
      <c r="T290" s="8">
        <v>0.0</v>
      </c>
      <c r="U290" s="8">
        <v>1.0</v>
      </c>
      <c r="V290" s="8">
        <v>0.0</v>
      </c>
      <c r="W290" s="8">
        <v>0.0</v>
      </c>
      <c r="X290" s="8">
        <v>0.0</v>
      </c>
      <c r="Y290" s="8">
        <v>0.0</v>
      </c>
      <c r="Z290" s="8">
        <v>0.0</v>
      </c>
      <c r="AA290" s="8">
        <v>0.0</v>
      </c>
      <c r="AB290" s="8">
        <v>0.0</v>
      </c>
      <c r="AC290" s="8">
        <v>0.0</v>
      </c>
      <c r="AD290" s="9" t="s">
        <v>38</v>
      </c>
      <c r="AE290" s="9" t="s">
        <v>39</v>
      </c>
      <c r="AF290" s="9" t="s">
        <v>40</v>
      </c>
    </row>
    <row r="291">
      <c r="A291" s="7" t="s">
        <v>342</v>
      </c>
      <c r="B291" s="8">
        <v>7431.0</v>
      </c>
      <c r="C291" s="8">
        <v>5367820.0</v>
      </c>
      <c r="D291" s="8">
        <v>5376553.0</v>
      </c>
      <c r="E291" s="9" t="s">
        <v>633</v>
      </c>
      <c r="F291" s="9"/>
      <c r="G291" s="9" t="s">
        <v>426</v>
      </c>
      <c r="H291" s="9" t="s">
        <v>345</v>
      </c>
      <c r="I291" s="8">
        <v>1953.0</v>
      </c>
      <c r="J291" s="9" t="s">
        <v>346</v>
      </c>
      <c r="K291" s="9" t="s">
        <v>43</v>
      </c>
      <c r="L291" s="9" t="s">
        <v>43</v>
      </c>
      <c r="M291" s="9" t="s">
        <v>785</v>
      </c>
      <c r="N291" s="9" t="s">
        <v>89</v>
      </c>
      <c r="O291" s="9" t="s">
        <v>786</v>
      </c>
      <c r="P291" s="9" t="s">
        <v>648</v>
      </c>
      <c r="Q291" s="8">
        <v>1.0</v>
      </c>
      <c r="R291" s="8">
        <v>0.0</v>
      </c>
      <c r="S291" s="8">
        <v>0.0</v>
      </c>
      <c r="T291" s="8">
        <v>0.0</v>
      </c>
      <c r="U291" s="8">
        <v>0.0</v>
      </c>
      <c r="V291" s="8">
        <v>0.0</v>
      </c>
      <c r="W291" s="8">
        <v>0.0</v>
      </c>
      <c r="X291" s="8">
        <v>0.0</v>
      </c>
      <c r="Y291" s="8">
        <v>0.0</v>
      </c>
      <c r="Z291" s="8">
        <v>0.0</v>
      </c>
      <c r="AA291" s="8">
        <v>0.0</v>
      </c>
      <c r="AB291" s="8">
        <v>0.0</v>
      </c>
      <c r="AC291" s="8">
        <v>0.0</v>
      </c>
      <c r="AD291" s="9" t="s">
        <v>38</v>
      </c>
      <c r="AE291" s="9" t="s">
        <v>39</v>
      </c>
      <c r="AF291" s="9" t="s">
        <v>40</v>
      </c>
    </row>
    <row r="292">
      <c r="A292" s="7" t="s">
        <v>342</v>
      </c>
      <c r="B292" s="8">
        <v>7432.0</v>
      </c>
      <c r="C292" s="8">
        <v>5377028.0</v>
      </c>
      <c r="D292" s="8">
        <v>5384128.0</v>
      </c>
      <c r="E292" s="9" t="s">
        <v>633</v>
      </c>
      <c r="F292" s="9"/>
      <c r="G292" s="9" t="s">
        <v>426</v>
      </c>
      <c r="H292" s="9" t="s">
        <v>345</v>
      </c>
      <c r="I292" s="8">
        <v>1953.0</v>
      </c>
      <c r="J292" s="9" t="s">
        <v>346</v>
      </c>
      <c r="K292" s="9" t="s">
        <v>43</v>
      </c>
      <c r="L292" s="9" t="s">
        <v>43</v>
      </c>
      <c r="M292" s="9" t="s">
        <v>787</v>
      </c>
      <c r="N292" s="9" t="s">
        <v>89</v>
      </c>
      <c r="O292" s="9" t="s">
        <v>788</v>
      </c>
      <c r="P292" s="9" t="s">
        <v>738</v>
      </c>
      <c r="Q292" s="8">
        <v>0.0</v>
      </c>
      <c r="R292" s="8">
        <v>0.0</v>
      </c>
      <c r="S292" s="8">
        <v>0.0</v>
      </c>
      <c r="T292" s="8">
        <v>0.0</v>
      </c>
      <c r="U292" s="8">
        <v>1.0</v>
      </c>
      <c r="V292" s="8">
        <v>0.0</v>
      </c>
      <c r="W292" s="8">
        <v>0.0</v>
      </c>
      <c r="X292" s="8">
        <v>0.0</v>
      </c>
      <c r="Y292" s="8">
        <v>0.0</v>
      </c>
      <c r="Z292" s="8">
        <v>0.0</v>
      </c>
      <c r="AA292" s="8">
        <v>0.0</v>
      </c>
      <c r="AB292" s="8">
        <v>0.0</v>
      </c>
      <c r="AC292" s="8">
        <v>0.0</v>
      </c>
      <c r="AD292" s="9" t="s">
        <v>38</v>
      </c>
      <c r="AE292" s="9" t="s">
        <v>39</v>
      </c>
      <c r="AF292" s="9" t="s">
        <v>40</v>
      </c>
    </row>
    <row r="293">
      <c r="A293" s="7" t="s">
        <v>342</v>
      </c>
      <c r="B293" s="8">
        <v>7435.0</v>
      </c>
      <c r="C293" s="8">
        <v>5391695.0</v>
      </c>
      <c r="D293" s="8">
        <v>5397395.0</v>
      </c>
      <c r="E293" s="9" t="s">
        <v>633</v>
      </c>
      <c r="F293" s="9"/>
      <c r="G293" s="9" t="s">
        <v>426</v>
      </c>
      <c r="H293" s="9" t="s">
        <v>345</v>
      </c>
      <c r="I293" s="8">
        <v>1953.0</v>
      </c>
      <c r="J293" s="9" t="s">
        <v>346</v>
      </c>
      <c r="K293" s="9" t="s">
        <v>43</v>
      </c>
      <c r="L293" s="9" t="s">
        <v>43</v>
      </c>
      <c r="M293" s="9" t="s">
        <v>789</v>
      </c>
      <c r="N293" s="9" t="s">
        <v>89</v>
      </c>
      <c r="O293" s="9" t="s">
        <v>790</v>
      </c>
      <c r="P293" s="9" t="s">
        <v>738</v>
      </c>
      <c r="Q293" s="8">
        <v>0.0</v>
      </c>
      <c r="R293" s="8">
        <v>0.0</v>
      </c>
      <c r="S293" s="8">
        <v>0.0</v>
      </c>
      <c r="T293" s="8">
        <v>0.0</v>
      </c>
      <c r="U293" s="8">
        <v>1.0</v>
      </c>
      <c r="V293" s="8">
        <v>0.0</v>
      </c>
      <c r="W293" s="8">
        <v>0.0</v>
      </c>
      <c r="X293" s="8">
        <v>0.0</v>
      </c>
      <c r="Y293" s="8">
        <v>0.0</v>
      </c>
      <c r="Z293" s="8">
        <v>0.0</v>
      </c>
      <c r="AA293" s="8">
        <v>0.0</v>
      </c>
      <c r="AB293" s="8">
        <v>0.0</v>
      </c>
      <c r="AC293" s="8">
        <v>0.0</v>
      </c>
      <c r="AD293" s="9" t="s">
        <v>38</v>
      </c>
      <c r="AE293" s="9" t="s">
        <v>39</v>
      </c>
      <c r="AF293" s="9" t="s">
        <v>40</v>
      </c>
    </row>
    <row r="294">
      <c r="A294" s="7" t="s">
        <v>342</v>
      </c>
      <c r="B294" s="8">
        <v>8095.0</v>
      </c>
      <c r="C294" s="8">
        <v>8531226.0</v>
      </c>
      <c r="D294" s="8">
        <v>8533518.0</v>
      </c>
      <c r="E294" s="9" t="s">
        <v>633</v>
      </c>
      <c r="F294" s="9"/>
      <c r="G294" s="9" t="s">
        <v>426</v>
      </c>
      <c r="H294" s="9" t="s">
        <v>345</v>
      </c>
      <c r="I294" s="8">
        <v>1953.0</v>
      </c>
      <c r="J294" s="9" t="s">
        <v>346</v>
      </c>
      <c r="K294" s="9" t="s">
        <v>43</v>
      </c>
      <c r="L294" s="9" t="s">
        <v>43</v>
      </c>
      <c r="M294" s="9" t="s">
        <v>791</v>
      </c>
      <c r="N294" s="9" t="s">
        <v>89</v>
      </c>
      <c r="O294" s="9" t="s">
        <v>792</v>
      </c>
      <c r="P294" s="9" t="s">
        <v>793</v>
      </c>
      <c r="Q294" s="8">
        <v>0.0</v>
      </c>
      <c r="R294" s="8">
        <v>0.0</v>
      </c>
      <c r="S294" s="8">
        <v>0.0</v>
      </c>
      <c r="T294" s="8">
        <v>0.0</v>
      </c>
      <c r="U294" s="8">
        <v>0.0</v>
      </c>
      <c r="V294" s="8">
        <v>0.0</v>
      </c>
      <c r="W294" s="8">
        <v>0.0</v>
      </c>
      <c r="X294" s="8">
        <v>0.0</v>
      </c>
      <c r="Y294" s="8">
        <v>1.0</v>
      </c>
      <c r="Z294" s="8">
        <v>0.0</v>
      </c>
      <c r="AA294" s="8">
        <v>0.0</v>
      </c>
      <c r="AB294" s="8">
        <v>0.0</v>
      </c>
      <c r="AC294" s="8">
        <v>0.0</v>
      </c>
      <c r="AD294" s="9" t="s">
        <v>92</v>
      </c>
      <c r="AE294" s="9" t="s">
        <v>39</v>
      </c>
      <c r="AF294" s="9" t="s">
        <v>40</v>
      </c>
    </row>
    <row r="295">
      <c r="A295" s="13" t="s">
        <v>794</v>
      </c>
      <c r="B295" s="8">
        <v>126.0</v>
      </c>
      <c r="C295" s="8">
        <v>628232.0</v>
      </c>
      <c r="D295" s="8">
        <v>644848.0</v>
      </c>
      <c r="E295" s="9" t="s">
        <v>795</v>
      </c>
      <c r="F295" s="9"/>
      <c r="G295" s="9" t="s">
        <v>796</v>
      </c>
      <c r="H295" s="9"/>
      <c r="I295" s="8">
        <v>1980.0</v>
      </c>
      <c r="J295" s="9" t="s">
        <v>797</v>
      </c>
      <c r="K295" s="9"/>
      <c r="L295" s="9"/>
      <c r="M295" s="9" t="s">
        <v>798</v>
      </c>
      <c r="N295" s="9" t="s">
        <v>35</v>
      </c>
      <c r="O295" s="9" t="s">
        <v>799</v>
      </c>
      <c r="P295" s="9" t="s">
        <v>800</v>
      </c>
      <c r="Q295" s="8">
        <v>1.0</v>
      </c>
      <c r="R295" s="8">
        <v>0.0</v>
      </c>
      <c r="S295" s="8">
        <v>0.0</v>
      </c>
      <c r="T295" s="8">
        <v>0.0</v>
      </c>
      <c r="U295" s="8">
        <v>0.0</v>
      </c>
      <c r="V295" s="8">
        <v>0.0</v>
      </c>
      <c r="W295" s="8">
        <v>0.0</v>
      </c>
      <c r="X295" s="8">
        <v>0.0</v>
      </c>
      <c r="Y295" s="8">
        <v>0.0</v>
      </c>
      <c r="Z295" s="8">
        <v>0.0</v>
      </c>
      <c r="AA295" s="8">
        <v>0.0</v>
      </c>
      <c r="AB295" s="8">
        <v>0.0</v>
      </c>
      <c r="AC295" s="8">
        <v>0.0</v>
      </c>
      <c r="AD295" s="9" t="s">
        <v>38</v>
      </c>
      <c r="AE295" s="9" t="s">
        <v>39</v>
      </c>
      <c r="AF295" s="9" t="s">
        <v>40</v>
      </c>
    </row>
    <row r="296">
      <c r="A296" s="13" t="s">
        <v>794</v>
      </c>
      <c r="B296" s="8">
        <v>225.0</v>
      </c>
      <c r="C296" s="8">
        <v>964768.0</v>
      </c>
      <c r="D296" s="8">
        <v>970882.0</v>
      </c>
      <c r="E296" s="9" t="s">
        <v>795</v>
      </c>
      <c r="F296" s="9"/>
      <c r="G296" s="9" t="s">
        <v>796</v>
      </c>
      <c r="H296" s="9"/>
      <c r="I296" s="8">
        <v>1980.0</v>
      </c>
      <c r="J296" s="9" t="s">
        <v>797</v>
      </c>
      <c r="K296" s="9"/>
      <c r="L296" s="9"/>
      <c r="M296" s="9" t="s">
        <v>801</v>
      </c>
      <c r="N296" s="9" t="s">
        <v>35</v>
      </c>
      <c r="O296" s="9" t="s">
        <v>802</v>
      </c>
      <c r="P296" s="9" t="s">
        <v>803</v>
      </c>
      <c r="Q296" s="8">
        <v>0.0</v>
      </c>
      <c r="R296" s="8">
        <v>0.0</v>
      </c>
      <c r="S296" s="8">
        <v>0.0</v>
      </c>
      <c r="T296" s="8">
        <v>0.0</v>
      </c>
      <c r="U296" s="8">
        <v>0.0</v>
      </c>
      <c r="V296" s="8">
        <v>0.0</v>
      </c>
      <c r="W296" s="8">
        <v>0.0</v>
      </c>
      <c r="X296" s="8">
        <v>1.0</v>
      </c>
      <c r="Y296" s="8">
        <v>0.0</v>
      </c>
      <c r="Z296" s="8">
        <v>0.0</v>
      </c>
      <c r="AA296" s="8">
        <v>0.0</v>
      </c>
      <c r="AB296" s="8">
        <v>0.0</v>
      </c>
      <c r="AC296" s="8">
        <v>0.0</v>
      </c>
      <c r="AD296" s="10" t="s">
        <v>44</v>
      </c>
      <c r="AE296" s="9" t="s">
        <v>40</v>
      </c>
      <c r="AF296" s="9" t="s">
        <v>40</v>
      </c>
    </row>
    <row r="297">
      <c r="A297" s="13" t="s">
        <v>794</v>
      </c>
      <c r="B297" s="8">
        <v>479.0</v>
      </c>
      <c r="C297" s="8">
        <v>2013.0</v>
      </c>
      <c r="D297" s="8">
        <v>5443.0</v>
      </c>
      <c r="E297" s="9" t="s">
        <v>804</v>
      </c>
      <c r="F297" s="9"/>
      <c r="G297" s="9" t="s">
        <v>805</v>
      </c>
      <c r="H297" s="9"/>
      <c r="I297" s="8">
        <v>1958.0</v>
      </c>
      <c r="J297" s="9" t="s">
        <v>806</v>
      </c>
      <c r="K297" s="9"/>
      <c r="L297" s="9"/>
      <c r="M297" s="9"/>
      <c r="N297" s="9" t="s">
        <v>45</v>
      </c>
      <c r="O297" s="9" t="s">
        <v>807</v>
      </c>
      <c r="P297" s="9" t="s">
        <v>808</v>
      </c>
      <c r="Q297" s="8">
        <v>0.0</v>
      </c>
      <c r="R297" s="8">
        <v>1.0</v>
      </c>
      <c r="S297" s="8">
        <v>0.0</v>
      </c>
      <c r="T297" s="8">
        <v>0.0</v>
      </c>
      <c r="U297" s="8">
        <v>0.0</v>
      </c>
      <c r="V297" s="8">
        <v>0.0</v>
      </c>
      <c r="W297" s="8">
        <v>0.0</v>
      </c>
      <c r="X297" s="8">
        <v>0.0</v>
      </c>
      <c r="Y297" s="8">
        <v>0.0</v>
      </c>
      <c r="Z297" s="8">
        <v>0.0</v>
      </c>
      <c r="AA297" s="8">
        <v>0.0</v>
      </c>
      <c r="AB297" s="8">
        <v>0.0</v>
      </c>
      <c r="AC297" s="8">
        <v>0.0</v>
      </c>
      <c r="AD297" s="10" t="s">
        <v>44</v>
      </c>
      <c r="AE297" s="9" t="s">
        <v>40</v>
      </c>
      <c r="AF297" s="9" t="s">
        <v>40</v>
      </c>
    </row>
    <row r="298">
      <c r="A298" s="13" t="s">
        <v>794</v>
      </c>
      <c r="B298" s="8">
        <v>525.0</v>
      </c>
      <c r="C298" s="8">
        <v>266579.0</v>
      </c>
      <c r="D298" s="8">
        <v>271179.0</v>
      </c>
      <c r="E298" s="9" t="s">
        <v>804</v>
      </c>
      <c r="F298" s="9"/>
      <c r="G298" s="9" t="s">
        <v>805</v>
      </c>
      <c r="H298" s="9"/>
      <c r="I298" s="8">
        <v>1958.0</v>
      </c>
      <c r="J298" s="9" t="s">
        <v>806</v>
      </c>
      <c r="K298" s="9"/>
      <c r="L298" s="9"/>
      <c r="M298" s="9" t="s">
        <v>809</v>
      </c>
      <c r="N298" s="9" t="s">
        <v>35</v>
      </c>
      <c r="O298" s="9" t="s">
        <v>810</v>
      </c>
      <c r="P298" s="9" t="s">
        <v>811</v>
      </c>
      <c r="Q298" s="8">
        <v>1.0</v>
      </c>
      <c r="R298" s="8">
        <v>0.0</v>
      </c>
      <c r="S298" s="8">
        <v>0.0</v>
      </c>
      <c r="T298" s="8">
        <v>0.0</v>
      </c>
      <c r="U298" s="8">
        <v>0.0</v>
      </c>
      <c r="V298" s="8">
        <v>0.0</v>
      </c>
      <c r="W298" s="8">
        <v>0.0</v>
      </c>
      <c r="X298" s="8">
        <v>0.0</v>
      </c>
      <c r="Y298" s="8">
        <v>0.0</v>
      </c>
      <c r="Z298" s="8">
        <v>0.0</v>
      </c>
      <c r="AA298" s="8">
        <v>0.0</v>
      </c>
      <c r="AB298" s="8">
        <v>0.0</v>
      </c>
      <c r="AC298" s="8">
        <v>0.0</v>
      </c>
      <c r="AD298" s="10" t="s">
        <v>44</v>
      </c>
      <c r="AE298" s="9" t="s">
        <v>40</v>
      </c>
      <c r="AF298" s="9" t="s">
        <v>40</v>
      </c>
    </row>
    <row r="299">
      <c r="A299" s="13" t="s">
        <v>794</v>
      </c>
      <c r="B299" s="8">
        <v>548.0</v>
      </c>
      <c r="C299" s="8">
        <v>404432.0</v>
      </c>
      <c r="D299" s="8">
        <v>408064.0</v>
      </c>
      <c r="E299" s="9" t="s">
        <v>804</v>
      </c>
      <c r="F299" s="9"/>
      <c r="G299" s="9" t="s">
        <v>805</v>
      </c>
      <c r="H299" s="9"/>
      <c r="I299" s="8">
        <v>1958.0</v>
      </c>
      <c r="J299" s="9" t="s">
        <v>806</v>
      </c>
      <c r="K299" s="9"/>
      <c r="L299" s="9"/>
      <c r="M299" s="9" t="s">
        <v>812</v>
      </c>
      <c r="N299" s="9" t="s">
        <v>35</v>
      </c>
      <c r="O299" s="9" t="s">
        <v>813</v>
      </c>
      <c r="P299" s="9" t="s">
        <v>814</v>
      </c>
      <c r="Q299" s="8">
        <v>0.0</v>
      </c>
      <c r="R299" s="8">
        <v>0.0</v>
      </c>
      <c r="S299" s="8">
        <v>0.0</v>
      </c>
      <c r="T299" s="8">
        <v>0.0</v>
      </c>
      <c r="U299" s="8">
        <v>1.0</v>
      </c>
      <c r="V299" s="8">
        <v>0.0</v>
      </c>
      <c r="W299" s="8">
        <v>0.0</v>
      </c>
      <c r="X299" s="8">
        <v>0.0</v>
      </c>
      <c r="Y299" s="8">
        <v>0.0</v>
      </c>
      <c r="Z299" s="11">
        <v>0.0</v>
      </c>
      <c r="AA299" s="8">
        <v>0.0</v>
      </c>
      <c r="AB299" s="8">
        <v>0.0</v>
      </c>
      <c r="AC299" s="8">
        <v>0.0</v>
      </c>
      <c r="AD299" s="10" t="s">
        <v>44</v>
      </c>
      <c r="AE299" s="9" t="s">
        <v>40</v>
      </c>
      <c r="AF299" s="9" t="s">
        <v>40</v>
      </c>
    </row>
    <row r="300">
      <c r="A300" s="13" t="s">
        <v>794</v>
      </c>
      <c r="B300" s="8">
        <v>550.0</v>
      </c>
      <c r="C300" s="8">
        <v>416820.0</v>
      </c>
      <c r="D300" s="8">
        <v>423720.0</v>
      </c>
      <c r="E300" s="9" t="s">
        <v>804</v>
      </c>
      <c r="F300" s="9"/>
      <c r="G300" s="9" t="s">
        <v>805</v>
      </c>
      <c r="H300" s="9"/>
      <c r="I300" s="8">
        <v>1958.0</v>
      </c>
      <c r="J300" s="9" t="s">
        <v>806</v>
      </c>
      <c r="K300" s="9"/>
      <c r="L300" s="9"/>
      <c r="M300" s="9" t="s">
        <v>815</v>
      </c>
      <c r="N300" s="9" t="s">
        <v>35</v>
      </c>
      <c r="O300" s="9" t="s">
        <v>816</v>
      </c>
      <c r="P300" s="9" t="s">
        <v>817</v>
      </c>
      <c r="Q300" s="8">
        <v>1.0</v>
      </c>
      <c r="R300" s="8">
        <v>0.0</v>
      </c>
      <c r="S300" s="8">
        <v>0.0</v>
      </c>
      <c r="T300" s="8">
        <v>0.0</v>
      </c>
      <c r="U300" s="8">
        <v>0.0</v>
      </c>
      <c r="V300" s="8">
        <v>0.0</v>
      </c>
      <c r="W300" s="8">
        <v>0.0</v>
      </c>
      <c r="X300" s="8">
        <v>0.0</v>
      </c>
      <c r="Y300" s="8">
        <v>0.0</v>
      </c>
      <c r="Z300" s="8">
        <v>0.0</v>
      </c>
      <c r="AA300" s="8">
        <v>0.0</v>
      </c>
      <c r="AB300" s="8">
        <v>0.0</v>
      </c>
      <c r="AC300" s="8">
        <v>0.0</v>
      </c>
      <c r="AD300" s="10" t="s">
        <v>44</v>
      </c>
      <c r="AE300" s="9" t="s">
        <v>40</v>
      </c>
      <c r="AF300" s="9" t="s">
        <v>40</v>
      </c>
    </row>
    <row r="301">
      <c r="A301" s="13" t="s">
        <v>794</v>
      </c>
      <c r="B301" s="8">
        <v>550.0</v>
      </c>
      <c r="C301" s="8">
        <v>416820.0</v>
      </c>
      <c r="D301" s="8">
        <v>423720.0</v>
      </c>
      <c r="E301" s="9" t="s">
        <v>804</v>
      </c>
      <c r="F301" s="9"/>
      <c r="G301" s="9" t="s">
        <v>805</v>
      </c>
      <c r="H301" s="9"/>
      <c r="I301" s="8">
        <v>1958.0</v>
      </c>
      <c r="J301" s="9" t="s">
        <v>806</v>
      </c>
      <c r="K301" s="9"/>
      <c r="L301" s="9"/>
      <c r="M301" s="9" t="s">
        <v>818</v>
      </c>
      <c r="N301" s="9" t="s">
        <v>35</v>
      </c>
      <c r="O301" s="9" t="s">
        <v>819</v>
      </c>
      <c r="P301" s="9" t="s">
        <v>820</v>
      </c>
      <c r="Q301" s="8">
        <v>1.0</v>
      </c>
      <c r="R301" s="8">
        <v>0.0</v>
      </c>
      <c r="S301" s="8">
        <v>0.0</v>
      </c>
      <c r="T301" s="8">
        <v>0.0</v>
      </c>
      <c r="U301" s="8">
        <v>0.0</v>
      </c>
      <c r="V301" s="8">
        <v>0.0</v>
      </c>
      <c r="W301" s="8">
        <v>0.0</v>
      </c>
      <c r="X301" s="8">
        <v>0.0</v>
      </c>
      <c r="Y301" s="8">
        <v>0.0</v>
      </c>
      <c r="Z301" s="8">
        <v>0.0</v>
      </c>
      <c r="AA301" s="8">
        <v>0.0</v>
      </c>
      <c r="AB301" s="8">
        <v>0.0</v>
      </c>
      <c r="AC301" s="8">
        <v>0.0</v>
      </c>
      <c r="AD301" s="10" t="s">
        <v>44</v>
      </c>
      <c r="AE301" s="9" t="s">
        <v>40</v>
      </c>
      <c r="AF301" s="9" t="s">
        <v>40</v>
      </c>
    </row>
    <row r="302">
      <c r="A302" s="13" t="s">
        <v>794</v>
      </c>
      <c r="B302" s="8">
        <v>590.0</v>
      </c>
      <c r="C302" s="8">
        <v>607977.0</v>
      </c>
      <c r="D302" s="8">
        <v>612361.0</v>
      </c>
      <c r="E302" s="9" t="s">
        <v>804</v>
      </c>
      <c r="F302" s="9"/>
      <c r="G302" s="9" t="s">
        <v>805</v>
      </c>
      <c r="H302" s="9"/>
      <c r="I302" s="8">
        <v>1958.0</v>
      </c>
      <c r="J302" s="9" t="s">
        <v>806</v>
      </c>
      <c r="K302" s="9"/>
      <c r="L302" s="9"/>
      <c r="M302" s="9" t="s">
        <v>821</v>
      </c>
      <c r="N302" s="9" t="s">
        <v>35</v>
      </c>
      <c r="O302" s="9" t="s">
        <v>822</v>
      </c>
      <c r="P302" s="9" t="s">
        <v>823</v>
      </c>
      <c r="Q302" s="8">
        <v>1.0</v>
      </c>
      <c r="R302" s="8">
        <v>0.0</v>
      </c>
      <c r="S302" s="8">
        <v>0.0</v>
      </c>
      <c r="T302" s="8">
        <v>0.0</v>
      </c>
      <c r="U302" s="8">
        <v>0.0</v>
      </c>
      <c r="V302" s="8">
        <v>0.0</v>
      </c>
      <c r="W302" s="8">
        <v>0.0</v>
      </c>
      <c r="X302" s="8">
        <v>0.0</v>
      </c>
      <c r="Y302" s="8">
        <v>0.0</v>
      </c>
      <c r="Z302" s="8">
        <v>0.0</v>
      </c>
      <c r="AA302" s="8">
        <v>0.0</v>
      </c>
      <c r="AB302" s="8">
        <v>0.0</v>
      </c>
      <c r="AC302" s="8">
        <v>0.0</v>
      </c>
      <c r="AD302" s="9" t="s">
        <v>38</v>
      </c>
      <c r="AE302" s="9" t="s">
        <v>39</v>
      </c>
      <c r="AF302" s="9" t="s">
        <v>40</v>
      </c>
    </row>
    <row r="303">
      <c r="A303" s="13" t="s">
        <v>794</v>
      </c>
      <c r="B303" s="8">
        <v>756.0</v>
      </c>
      <c r="C303" s="8">
        <v>1489711.0</v>
      </c>
      <c r="D303" s="8">
        <v>1493938.0</v>
      </c>
      <c r="E303" s="9" t="s">
        <v>804</v>
      </c>
      <c r="F303" s="9"/>
      <c r="G303" s="9" t="s">
        <v>805</v>
      </c>
      <c r="H303" s="9"/>
      <c r="I303" s="8">
        <v>1958.0</v>
      </c>
      <c r="J303" s="9" t="s">
        <v>806</v>
      </c>
      <c r="K303" s="9"/>
      <c r="L303" s="9"/>
      <c r="M303" s="9" t="s">
        <v>824</v>
      </c>
      <c r="N303" s="9" t="s">
        <v>45</v>
      </c>
      <c r="O303" s="9" t="s">
        <v>825</v>
      </c>
      <c r="P303" s="9" t="s">
        <v>826</v>
      </c>
      <c r="Q303" s="8">
        <v>0.0</v>
      </c>
      <c r="R303" s="8">
        <v>0.0</v>
      </c>
      <c r="S303" s="8">
        <v>0.0</v>
      </c>
      <c r="T303" s="8">
        <v>0.0</v>
      </c>
      <c r="U303" s="8">
        <v>1.0</v>
      </c>
      <c r="V303" s="8">
        <v>0.0</v>
      </c>
      <c r="W303" s="8">
        <v>0.0</v>
      </c>
      <c r="X303" s="8">
        <v>0.0</v>
      </c>
      <c r="Y303" s="8">
        <v>0.0</v>
      </c>
      <c r="Z303" s="8">
        <v>0.0</v>
      </c>
      <c r="AA303" s="8">
        <v>0.0</v>
      </c>
      <c r="AB303" s="8">
        <v>0.0</v>
      </c>
      <c r="AC303" s="8">
        <v>0.0</v>
      </c>
      <c r="AD303" s="9" t="s">
        <v>38</v>
      </c>
      <c r="AE303" s="9" t="s">
        <v>39</v>
      </c>
      <c r="AF303" s="9" t="s">
        <v>40</v>
      </c>
    </row>
    <row r="304">
      <c r="A304" s="13" t="s">
        <v>794</v>
      </c>
      <c r="B304" s="8">
        <v>757.0</v>
      </c>
      <c r="C304" s="8">
        <v>1493938.0</v>
      </c>
      <c r="D304" s="8">
        <v>1499618.0</v>
      </c>
      <c r="E304" s="9" t="s">
        <v>804</v>
      </c>
      <c r="F304" s="9"/>
      <c r="G304" s="9" t="s">
        <v>805</v>
      </c>
      <c r="H304" s="9"/>
      <c r="I304" s="8">
        <v>1958.0</v>
      </c>
      <c r="J304" s="9" t="s">
        <v>806</v>
      </c>
      <c r="K304" s="9"/>
      <c r="L304" s="9"/>
      <c r="M304" s="9" t="s">
        <v>827</v>
      </c>
      <c r="N304" s="9" t="s">
        <v>35</v>
      </c>
      <c r="O304" s="9" t="s">
        <v>828</v>
      </c>
      <c r="P304" s="9" t="s">
        <v>829</v>
      </c>
      <c r="Q304" s="8">
        <v>0.0</v>
      </c>
      <c r="R304" s="8">
        <v>0.0</v>
      </c>
      <c r="S304" s="8">
        <v>1.0</v>
      </c>
      <c r="T304" s="8">
        <v>0.0</v>
      </c>
      <c r="U304" s="8">
        <v>0.0</v>
      </c>
      <c r="V304" s="8">
        <v>0.0</v>
      </c>
      <c r="W304" s="8">
        <v>0.0</v>
      </c>
      <c r="X304" s="8">
        <v>0.0</v>
      </c>
      <c r="Y304" s="8">
        <v>0.0</v>
      </c>
      <c r="Z304" s="8">
        <v>0.0</v>
      </c>
      <c r="AA304" s="8">
        <v>0.0</v>
      </c>
      <c r="AB304" s="8">
        <v>0.0</v>
      </c>
      <c r="AC304" s="8">
        <v>0.0</v>
      </c>
      <c r="AD304" s="9" t="s">
        <v>38</v>
      </c>
      <c r="AE304" s="9" t="s">
        <v>39</v>
      </c>
      <c r="AF304" s="9" t="s">
        <v>40</v>
      </c>
    </row>
    <row r="305">
      <c r="A305" s="13" t="s">
        <v>794</v>
      </c>
      <c r="B305" s="8">
        <v>805.0</v>
      </c>
      <c r="C305" s="8">
        <v>1752608.0</v>
      </c>
      <c r="D305" s="8">
        <v>1757231.0</v>
      </c>
      <c r="E305" s="9" t="s">
        <v>804</v>
      </c>
      <c r="F305" s="9"/>
      <c r="G305" s="9" t="s">
        <v>805</v>
      </c>
      <c r="H305" s="9"/>
      <c r="I305" s="8">
        <v>1958.0</v>
      </c>
      <c r="J305" s="9" t="s">
        <v>806</v>
      </c>
      <c r="K305" s="9"/>
      <c r="L305" s="9"/>
      <c r="M305" s="9" t="s">
        <v>830</v>
      </c>
      <c r="N305" s="9" t="s">
        <v>35</v>
      </c>
      <c r="O305" s="9" t="s">
        <v>831</v>
      </c>
      <c r="P305" s="9" t="s">
        <v>832</v>
      </c>
      <c r="Q305" s="8">
        <v>0.0</v>
      </c>
      <c r="R305" s="8">
        <v>0.0</v>
      </c>
      <c r="S305" s="8">
        <v>0.0</v>
      </c>
      <c r="T305" s="8">
        <v>0.0</v>
      </c>
      <c r="U305" s="8">
        <v>0.0</v>
      </c>
      <c r="V305" s="8">
        <v>0.0</v>
      </c>
      <c r="W305" s="8">
        <v>0.0</v>
      </c>
      <c r="X305" s="8">
        <v>0.0</v>
      </c>
      <c r="Y305" s="8">
        <v>1.0</v>
      </c>
      <c r="Z305" s="8">
        <v>0.0</v>
      </c>
      <c r="AA305" s="8">
        <v>0.0</v>
      </c>
      <c r="AB305" s="8">
        <v>0.0</v>
      </c>
      <c r="AC305" s="8">
        <v>0.0</v>
      </c>
      <c r="AD305" s="9" t="s">
        <v>92</v>
      </c>
      <c r="AE305" s="9" t="s">
        <v>39</v>
      </c>
      <c r="AF305" s="9" t="s">
        <v>40</v>
      </c>
    </row>
    <row r="306">
      <c r="A306" s="13" t="s">
        <v>794</v>
      </c>
      <c r="B306" s="8">
        <v>806.0</v>
      </c>
      <c r="C306" s="8">
        <v>1757231.0</v>
      </c>
      <c r="D306" s="8">
        <v>1761062.0</v>
      </c>
      <c r="E306" s="9" t="s">
        <v>804</v>
      </c>
      <c r="F306" s="9"/>
      <c r="G306" s="9" t="s">
        <v>805</v>
      </c>
      <c r="H306" s="9"/>
      <c r="I306" s="8">
        <v>1958.0</v>
      </c>
      <c r="J306" s="9" t="s">
        <v>806</v>
      </c>
      <c r="K306" s="9"/>
      <c r="L306" s="9"/>
      <c r="M306" s="9"/>
      <c r="N306" s="9" t="s">
        <v>45</v>
      </c>
      <c r="O306" s="9" t="s">
        <v>833</v>
      </c>
      <c r="P306" s="9" t="s">
        <v>834</v>
      </c>
      <c r="Q306" s="8">
        <v>0.0</v>
      </c>
      <c r="R306" s="8">
        <v>0.0</v>
      </c>
      <c r="S306" s="8">
        <v>0.0</v>
      </c>
      <c r="T306" s="8">
        <v>0.0</v>
      </c>
      <c r="U306" s="8">
        <v>0.0</v>
      </c>
      <c r="V306" s="8">
        <v>0.0</v>
      </c>
      <c r="W306" s="8">
        <v>0.0</v>
      </c>
      <c r="X306" s="8">
        <v>0.0</v>
      </c>
      <c r="Y306" s="8">
        <v>1.0</v>
      </c>
      <c r="Z306" s="8">
        <v>0.0</v>
      </c>
      <c r="AA306" s="8">
        <v>0.0</v>
      </c>
      <c r="AB306" s="8">
        <v>0.0</v>
      </c>
      <c r="AC306" s="8">
        <v>0.0</v>
      </c>
      <c r="AD306" s="9" t="s">
        <v>92</v>
      </c>
      <c r="AE306" s="9" t="s">
        <v>39</v>
      </c>
      <c r="AF306" s="9" t="s">
        <v>40</v>
      </c>
    </row>
    <row r="307">
      <c r="A307" s="13" t="s">
        <v>794</v>
      </c>
      <c r="B307" s="8">
        <v>810.0</v>
      </c>
      <c r="C307" s="8">
        <v>1780266.0</v>
      </c>
      <c r="D307" s="8">
        <v>1787745.0</v>
      </c>
      <c r="E307" s="9" t="s">
        <v>804</v>
      </c>
      <c r="F307" s="9"/>
      <c r="G307" s="9" t="s">
        <v>805</v>
      </c>
      <c r="H307" s="9"/>
      <c r="I307" s="8">
        <v>1958.0</v>
      </c>
      <c r="J307" s="9" t="s">
        <v>806</v>
      </c>
      <c r="K307" s="9"/>
      <c r="L307" s="9"/>
      <c r="M307" s="9" t="s">
        <v>835</v>
      </c>
      <c r="N307" s="9" t="s">
        <v>35</v>
      </c>
      <c r="O307" s="9" t="s">
        <v>836</v>
      </c>
      <c r="P307" s="10" t="s">
        <v>837</v>
      </c>
      <c r="Q307" s="8">
        <v>0.0</v>
      </c>
      <c r="R307" s="8">
        <v>0.0</v>
      </c>
      <c r="S307" s="8">
        <v>0.0</v>
      </c>
      <c r="T307" s="8">
        <v>0.0</v>
      </c>
      <c r="U307" s="8">
        <v>0.0</v>
      </c>
      <c r="V307" s="11">
        <v>0.0</v>
      </c>
      <c r="W307" s="11">
        <v>1.0</v>
      </c>
      <c r="X307" s="11">
        <v>0.0</v>
      </c>
      <c r="Y307" s="8">
        <v>0.0</v>
      </c>
      <c r="Z307" s="8">
        <v>0.0</v>
      </c>
      <c r="AA307" s="8">
        <v>0.0</v>
      </c>
      <c r="AB307" s="8">
        <v>0.0</v>
      </c>
      <c r="AC307" s="8">
        <v>0.0</v>
      </c>
      <c r="AD307" s="9" t="s">
        <v>38</v>
      </c>
      <c r="AE307" s="9" t="s">
        <v>39</v>
      </c>
      <c r="AF307" s="9" t="s">
        <v>40</v>
      </c>
    </row>
    <row r="308">
      <c r="A308" s="13" t="s">
        <v>794</v>
      </c>
      <c r="B308" s="8">
        <v>875.0</v>
      </c>
      <c r="C308" s="8">
        <v>2183800.0</v>
      </c>
      <c r="D308" s="8">
        <v>2190517.0</v>
      </c>
      <c r="E308" s="9" t="s">
        <v>804</v>
      </c>
      <c r="F308" s="9"/>
      <c r="G308" s="9" t="s">
        <v>805</v>
      </c>
      <c r="H308" s="9"/>
      <c r="I308" s="8">
        <v>1958.0</v>
      </c>
      <c r="J308" s="9" t="s">
        <v>806</v>
      </c>
      <c r="K308" s="9"/>
      <c r="L308" s="9"/>
      <c r="M308" s="9" t="s">
        <v>838</v>
      </c>
      <c r="N308" s="9" t="s">
        <v>35</v>
      </c>
      <c r="O308" s="9" t="s">
        <v>839</v>
      </c>
      <c r="P308" s="9" t="s">
        <v>840</v>
      </c>
      <c r="Q308" s="8">
        <v>0.0</v>
      </c>
      <c r="R308" s="8">
        <v>0.0</v>
      </c>
      <c r="S308" s="8">
        <v>0.0</v>
      </c>
      <c r="T308" s="8">
        <v>1.0</v>
      </c>
      <c r="U308" s="8">
        <v>0.0</v>
      </c>
      <c r="V308" s="8">
        <v>0.0</v>
      </c>
      <c r="W308" s="8">
        <v>0.0</v>
      </c>
      <c r="X308" s="8">
        <v>0.0</v>
      </c>
      <c r="Y308" s="8">
        <v>0.0</v>
      </c>
      <c r="Z308" s="8">
        <v>0.0</v>
      </c>
      <c r="AA308" s="8">
        <v>0.0</v>
      </c>
      <c r="AB308" s="8">
        <v>0.0</v>
      </c>
      <c r="AC308" s="8">
        <v>0.0</v>
      </c>
      <c r="AD308" s="9" t="s">
        <v>38</v>
      </c>
      <c r="AE308" s="9" t="s">
        <v>39</v>
      </c>
      <c r="AF308" s="9" t="s">
        <v>40</v>
      </c>
    </row>
    <row r="309">
      <c r="A309" s="13" t="s">
        <v>794</v>
      </c>
      <c r="B309" s="8">
        <v>908.0</v>
      </c>
      <c r="C309" s="8">
        <v>2356808.0</v>
      </c>
      <c r="D309" s="8">
        <v>2363063.0</v>
      </c>
      <c r="E309" s="9" t="s">
        <v>804</v>
      </c>
      <c r="F309" s="9"/>
      <c r="G309" s="9" t="s">
        <v>805</v>
      </c>
      <c r="H309" s="9"/>
      <c r="I309" s="8">
        <v>1958.0</v>
      </c>
      <c r="J309" s="9" t="s">
        <v>806</v>
      </c>
      <c r="K309" s="9"/>
      <c r="L309" s="9"/>
      <c r="M309" s="9" t="s">
        <v>841</v>
      </c>
      <c r="N309" s="9" t="s">
        <v>35</v>
      </c>
      <c r="O309" s="9" t="s">
        <v>842</v>
      </c>
      <c r="P309" s="9" t="s">
        <v>843</v>
      </c>
      <c r="Q309" s="8">
        <v>1.0</v>
      </c>
      <c r="R309" s="8">
        <v>0.0</v>
      </c>
      <c r="S309" s="8">
        <v>0.0</v>
      </c>
      <c r="T309" s="8">
        <v>0.0</v>
      </c>
      <c r="U309" s="8">
        <v>0.0</v>
      </c>
      <c r="V309" s="8">
        <v>0.0</v>
      </c>
      <c r="W309" s="8">
        <v>0.0</v>
      </c>
      <c r="X309" s="8">
        <v>0.0</v>
      </c>
      <c r="Y309" s="8">
        <v>0.0</v>
      </c>
      <c r="Z309" s="8">
        <v>0.0</v>
      </c>
      <c r="AA309" s="8">
        <v>0.0</v>
      </c>
      <c r="AB309" s="8">
        <v>0.0</v>
      </c>
      <c r="AC309" s="8">
        <v>0.0</v>
      </c>
      <c r="AD309" s="9" t="s">
        <v>38</v>
      </c>
      <c r="AE309" s="9" t="s">
        <v>39</v>
      </c>
      <c r="AF309" s="9" t="s">
        <v>40</v>
      </c>
    </row>
    <row r="310">
      <c r="A310" s="13" t="s">
        <v>794</v>
      </c>
      <c r="B310" s="8">
        <v>921.0</v>
      </c>
      <c r="C310" s="8">
        <v>2431576.0</v>
      </c>
      <c r="D310" s="8">
        <v>2437536.0</v>
      </c>
      <c r="E310" s="9" t="s">
        <v>804</v>
      </c>
      <c r="F310" s="9"/>
      <c r="G310" s="9" t="s">
        <v>805</v>
      </c>
      <c r="H310" s="9"/>
      <c r="I310" s="8">
        <v>1958.0</v>
      </c>
      <c r="J310" s="9" t="s">
        <v>806</v>
      </c>
      <c r="K310" s="9"/>
      <c r="L310" s="9"/>
      <c r="M310" s="9" t="s">
        <v>844</v>
      </c>
      <c r="N310" s="9" t="s">
        <v>35</v>
      </c>
      <c r="O310" s="9" t="s">
        <v>845</v>
      </c>
      <c r="P310" s="9" t="s">
        <v>846</v>
      </c>
      <c r="Q310" s="8">
        <v>1.0</v>
      </c>
      <c r="R310" s="8">
        <v>0.0</v>
      </c>
      <c r="S310" s="8">
        <v>0.0</v>
      </c>
      <c r="T310" s="8">
        <v>0.0</v>
      </c>
      <c r="U310" s="8">
        <v>0.0</v>
      </c>
      <c r="V310" s="8">
        <v>0.0</v>
      </c>
      <c r="W310" s="8">
        <v>0.0</v>
      </c>
      <c r="X310" s="8">
        <v>0.0</v>
      </c>
      <c r="Y310" s="8">
        <v>0.0</v>
      </c>
      <c r="Z310" s="8">
        <v>0.0</v>
      </c>
      <c r="AA310" s="8">
        <v>0.0</v>
      </c>
      <c r="AB310" s="8">
        <v>0.0</v>
      </c>
      <c r="AC310" s="8">
        <v>0.0</v>
      </c>
      <c r="AD310" s="10" t="s">
        <v>44</v>
      </c>
      <c r="AE310" s="9" t="s">
        <v>40</v>
      </c>
      <c r="AF310" s="9" t="s">
        <v>40</v>
      </c>
    </row>
    <row r="311">
      <c r="A311" s="13" t="s">
        <v>794</v>
      </c>
      <c r="B311" s="8">
        <v>957.0</v>
      </c>
      <c r="C311" s="8">
        <v>2676094.0</v>
      </c>
      <c r="D311" s="8">
        <v>2687735.0</v>
      </c>
      <c r="E311" s="9" t="s">
        <v>804</v>
      </c>
      <c r="F311" s="9"/>
      <c r="G311" s="9" t="s">
        <v>805</v>
      </c>
      <c r="H311" s="9"/>
      <c r="I311" s="8">
        <v>1958.0</v>
      </c>
      <c r="J311" s="9" t="s">
        <v>806</v>
      </c>
      <c r="K311" s="9"/>
      <c r="L311" s="9"/>
      <c r="M311" s="9" t="s">
        <v>847</v>
      </c>
      <c r="N311" s="9" t="s">
        <v>35</v>
      </c>
      <c r="O311" s="9" t="s">
        <v>848</v>
      </c>
      <c r="P311" s="9" t="s">
        <v>37</v>
      </c>
      <c r="Q311" s="8">
        <v>0.0</v>
      </c>
      <c r="R311" s="8">
        <v>1.0</v>
      </c>
      <c r="S311" s="8">
        <v>0.0</v>
      </c>
      <c r="T311" s="8">
        <v>0.0</v>
      </c>
      <c r="U311" s="8">
        <v>0.0</v>
      </c>
      <c r="V311" s="8">
        <v>0.0</v>
      </c>
      <c r="W311" s="8">
        <v>0.0</v>
      </c>
      <c r="X311" s="8">
        <v>0.0</v>
      </c>
      <c r="Y311" s="8">
        <v>0.0</v>
      </c>
      <c r="Z311" s="8">
        <v>0.0</v>
      </c>
      <c r="AA311" s="8">
        <v>0.0</v>
      </c>
      <c r="AB311" s="8">
        <v>0.0</v>
      </c>
      <c r="AC311" s="8">
        <v>0.0</v>
      </c>
      <c r="AD311" s="9" t="s">
        <v>38</v>
      </c>
      <c r="AE311" s="9" t="s">
        <v>39</v>
      </c>
      <c r="AF311" s="9" t="s">
        <v>40</v>
      </c>
    </row>
    <row r="312">
      <c r="A312" s="13" t="s">
        <v>794</v>
      </c>
      <c r="B312" s="8">
        <v>991.0</v>
      </c>
      <c r="C312" s="8">
        <v>2893847.0</v>
      </c>
      <c r="D312" s="8">
        <v>2896173.0</v>
      </c>
      <c r="E312" s="9" t="s">
        <v>804</v>
      </c>
      <c r="F312" s="9"/>
      <c r="G312" s="9" t="s">
        <v>805</v>
      </c>
      <c r="H312" s="9"/>
      <c r="I312" s="8">
        <v>1958.0</v>
      </c>
      <c r="J312" s="9" t="s">
        <v>806</v>
      </c>
      <c r="K312" s="9"/>
      <c r="L312" s="9"/>
      <c r="M312" s="9"/>
      <c r="N312" s="9" t="s">
        <v>45</v>
      </c>
      <c r="O312" s="9" t="s">
        <v>849</v>
      </c>
      <c r="P312" s="9" t="s">
        <v>843</v>
      </c>
      <c r="Q312" s="8">
        <v>1.0</v>
      </c>
      <c r="R312" s="8">
        <v>0.0</v>
      </c>
      <c r="S312" s="8">
        <v>0.0</v>
      </c>
      <c r="T312" s="8">
        <v>0.0</v>
      </c>
      <c r="U312" s="8">
        <v>0.0</v>
      </c>
      <c r="V312" s="8">
        <v>0.0</v>
      </c>
      <c r="W312" s="8">
        <v>0.0</v>
      </c>
      <c r="X312" s="8">
        <v>0.0</v>
      </c>
      <c r="Y312" s="8">
        <v>0.0</v>
      </c>
      <c r="Z312" s="8">
        <v>0.0</v>
      </c>
      <c r="AA312" s="8">
        <v>0.0</v>
      </c>
      <c r="AB312" s="8">
        <v>0.0</v>
      </c>
      <c r="AC312" s="8">
        <v>0.0</v>
      </c>
      <c r="AD312" s="9" t="s">
        <v>38</v>
      </c>
      <c r="AE312" s="9" t="s">
        <v>39</v>
      </c>
      <c r="AF312" s="9" t="s">
        <v>40</v>
      </c>
    </row>
    <row r="313">
      <c r="A313" s="13" t="s">
        <v>794</v>
      </c>
      <c r="B313" s="8">
        <v>992.0</v>
      </c>
      <c r="C313" s="8">
        <v>2896173.0</v>
      </c>
      <c r="D313" s="8">
        <v>2907644.0</v>
      </c>
      <c r="E313" s="9" t="s">
        <v>804</v>
      </c>
      <c r="F313" s="9"/>
      <c r="G313" s="9" t="s">
        <v>805</v>
      </c>
      <c r="H313" s="9"/>
      <c r="I313" s="8">
        <v>1958.0</v>
      </c>
      <c r="J313" s="9" t="s">
        <v>806</v>
      </c>
      <c r="K313" s="9"/>
      <c r="L313" s="9"/>
      <c r="M313" s="9" t="s">
        <v>850</v>
      </c>
      <c r="N313" s="9" t="s">
        <v>35</v>
      </c>
      <c r="O313" s="9" t="s">
        <v>851</v>
      </c>
      <c r="P313" s="9" t="s">
        <v>852</v>
      </c>
      <c r="Q313" s="8">
        <v>0.0</v>
      </c>
      <c r="R313" s="8">
        <v>0.0</v>
      </c>
      <c r="S313" s="8">
        <v>0.0</v>
      </c>
      <c r="T313" s="8">
        <v>0.0</v>
      </c>
      <c r="U313" s="8">
        <v>0.0</v>
      </c>
      <c r="V313" s="8">
        <v>0.0</v>
      </c>
      <c r="W313" s="8">
        <v>0.0</v>
      </c>
      <c r="X313" s="8">
        <v>0.0</v>
      </c>
      <c r="Y313" s="8">
        <v>0.0</v>
      </c>
      <c r="Z313" s="8">
        <v>1.0</v>
      </c>
      <c r="AA313" s="8">
        <v>0.0</v>
      </c>
      <c r="AB313" s="8">
        <v>0.0</v>
      </c>
      <c r="AC313" s="8">
        <v>0.0</v>
      </c>
      <c r="AD313" s="10" t="s">
        <v>44</v>
      </c>
      <c r="AE313" s="9" t="s">
        <v>40</v>
      </c>
      <c r="AF313" s="9" t="s">
        <v>40</v>
      </c>
    </row>
    <row r="314">
      <c r="A314" s="13" t="s">
        <v>794</v>
      </c>
      <c r="B314" s="8">
        <v>1048.0</v>
      </c>
      <c r="C314" s="8">
        <v>3209383.0</v>
      </c>
      <c r="D314" s="8">
        <v>3215494.0</v>
      </c>
      <c r="E314" s="9" t="s">
        <v>804</v>
      </c>
      <c r="F314" s="9"/>
      <c r="G314" s="9" t="s">
        <v>805</v>
      </c>
      <c r="H314" s="9"/>
      <c r="I314" s="8">
        <v>1958.0</v>
      </c>
      <c r="J314" s="9" t="s">
        <v>806</v>
      </c>
      <c r="K314" s="9"/>
      <c r="L314" s="9"/>
      <c r="M314" s="9" t="s">
        <v>853</v>
      </c>
      <c r="N314" s="9" t="s">
        <v>35</v>
      </c>
      <c r="O314" s="9" t="s">
        <v>854</v>
      </c>
      <c r="P314" s="9" t="s">
        <v>855</v>
      </c>
      <c r="Q314" s="8">
        <v>0.0</v>
      </c>
      <c r="R314" s="8">
        <v>0.0</v>
      </c>
      <c r="S314" s="8">
        <v>0.0</v>
      </c>
      <c r="T314" s="8">
        <v>0.0</v>
      </c>
      <c r="U314" s="8">
        <v>0.0</v>
      </c>
      <c r="V314" s="8">
        <v>0.0</v>
      </c>
      <c r="W314" s="8">
        <v>0.0</v>
      </c>
      <c r="X314" s="8">
        <v>0.0</v>
      </c>
      <c r="Y314" s="8">
        <v>1.0</v>
      </c>
      <c r="Z314" s="8">
        <v>0.0</v>
      </c>
      <c r="AA314" s="8">
        <v>0.0</v>
      </c>
      <c r="AB314" s="8">
        <v>0.0</v>
      </c>
      <c r="AC314" s="8">
        <v>0.0</v>
      </c>
      <c r="AD314" s="9" t="s">
        <v>92</v>
      </c>
      <c r="AE314" s="9" t="s">
        <v>39</v>
      </c>
      <c r="AF314" s="9" t="s">
        <v>40</v>
      </c>
    </row>
    <row r="315">
      <c r="A315" s="13" t="s">
        <v>794</v>
      </c>
      <c r="B315" s="8">
        <v>1070.0</v>
      </c>
      <c r="C315" s="8">
        <v>3336590.0</v>
      </c>
      <c r="D315" s="8">
        <v>3342269.0</v>
      </c>
      <c r="E315" s="9" t="s">
        <v>804</v>
      </c>
      <c r="F315" s="9"/>
      <c r="G315" s="9" t="s">
        <v>805</v>
      </c>
      <c r="H315" s="9"/>
      <c r="I315" s="8">
        <v>1958.0</v>
      </c>
      <c r="J315" s="9" t="s">
        <v>806</v>
      </c>
      <c r="K315" s="9"/>
      <c r="L315" s="9"/>
      <c r="M315" s="9" t="s">
        <v>856</v>
      </c>
      <c r="N315" s="9" t="s">
        <v>35</v>
      </c>
      <c r="O315" s="9" t="s">
        <v>857</v>
      </c>
      <c r="P315" s="9" t="s">
        <v>823</v>
      </c>
      <c r="Q315" s="8">
        <v>1.0</v>
      </c>
      <c r="R315" s="8">
        <v>0.0</v>
      </c>
      <c r="S315" s="8">
        <v>0.0</v>
      </c>
      <c r="T315" s="8">
        <v>0.0</v>
      </c>
      <c r="U315" s="8">
        <v>0.0</v>
      </c>
      <c r="V315" s="8">
        <v>0.0</v>
      </c>
      <c r="W315" s="8">
        <v>0.0</v>
      </c>
      <c r="X315" s="8">
        <v>0.0</v>
      </c>
      <c r="Y315" s="8">
        <v>0.0</v>
      </c>
      <c r="Z315" s="8">
        <v>0.0</v>
      </c>
      <c r="AA315" s="8">
        <v>0.0</v>
      </c>
      <c r="AB315" s="8">
        <v>0.0</v>
      </c>
      <c r="AC315" s="8">
        <v>0.0</v>
      </c>
      <c r="AD315" s="10" t="s">
        <v>44</v>
      </c>
      <c r="AE315" s="9" t="s">
        <v>40</v>
      </c>
      <c r="AF315" s="9" t="s">
        <v>40</v>
      </c>
    </row>
    <row r="316">
      <c r="A316" s="13" t="s">
        <v>794</v>
      </c>
      <c r="B316" s="8">
        <v>1146.0</v>
      </c>
      <c r="C316" s="8">
        <v>3906303.0</v>
      </c>
      <c r="D316" s="8">
        <v>3913119.0</v>
      </c>
      <c r="E316" s="9" t="s">
        <v>804</v>
      </c>
      <c r="F316" s="9"/>
      <c r="G316" s="9" t="s">
        <v>805</v>
      </c>
      <c r="H316" s="9"/>
      <c r="I316" s="8">
        <v>1958.0</v>
      </c>
      <c r="J316" s="9" t="s">
        <v>806</v>
      </c>
      <c r="K316" s="9"/>
      <c r="L316" s="9"/>
      <c r="M316" s="9" t="s">
        <v>858</v>
      </c>
      <c r="N316" s="9" t="s">
        <v>35</v>
      </c>
      <c r="O316" s="9" t="s">
        <v>859</v>
      </c>
      <c r="P316" s="9" t="s">
        <v>843</v>
      </c>
      <c r="Q316" s="8">
        <v>1.0</v>
      </c>
      <c r="R316" s="8">
        <v>0.0</v>
      </c>
      <c r="S316" s="8">
        <v>0.0</v>
      </c>
      <c r="T316" s="8">
        <v>0.0</v>
      </c>
      <c r="U316" s="8">
        <v>0.0</v>
      </c>
      <c r="V316" s="8">
        <v>0.0</v>
      </c>
      <c r="W316" s="8">
        <v>0.0</v>
      </c>
      <c r="X316" s="8">
        <v>0.0</v>
      </c>
      <c r="Y316" s="8">
        <v>0.0</v>
      </c>
      <c r="Z316" s="8">
        <v>0.0</v>
      </c>
      <c r="AA316" s="8">
        <v>0.0</v>
      </c>
      <c r="AB316" s="8">
        <v>0.0</v>
      </c>
      <c r="AC316" s="8">
        <v>0.0</v>
      </c>
      <c r="AD316" s="9" t="s">
        <v>38</v>
      </c>
      <c r="AE316" s="9" t="s">
        <v>39</v>
      </c>
      <c r="AF316" s="9" t="s">
        <v>40</v>
      </c>
    </row>
    <row r="317">
      <c r="A317" s="13" t="s">
        <v>794</v>
      </c>
      <c r="B317" s="8">
        <v>1205.0</v>
      </c>
      <c r="C317" s="8">
        <v>92448.0</v>
      </c>
      <c r="D317" s="8">
        <v>95932.0</v>
      </c>
      <c r="E317" s="9" t="s">
        <v>860</v>
      </c>
      <c r="F317" s="9"/>
      <c r="G317" s="9" t="s">
        <v>861</v>
      </c>
      <c r="H317" s="9"/>
      <c r="I317" s="8">
        <v>1949.0</v>
      </c>
      <c r="J317" s="9" t="s">
        <v>797</v>
      </c>
      <c r="K317" s="9"/>
      <c r="L317" s="9"/>
      <c r="M317" s="9" t="s">
        <v>862</v>
      </c>
      <c r="N317" s="9" t="s">
        <v>35</v>
      </c>
      <c r="O317" s="9" t="s">
        <v>863</v>
      </c>
      <c r="P317" s="9" t="s">
        <v>408</v>
      </c>
      <c r="Q317" s="8">
        <v>1.0</v>
      </c>
      <c r="R317" s="8">
        <v>0.0</v>
      </c>
      <c r="S317" s="8">
        <v>0.0</v>
      </c>
      <c r="T317" s="8">
        <v>0.0</v>
      </c>
      <c r="U317" s="8">
        <v>0.0</v>
      </c>
      <c r="V317" s="8">
        <v>0.0</v>
      </c>
      <c r="W317" s="8">
        <v>0.0</v>
      </c>
      <c r="X317" s="8">
        <v>0.0</v>
      </c>
      <c r="Y317" s="8">
        <v>0.0</v>
      </c>
      <c r="Z317" s="8">
        <v>0.0</v>
      </c>
      <c r="AA317" s="8">
        <v>0.0</v>
      </c>
      <c r="AB317" s="8">
        <v>0.0</v>
      </c>
      <c r="AC317" s="8">
        <v>0.0</v>
      </c>
      <c r="AD317" s="9" t="s">
        <v>38</v>
      </c>
      <c r="AE317" s="9" t="s">
        <v>39</v>
      </c>
      <c r="AF317" s="9" t="s">
        <v>40</v>
      </c>
    </row>
    <row r="318">
      <c r="A318" s="13" t="s">
        <v>794</v>
      </c>
      <c r="B318" s="8">
        <v>1510.0</v>
      </c>
      <c r="C318" s="8">
        <v>202765.0</v>
      </c>
      <c r="D318" s="8">
        <v>207225.0</v>
      </c>
      <c r="E318" s="9" t="s">
        <v>864</v>
      </c>
      <c r="F318" s="9"/>
      <c r="G318" s="9" t="s">
        <v>865</v>
      </c>
      <c r="H318" s="9"/>
      <c r="I318" s="8">
        <v>1949.0</v>
      </c>
      <c r="J318" s="9" t="s">
        <v>797</v>
      </c>
      <c r="K318" s="9"/>
      <c r="L318" s="9"/>
      <c r="M318" s="9" t="s">
        <v>866</v>
      </c>
      <c r="N318" s="9" t="s">
        <v>35</v>
      </c>
      <c r="O318" s="9" t="s">
        <v>867</v>
      </c>
      <c r="P318" s="9" t="s">
        <v>868</v>
      </c>
      <c r="Q318" s="8">
        <v>0.0</v>
      </c>
      <c r="R318" s="8">
        <v>0.0</v>
      </c>
      <c r="S318" s="8">
        <v>0.0</v>
      </c>
      <c r="T318" s="8">
        <v>0.0</v>
      </c>
      <c r="U318" s="8">
        <v>0.0</v>
      </c>
      <c r="V318" s="8">
        <v>0.0</v>
      </c>
      <c r="W318" s="11">
        <v>0.0</v>
      </c>
      <c r="X318" s="8">
        <v>0.0</v>
      </c>
      <c r="Y318" s="8">
        <v>0.0</v>
      </c>
      <c r="Z318" s="11">
        <v>1.0</v>
      </c>
      <c r="AA318" s="11">
        <v>0.0</v>
      </c>
      <c r="AB318" s="8">
        <v>0.0</v>
      </c>
      <c r="AC318" s="8">
        <v>0.0</v>
      </c>
      <c r="AD318" s="10" t="s">
        <v>44</v>
      </c>
      <c r="AE318" s="10" t="s">
        <v>40</v>
      </c>
      <c r="AF318" s="9" t="s">
        <v>40</v>
      </c>
    </row>
    <row r="319">
      <c r="A319" s="13" t="s">
        <v>794</v>
      </c>
      <c r="B319" s="8">
        <v>1527.0</v>
      </c>
      <c r="C319" s="8">
        <v>266015.0</v>
      </c>
      <c r="D319" s="8">
        <v>268685.0</v>
      </c>
      <c r="E319" s="9" t="s">
        <v>864</v>
      </c>
      <c r="F319" s="9"/>
      <c r="G319" s="9" t="s">
        <v>865</v>
      </c>
      <c r="H319" s="9"/>
      <c r="I319" s="8">
        <v>1949.0</v>
      </c>
      <c r="J319" s="9" t="s">
        <v>797</v>
      </c>
      <c r="K319" s="9"/>
      <c r="L319" s="9"/>
      <c r="M319" s="9" t="s">
        <v>869</v>
      </c>
      <c r="N319" s="9" t="s">
        <v>35</v>
      </c>
      <c r="O319" s="9" t="s">
        <v>870</v>
      </c>
      <c r="P319" s="9" t="s">
        <v>871</v>
      </c>
      <c r="Q319" s="8">
        <v>0.0</v>
      </c>
      <c r="R319" s="8">
        <v>0.0</v>
      </c>
      <c r="S319" s="8">
        <v>0.0</v>
      </c>
      <c r="T319" s="8">
        <v>0.0</v>
      </c>
      <c r="U319" s="8">
        <v>0.0</v>
      </c>
      <c r="V319" s="8">
        <v>0.0</v>
      </c>
      <c r="W319" s="8">
        <v>0.0</v>
      </c>
      <c r="X319" s="8">
        <v>0.0</v>
      </c>
      <c r="Y319" s="8">
        <v>0.0</v>
      </c>
      <c r="Z319" s="8">
        <v>1.0</v>
      </c>
      <c r="AA319" s="8">
        <v>0.0</v>
      </c>
      <c r="AB319" s="8">
        <v>0.0</v>
      </c>
      <c r="AC319" s="8">
        <v>0.0</v>
      </c>
      <c r="AD319" s="9" t="s">
        <v>38</v>
      </c>
      <c r="AE319" s="9" t="s">
        <v>39</v>
      </c>
      <c r="AF319" s="9" t="s">
        <v>40</v>
      </c>
    </row>
    <row r="320">
      <c r="A320" s="13" t="s">
        <v>794</v>
      </c>
      <c r="B320" s="8">
        <v>1601.0</v>
      </c>
      <c r="C320" s="8">
        <v>587504.0</v>
      </c>
      <c r="D320" s="8">
        <v>592375.0</v>
      </c>
      <c r="E320" s="9" t="s">
        <v>864</v>
      </c>
      <c r="F320" s="9"/>
      <c r="G320" s="9" t="s">
        <v>865</v>
      </c>
      <c r="H320" s="9"/>
      <c r="I320" s="8">
        <v>1949.0</v>
      </c>
      <c r="J320" s="9" t="s">
        <v>797</v>
      </c>
      <c r="K320" s="9"/>
      <c r="L320" s="9"/>
      <c r="M320" s="9"/>
      <c r="N320" s="9" t="s">
        <v>35</v>
      </c>
      <c r="O320" s="9" t="s">
        <v>872</v>
      </c>
      <c r="P320" s="9" t="s">
        <v>121</v>
      </c>
      <c r="Q320" s="8">
        <v>0.0</v>
      </c>
      <c r="R320" s="8">
        <v>0.0</v>
      </c>
      <c r="S320" s="8">
        <v>0.0</v>
      </c>
      <c r="T320" s="8">
        <v>0.0</v>
      </c>
      <c r="U320" s="8">
        <v>0.0</v>
      </c>
      <c r="V320" s="8">
        <v>0.0</v>
      </c>
      <c r="W320" s="8">
        <v>0.0</v>
      </c>
      <c r="X320" s="8">
        <v>0.0</v>
      </c>
      <c r="Y320" s="8">
        <v>0.0</v>
      </c>
      <c r="Z320" s="8">
        <v>1.0</v>
      </c>
      <c r="AA320" s="8">
        <v>0.0</v>
      </c>
      <c r="AB320" s="8">
        <v>0.0</v>
      </c>
      <c r="AC320" s="8">
        <v>0.0</v>
      </c>
      <c r="AD320" s="9" t="s">
        <v>38</v>
      </c>
      <c r="AE320" s="9" t="s">
        <v>39</v>
      </c>
      <c r="AF320" s="9" t="s">
        <v>40</v>
      </c>
    </row>
    <row r="321">
      <c r="A321" s="13" t="s">
        <v>794</v>
      </c>
      <c r="B321" s="8">
        <v>1612.0</v>
      </c>
      <c r="C321" s="8">
        <v>644079.0</v>
      </c>
      <c r="D321" s="8">
        <v>648054.0</v>
      </c>
      <c r="E321" s="9" t="s">
        <v>864</v>
      </c>
      <c r="F321" s="9"/>
      <c r="G321" s="9" t="s">
        <v>865</v>
      </c>
      <c r="H321" s="9"/>
      <c r="I321" s="8">
        <v>1949.0</v>
      </c>
      <c r="J321" s="9" t="s">
        <v>797</v>
      </c>
      <c r="K321" s="9"/>
      <c r="L321" s="9"/>
      <c r="M321" s="9" t="s">
        <v>873</v>
      </c>
      <c r="N321" s="9" t="s">
        <v>35</v>
      </c>
      <c r="O321" s="9" t="s">
        <v>874</v>
      </c>
      <c r="P321" s="9" t="s">
        <v>875</v>
      </c>
      <c r="Q321" s="8">
        <v>1.0</v>
      </c>
      <c r="R321" s="8">
        <v>0.0</v>
      </c>
      <c r="S321" s="8">
        <v>0.0</v>
      </c>
      <c r="T321" s="8">
        <v>0.0</v>
      </c>
      <c r="U321" s="8">
        <v>0.0</v>
      </c>
      <c r="V321" s="8">
        <v>0.0</v>
      </c>
      <c r="W321" s="8">
        <v>0.0</v>
      </c>
      <c r="X321" s="8">
        <v>0.0</v>
      </c>
      <c r="Y321" s="8">
        <v>0.0</v>
      </c>
      <c r="Z321" s="8">
        <v>0.0</v>
      </c>
      <c r="AA321" s="8">
        <v>0.0</v>
      </c>
      <c r="AB321" s="8">
        <v>0.0</v>
      </c>
      <c r="AC321" s="8">
        <v>0.0</v>
      </c>
      <c r="AD321" s="10" t="s">
        <v>44</v>
      </c>
      <c r="AE321" s="9" t="s">
        <v>40</v>
      </c>
      <c r="AF321" s="9" t="s">
        <v>40</v>
      </c>
    </row>
    <row r="322">
      <c r="A322" s="13" t="s">
        <v>794</v>
      </c>
      <c r="B322" s="8">
        <v>1680.0</v>
      </c>
      <c r="C322" s="8">
        <v>938913.0</v>
      </c>
      <c r="D322" s="8">
        <v>944591.0</v>
      </c>
      <c r="E322" s="9" t="s">
        <v>864</v>
      </c>
      <c r="F322" s="9"/>
      <c r="G322" s="9" t="s">
        <v>865</v>
      </c>
      <c r="H322" s="9"/>
      <c r="I322" s="8">
        <v>1949.0</v>
      </c>
      <c r="J322" s="9" t="s">
        <v>797</v>
      </c>
      <c r="K322" s="9"/>
      <c r="L322" s="9"/>
      <c r="M322" s="9" t="s">
        <v>876</v>
      </c>
      <c r="N322" s="9" t="s">
        <v>35</v>
      </c>
      <c r="O322" s="9" t="s">
        <v>877</v>
      </c>
      <c r="P322" s="9" t="s">
        <v>878</v>
      </c>
      <c r="Q322" s="8">
        <v>1.0</v>
      </c>
      <c r="R322" s="8">
        <v>0.0</v>
      </c>
      <c r="S322" s="8">
        <v>0.0</v>
      </c>
      <c r="T322" s="8">
        <v>0.0</v>
      </c>
      <c r="U322" s="8">
        <v>0.0</v>
      </c>
      <c r="V322" s="8">
        <v>0.0</v>
      </c>
      <c r="W322" s="8">
        <v>0.0</v>
      </c>
      <c r="X322" s="8">
        <v>0.0</v>
      </c>
      <c r="Y322" s="8">
        <v>0.0</v>
      </c>
      <c r="Z322" s="8">
        <v>0.0</v>
      </c>
      <c r="AA322" s="8">
        <v>0.0</v>
      </c>
      <c r="AB322" s="8">
        <v>0.0</v>
      </c>
      <c r="AC322" s="8">
        <v>0.0</v>
      </c>
      <c r="AD322" s="9" t="s">
        <v>38</v>
      </c>
      <c r="AE322" s="9" t="s">
        <v>39</v>
      </c>
      <c r="AF322" s="9" t="s">
        <v>40</v>
      </c>
    </row>
    <row r="323">
      <c r="A323" s="13" t="s">
        <v>794</v>
      </c>
      <c r="B323" s="8">
        <v>1747.0</v>
      </c>
      <c r="C323" s="8">
        <v>152395.0</v>
      </c>
      <c r="D323" s="8">
        <v>155655.0</v>
      </c>
      <c r="E323" s="9" t="s">
        <v>879</v>
      </c>
      <c r="F323" s="9"/>
      <c r="G323" s="9" t="s">
        <v>880</v>
      </c>
      <c r="H323" s="9"/>
      <c r="I323" s="8">
        <v>1933.0</v>
      </c>
      <c r="J323" s="9" t="s">
        <v>881</v>
      </c>
      <c r="K323" s="9"/>
      <c r="L323" s="9"/>
      <c r="M323" s="9" t="s">
        <v>882</v>
      </c>
      <c r="N323" s="9" t="s">
        <v>35</v>
      </c>
      <c r="O323" s="9" t="s">
        <v>450</v>
      </c>
      <c r="P323" s="9" t="s">
        <v>37</v>
      </c>
      <c r="Q323" s="8">
        <v>0.0</v>
      </c>
      <c r="R323" s="8">
        <v>1.0</v>
      </c>
      <c r="S323" s="8">
        <v>0.0</v>
      </c>
      <c r="T323" s="8">
        <v>0.0</v>
      </c>
      <c r="U323" s="8">
        <v>0.0</v>
      </c>
      <c r="V323" s="8">
        <v>0.0</v>
      </c>
      <c r="W323" s="8">
        <v>0.0</v>
      </c>
      <c r="X323" s="8">
        <v>0.0</v>
      </c>
      <c r="Y323" s="8">
        <v>0.0</v>
      </c>
      <c r="Z323" s="8">
        <v>0.0</v>
      </c>
      <c r="AA323" s="8">
        <v>0.0</v>
      </c>
      <c r="AB323" s="8">
        <v>0.0</v>
      </c>
      <c r="AC323" s="8">
        <v>0.0</v>
      </c>
      <c r="AD323" s="9" t="s">
        <v>38</v>
      </c>
      <c r="AE323" s="9" t="s">
        <v>39</v>
      </c>
      <c r="AF323" s="9" t="s">
        <v>40</v>
      </c>
    </row>
    <row r="324">
      <c r="A324" s="13" t="s">
        <v>794</v>
      </c>
      <c r="B324" s="8">
        <v>1748.0</v>
      </c>
      <c r="C324" s="8">
        <v>155895.0</v>
      </c>
      <c r="D324" s="8">
        <v>157015.0</v>
      </c>
      <c r="E324" s="9" t="s">
        <v>879</v>
      </c>
      <c r="F324" s="9"/>
      <c r="G324" s="9" t="s">
        <v>880</v>
      </c>
      <c r="H324" s="9"/>
      <c r="I324" s="8">
        <v>1933.0</v>
      </c>
      <c r="J324" s="9" t="s">
        <v>881</v>
      </c>
      <c r="K324" s="9"/>
      <c r="L324" s="9"/>
      <c r="M324" s="9"/>
      <c r="N324" s="9" t="s">
        <v>45</v>
      </c>
      <c r="O324" s="9" t="s">
        <v>883</v>
      </c>
      <c r="P324" s="9" t="s">
        <v>808</v>
      </c>
      <c r="Q324" s="8">
        <v>0.0</v>
      </c>
      <c r="R324" s="8">
        <v>1.0</v>
      </c>
      <c r="S324" s="8">
        <v>0.0</v>
      </c>
      <c r="T324" s="8">
        <v>0.0</v>
      </c>
      <c r="U324" s="8">
        <v>0.0</v>
      </c>
      <c r="V324" s="8">
        <v>0.0</v>
      </c>
      <c r="W324" s="8">
        <v>0.0</v>
      </c>
      <c r="X324" s="8">
        <v>0.0</v>
      </c>
      <c r="Y324" s="8">
        <v>0.0</v>
      </c>
      <c r="Z324" s="8">
        <v>0.0</v>
      </c>
      <c r="AA324" s="8">
        <v>0.0</v>
      </c>
      <c r="AB324" s="8">
        <v>0.0</v>
      </c>
      <c r="AC324" s="8">
        <v>0.0</v>
      </c>
      <c r="AD324" s="9" t="s">
        <v>38</v>
      </c>
      <c r="AE324" s="9" t="s">
        <v>39</v>
      </c>
      <c r="AF324" s="9" t="s">
        <v>40</v>
      </c>
    </row>
    <row r="325">
      <c r="A325" s="13" t="s">
        <v>794</v>
      </c>
      <c r="B325" s="8">
        <v>1823.0</v>
      </c>
      <c r="C325" s="8">
        <v>399220.0</v>
      </c>
      <c r="D325" s="8">
        <v>401930.0</v>
      </c>
      <c r="E325" s="9" t="s">
        <v>879</v>
      </c>
      <c r="F325" s="9"/>
      <c r="G325" s="9" t="s">
        <v>880</v>
      </c>
      <c r="H325" s="9"/>
      <c r="I325" s="8">
        <v>1933.0</v>
      </c>
      <c r="J325" s="9" t="s">
        <v>881</v>
      </c>
      <c r="K325" s="9"/>
      <c r="L325" s="9"/>
      <c r="M325" s="9"/>
      <c r="N325" s="9" t="s">
        <v>35</v>
      </c>
      <c r="O325" s="9" t="s">
        <v>884</v>
      </c>
      <c r="P325" s="9" t="s">
        <v>885</v>
      </c>
      <c r="Q325" s="8">
        <v>1.0</v>
      </c>
      <c r="R325" s="8">
        <v>0.0</v>
      </c>
      <c r="S325" s="8">
        <v>0.0</v>
      </c>
      <c r="T325" s="8">
        <v>0.0</v>
      </c>
      <c r="U325" s="8">
        <v>0.0</v>
      </c>
      <c r="V325" s="8">
        <v>0.0</v>
      </c>
      <c r="W325" s="8">
        <v>0.0</v>
      </c>
      <c r="X325" s="8">
        <v>0.0</v>
      </c>
      <c r="Y325" s="8">
        <v>0.0</v>
      </c>
      <c r="Z325" s="8">
        <v>0.0</v>
      </c>
      <c r="AA325" s="8">
        <v>0.0</v>
      </c>
      <c r="AB325" s="8">
        <v>0.0</v>
      </c>
      <c r="AC325" s="8">
        <v>0.0</v>
      </c>
      <c r="AD325" s="10" t="s">
        <v>44</v>
      </c>
      <c r="AE325" s="9" t="s">
        <v>40</v>
      </c>
      <c r="AF325" s="9" t="s">
        <v>40</v>
      </c>
    </row>
    <row r="326">
      <c r="A326" s="13" t="s">
        <v>794</v>
      </c>
      <c r="B326" s="8">
        <v>1851.0</v>
      </c>
      <c r="C326" s="8">
        <v>500685.0</v>
      </c>
      <c r="D326" s="8">
        <v>501775.0</v>
      </c>
      <c r="E326" s="9" t="s">
        <v>879</v>
      </c>
      <c r="F326" s="9"/>
      <c r="G326" s="9" t="s">
        <v>880</v>
      </c>
      <c r="H326" s="9"/>
      <c r="I326" s="8">
        <v>1933.0</v>
      </c>
      <c r="J326" s="9" t="s">
        <v>881</v>
      </c>
      <c r="K326" s="9"/>
      <c r="L326" s="9"/>
      <c r="M326" s="9"/>
      <c r="N326" s="9" t="s">
        <v>45</v>
      </c>
      <c r="O326" s="9" t="s">
        <v>886</v>
      </c>
      <c r="P326" s="9" t="s">
        <v>887</v>
      </c>
      <c r="Q326" s="8">
        <v>0.0</v>
      </c>
      <c r="R326" s="8">
        <v>0.0</v>
      </c>
      <c r="S326" s="8">
        <v>0.0</v>
      </c>
      <c r="T326" s="8">
        <v>0.0</v>
      </c>
      <c r="U326" s="8">
        <v>0.0</v>
      </c>
      <c r="V326" s="8">
        <v>0.0</v>
      </c>
      <c r="W326" s="8">
        <v>1.0</v>
      </c>
      <c r="X326" s="8">
        <v>0.0</v>
      </c>
      <c r="Y326" s="8">
        <v>0.0</v>
      </c>
      <c r="Z326" s="8">
        <v>0.0</v>
      </c>
      <c r="AA326" s="8">
        <v>0.0</v>
      </c>
      <c r="AB326" s="8">
        <v>0.0</v>
      </c>
      <c r="AC326" s="8">
        <v>0.0</v>
      </c>
      <c r="AD326" s="9" t="s">
        <v>38</v>
      </c>
      <c r="AE326" s="9" t="s">
        <v>39</v>
      </c>
      <c r="AF326" s="9" t="s">
        <v>40</v>
      </c>
    </row>
    <row r="327">
      <c r="A327" s="13" t="s">
        <v>794</v>
      </c>
      <c r="B327" s="8">
        <v>1867.0</v>
      </c>
      <c r="C327" s="8">
        <v>539540.0</v>
      </c>
      <c r="D327" s="8">
        <v>541515.0</v>
      </c>
      <c r="E327" s="9" t="s">
        <v>879</v>
      </c>
      <c r="F327" s="9"/>
      <c r="G327" s="9" t="s">
        <v>880</v>
      </c>
      <c r="H327" s="9"/>
      <c r="I327" s="8">
        <v>1933.0</v>
      </c>
      <c r="J327" s="9" t="s">
        <v>881</v>
      </c>
      <c r="K327" s="9"/>
      <c r="L327" s="9"/>
      <c r="M327" s="9"/>
      <c r="N327" s="9" t="s">
        <v>45</v>
      </c>
      <c r="O327" s="9" t="s">
        <v>888</v>
      </c>
      <c r="P327" s="9" t="s">
        <v>889</v>
      </c>
      <c r="Q327" s="8">
        <v>0.0</v>
      </c>
      <c r="R327" s="8">
        <v>0.0</v>
      </c>
      <c r="S327" s="8">
        <v>0.0</v>
      </c>
      <c r="T327" s="8">
        <v>0.0</v>
      </c>
      <c r="U327" s="8">
        <v>0.0</v>
      </c>
      <c r="V327" s="8">
        <v>0.0</v>
      </c>
      <c r="W327" s="8">
        <v>0.0</v>
      </c>
      <c r="X327" s="8">
        <v>1.0</v>
      </c>
      <c r="Y327" s="8">
        <v>0.0</v>
      </c>
      <c r="Z327" s="8">
        <v>0.0</v>
      </c>
      <c r="AA327" s="8">
        <v>0.0</v>
      </c>
      <c r="AB327" s="8">
        <v>0.0</v>
      </c>
      <c r="AC327" s="8">
        <v>0.0</v>
      </c>
      <c r="AD327" s="9" t="s">
        <v>38</v>
      </c>
      <c r="AE327" s="9" t="s">
        <v>39</v>
      </c>
      <c r="AF327" s="9" t="s">
        <v>40</v>
      </c>
    </row>
    <row r="328">
      <c r="A328" s="13" t="s">
        <v>794</v>
      </c>
      <c r="B328" s="8">
        <v>1874.0</v>
      </c>
      <c r="C328" s="8">
        <v>554580.0</v>
      </c>
      <c r="D328" s="8">
        <v>557440.0</v>
      </c>
      <c r="E328" s="9" t="s">
        <v>879</v>
      </c>
      <c r="F328" s="9"/>
      <c r="G328" s="9" t="s">
        <v>880</v>
      </c>
      <c r="H328" s="9"/>
      <c r="I328" s="8">
        <v>1933.0</v>
      </c>
      <c r="J328" s="9" t="s">
        <v>881</v>
      </c>
      <c r="K328" s="9"/>
      <c r="L328" s="9"/>
      <c r="M328" s="9" t="s">
        <v>890</v>
      </c>
      <c r="N328" s="9" t="s">
        <v>35</v>
      </c>
      <c r="O328" s="9" t="s">
        <v>891</v>
      </c>
      <c r="P328" s="9" t="s">
        <v>843</v>
      </c>
      <c r="Q328" s="8">
        <v>1.0</v>
      </c>
      <c r="R328" s="8">
        <v>0.0</v>
      </c>
      <c r="S328" s="8">
        <v>0.0</v>
      </c>
      <c r="T328" s="8">
        <v>0.0</v>
      </c>
      <c r="U328" s="8">
        <v>0.0</v>
      </c>
      <c r="V328" s="8">
        <v>0.0</v>
      </c>
      <c r="W328" s="8">
        <v>0.0</v>
      </c>
      <c r="X328" s="8">
        <v>0.0</v>
      </c>
      <c r="Y328" s="8">
        <v>0.0</v>
      </c>
      <c r="Z328" s="8">
        <v>0.0</v>
      </c>
      <c r="AA328" s="8">
        <v>0.0</v>
      </c>
      <c r="AB328" s="8">
        <v>0.0</v>
      </c>
      <c r="AC328" s="8">
        <v>0.0</v>
      </c>
      <c r="AD328" s="9" t="s">
        <v>38</v>
      </c>
      <c r="AE328" s="9" t="s">
        <v>39</v>
      </c>
      <c r="AF328" s="9" t="s">
        <v>40</v>
      </c>
    </row>
    <row r="329">
      <c r="A329" s="13" t="s">
        <v>794</v>
      </c>
      <c r="B329" s="8">
        <v>1894.0</v>
      </c>
      <c r="C329" s="8">
        <v>615010.0</v>
      </c>
      <c r="D329" s="8">
        <v>622300.0</v>
      </c>
      <c r="E329" s="9" t="s">
        <v>879</v>
      </c>
      <c r="F329" s="9"/>
      <c r="G329" s="9"/>
      <c r="H329" s="9"/>
      <c r="I329" s="9"/>
      <c r="J329" s="9"/>
      <c r="K329" s="9"/>
      <c r="L329" s="9"/>
      <c r="M329" s="9" t="s">
        <v>892</v>
      </c>
      <c r="N329" s="9" t="s">
        <v>35</v>
      </c>
      <c r="O329" s="9" t="s">
        <v>893</v>
      </c>
      <c r="P329" s="9" t="s">
        <v>593</v>
      </c>
      <c r="Q329" s="8">
        <v>0.0</v>
      </c>
      <c r="R329" s="8">
        <v>0.0</v>
      </c>
      <c r="S329" s="8">
        <v>0.0</v>
      </c>
      <c r="T329" s="8">
        <v>0.0</v>
      </c>
      <c r="U329" s="8">
        <v>1.0</v>
      </c>
      <c r="V329" s="8">
        <v>0.0</v>
      </c>
      <c r="W329" s="8">
        <v>0.0</v>
      </c>
      <c r="X329" s="8">
        <v>0.0</v>
      </c>
      <c r="Y329" s="8">
        <v>0.0</v>
      </c>
      <c r="Z329" s="8">
        <v>0.0</v>
      </c>
      <c r="AA329" s="8">
        <v>0.0</v>
      </c>
      <c r="AB329" s="8">
        <v>0.0</v>
      </c>
      <c r="AC329" s="8">
        <v>0.0</v>
      </c>
      <c r="AD329" s="9" t="s">
        <v>38</v>
      </c>
      <c r="AE329" s="9" t="s">
        <v>39</v>
      </c>
      <c r="AF329" s="9" t="s">
        <v>40</v>
      </c>
    </row>
    <row r="330">
      <c r="A330" s="13" t="s">
        <v>794</v>
      </c>
      <c r="B330" s="8">
        <v>1894.0</v>
      </c>
      <c r="C330" s="8">
        <v>615010.0</v>
      </c>
      <c r="D330" s="8">
        <v>622300.0</v>
      </c>
      <c r="E330" s="9" t="s">
        <v>879</v>
      </c>
      <c r="F330" s="9"/>
      <c r="G330" s="9"/>
      <c r="H330" s="9"/>
      <c r="I330" s="9"/>
      <c r="J330" s="9"/>
      <c r="K330" s="9"/>
      <c r="L330" s="9"/>
      <c r="M330" s="9" t="s">
        <v>894</v>
      </c>
      <c r="N330" s="9" t="s">
        <v>35</v>
      </c>
      <c r="O330" s="9" t="s">
        <v>895</v>
      </c>
      <c r="P330" s="9" t="s">
        <v>843</v>
      </c>
      <c r="Q330" s="8">
        <v>1.0</v>
      </c>
      <c r="R330" s="8">
        <v>0.0</v>
      </c>
      <c r="S330" s="8">
        <v>0.0</v>
      </c>
      <c r="T330" s="8">
        <v>0.0</v>
      </c>
      <c r="U330" s="8">
        <v>0.0</v>
      </c>
      <c r="V330" s="8">
        <v>0.0</v>
      </c>
      <c r="W330" s="8">
        <v>0.0</v>
      </c>
      <c r="X330" s="8">
        <v>0.0</v>
      </c>
      <c r="Y330" s="8">
        <v>0.0</v>
      </c>
      <c r="Z330" s="8">
        <v>0.0</v>
      </c>
      <c r="AA330" s="8">
        <v>0.0</v>
      </c>
      <c r="AB330" s="8">
        <v>0.0</v>
      </c>
      <c r="AC330" s="8">
        <v>0.0</v>
      </c>
      <c r="AD330" s="9" t="s">
        <v>38</v>
      </c>
      <c r="AE330" s="9" t="s">
        <v>39</v>
      </c>
      <c r="AF330" s="9" t="s">
        <v>40</v>
      </c>
    </row>
    <row r="331">
      <c r="A331" s="13" t="s">
        <v>794</v>
      </c>
      <c r="B331" s="8">
        <v>1992.0</v>
      </c>
      <c r="C331" s="8">
        <v>865190.0</v>
      </c>
      <c r="D331" s="8">
        <v>870680.0</v>
      </c>
      <c r="E331" s="9" t="s">
        <v>879</v>
      </c>
      <c r="F331" s="9"/>
      <c r="G331" s="9" t="s">
        <v>880</v>
      </c>
      <c r="H331" s="9"/>
      <c r="I331" s="8">
        <v>1933.0</v>
      </c>
      <c r="J331" s="9" t="s">
        <v>881</v>
      </c>
      <c r="K331" s="9"/>
      <c r="L331" s="9"/>
      <c r="M331" s="9" t="s">
        <v>896</v>
      </c>
      <c r="N331" s="9" t="s">
        <v>35</v>
      </c>
      <c r="O331" s="9" t="s">
        <v>897</v>
      </c>
      <c r="P331" s="9" t="s">
        <v>408</v>
      </c>
      <c r="Q331" s="8">
        <v>1.0</v>
      </c>
      <c r="R331" s="8">
        <v>0.0</v>
      </c>
      <c r="S331" s="8">
        <v>0.0</v>
      </c>
      <c r="T331" s="8">
        <v>0.0</v>
      </c>
      <c r="U331" s="8">
        <v>0.0</v>
      </c>
      <c r="V331" s="8">
        <v>0.0</v>
      </c>
      <c r="W331" s="8">
        <v>0.0</v>
      </c>
      <c r="X331" s="8">
        <v>0.0</v>
      </c>
      <c r="Y331" s="8">
        <v>0.0</v>
      </c>
      <c r="Z331" s="8">
        <v>0.0</v>
      </c>
      <c r="AA331" s="8">
        <v>0.0</v>
      </c>
      <c r="AB331" s="8">
        <v>0.0</v>
      </c>
      <c r="AC331" s="8">
        <v>0.0</v>
      </c>
      <c r="AD331" s="9" t="s">
        <v>38</v>
      </c>
      <c r="AE331" s="9" t="s">
        <v>39</v>
      </c>
      <c r="AF331" s="9" t="s">
        <v>40</v>
      </c>
    </row>
    <row r="332">
      <c r="A332" s="13" t="s">
        <v>794</v>
      </c>
      <c r="B332" s="8">
        <v>2106.0</v>
      </c>
      <c r="C332" s="8">
        <v>1209000.0</v>
      </c>
      <c r="D332" s="8">
        <v>1212220.0</v>
      </c>
      <c r="E332" s="9" t="s">
        <v>879</v>
      </c>
      <c r="F332" s="9"/>
      <c r="G332" s="9" t="s">
        <v>880</v>
      </c>
      <c r="H332" s="9"/>
      <c r="I332" s="8">
        <v>1933.0</v>
      </c>
      <c r="J332" s="9" t="s">
        <v>881</v>
      </c>
      <c r="K332" s="9"/>
      <c r="L332" s="9"/>
      <c r="M332" s="9" t="s">
        <v>898</v>
      </c>
      <c r="N332" s="9" t="s">
        <v>35</v>
      </c>
      <c r="O332" s="9" t="s">
        <v>899</v>
      </c>
      <c r="P332" s="9" t="s">
        <v>900</v>
      </c>
      <c r="Q332" s="8">
        <v>0.0</v>
      </c>
      <c r="R332" s="8">
        <v>0.0</v>
      </c>
      <c r="S332" s="8">
        <v>0.0</v>
      </c>
      <c r="T332" s="8">
        <v>0.0</v>
      </c>
      <c r="U332" s="8">
        <v>0.0</v>
      </c>
      <c r="V332" s="8">
        <v>0.0</v>
      </c>
      <c r="W332" s="8">
        <v>0.0</v>
      </c>
      <c r="X332" s="8">
        <v>1.0</v>
      </c>
      <c r="Y332" s="8">
        <v>0.0</v>
      </c>
      <c r="Z332" s="8">
        <v>0.0</v>
      </c>
      <c r="AA332" s="8">
        <v>0.0</v>
      </c>
      <c r="AB332" s="8">
        <v>0.0</v>
      </c>
      <c r="AC332" s="8">
        <v>0.0</v>
      </c>
      <c r="AD332" s="9" t="s">
        <v>38</v>
      </c>
      <c r="AE332" s="9" t="s">
        <v>39</v>
      </c>
      <c r="AF332" s="9" t="s">
        <v>40</v>
      </c>
    </row>
    <row r="333">
      <c r="A333" s="13" t="s">
        <v>794</v>
      </c>
      <c r="B333" s="8">
        <v>2123.0</v>
      </c>
      <c r="C333" s="8">
        <v>1266080.0</v>
      </c>
      <c r="D333" s="8">
        <v>1269600.0</v>
      </c>
      <c r="E333" s="9" t="s">
        <v>879</v>
      </c>
      <c r="F333" s="9"/>
      <c r="G333" s="9" t="s">
        <v>880</v>
      </c>
      <c r="H333" s="9"/>
      <c r="I333" s="8">
        <v>1933.0</v>
      </c>
      <c r="J333" s="9" t="s">
        <v>881</v>
      </c>
      <c r="K333" s="9"/>
      <c r="L333" s="9"/>
      <c r="M333" s="9" t="s">
        <v>901</v>
      </c>
      <c r="N333" s="9" t="s">
        <v>35</v>
      </c>
      <c r="O333" s="9" t="s">
        <v>902</v>
      </c>
      <c r="P333" s="9" t="s">
        <v>489</v>
      </c>
      <c r="Q333" s="8">
        <v>0.0</v>
      </c>
      <c r="R333" s="8">
        <v>0.0</v>
      </c>
      <c r="S333" s="8">
        <v>0.0</v>
      </c>
      <c r="T333" s="8">
        <v>0.0</v>
      </c>
      <c r="U333" s="8">
        <v>0.0</v>
      </c>
      <c r="V333" s="8">
        <v>0.0</v>
      </c>
      <c r="W333" s="8">
        <v>0.0</v>
      </c>
      <c r="X333" s="8">
        <v>1.0</v>
      </c>
      <c r="Y333" s="8">
        <v>0.0</v>
      </c>
      <c r="Z333" s="8">
        <v>0.0</v>
      </c>
      <c r="AA333" s="8">
        <v>0.0</v>
      </c>
      <c r="AB333" s="8">
        <v>0.0</v>
      </c>
      <c r="AC333" s="8">
        <v>0.0</v>
      </c>
      <c r="AD333" s="9" t="s">
        <v>38</v>
      </c>
      <c r="AE333" s="9" t="s">
        <v>39</v>
      </c>
      <c r="AF333" s="9" t="s">
        <v>40</v>
      </c>
    </row>
    <row r="334">
      <c r="A334" s="13" t="s">
        <v>794</v>
      </c>
      <c r="B334" s="8">
        <v>2461.0</v>
      </c>
      <c r="C334" s="8">
        <v>2301190.0</v>
      </c>
      <c r="D334" s="8">
        <v>2304120.0</v>
      </c>
      <c r="E334" s="9" t="s">
        <v>879</v>
      </c>
      <c r="F334" s="9"/>
      <c r="G334" s="9" t="s">
        <v>880</v>
      </c>
      <c r="H334" s="9"/>
      <c r="I334" s="8">
        <v>1933.0</v>
      </c>
      <c r="J334" s="9" t="s">
        <v>881</v>
      </c>
      <c r="K334" s="9"/>
      <c r="L334" s="9"/>
      <c r="M334" s="9"/>
      <c r="N334" s="9" t="s">
        <v>45</v>
      </c>
      <c r="O334" s="9" t="s">
        <v>903</v>
      </c>
      <c r="P334" s="9" t="s">
        <v>904</v>
      </c>
      <c r="Q334" s="8">
        <v>0.0</v>
      </c>
      <c r="R334" s="8">
        <v>0.0</v>
      </c>
      <c r="S334" s="8">
        <v>0.0</v>
      </c>
      <c r="T334" s="8">
        <v>0.0</v>
      </c>
      <c r="U334" s="8">
        <v>0.0</v>
      </c>
      <c r="V334" s="8">
        <v>0.0</v>
      </c>
      <c r="W334" s="8">
        <v>0.0</v>
      </c>
      <c r="X334" s="8">
        <v>0.0</v>
      </c>
      <c r="Y334" s="8">
        <v>1.0</v>
      </c>
      <c r="Z334" s="8">
        <v>0.0</v>
      </c>
      <c r="AA334" s="8">
        <v>0.0</v>
      </c>
      <c r="AB334" s="8">
        <v>0.0</v>
      </c>
      <c r="AC334" s="8">
        <v>0.0</v>
      </c>
      <c r="AD334" s="9" t="s">
        <v>92</v>
      </c>
      <c r="AE334" s="9" t="s">
        <v>39</v>
      </c>
      <c r="AF334" s="9" t="s">
        <v>40</v>
      </c>
    </row>
    <row r="335">
      <c r="A335" s="13" t="s">
        <v>794</v>
      </c>
      <c r="B335" s="8">
        <v>2580.0</v>
      </c>
      <c r="C335" s="8">
        <v>2715170.0</v>
      </c>
      <c r="D335" s="8">
        <v>2719420.0</v>
      </c>
      <c r="E335" s="9" t="s">
        <v>879</v>
      </c>
      <c r="F335" s="9"/>
      <c r="G335" s="9" t="s">
        <v>880</v>
      </c>
      <c r="H335" s="9"/>
      <c r="I335" s="8">
        <v>1933.0</v>
      </c>
      <c r="J335" s="9" t="s">
        <v>881</v>
      </c>
      <c r="K335" s="9"/>
      <c r="L335" s="9"/>
      <c r="M335" s="9" t="s">
        <v>905</v>
      </c>
      <c r="N335" s="9" t="s">
        <v>35</v>
      </c>
      <c r="O335" s="9" t="s">
        <v>906</v>
      </c>
      <c r="P335" s="9" t="s">
        <v>408</v>
      </c>
      <c r="Q335" s="8">
        <v>1.0</v>
      </c>
      <c r="R335" s="8">
        <v>0.0</v>
      </c>
      <c r="S335" s="8">
        <v>0.0</v>
      </c>
      <c r="T335" s="8">
        <v>0.0</v>
      </c>
      <c r="U335" s="8">
        <v>0.0</v>
      </c>
      <c r="V335" s="8">
        <v>0.0</v>
      </c>
      <c r="W335" s="8">
        <v>0.0</v>
      </c>
      <c r="X335" s="8">
        <v>0.0</v>
      </c>
      <c r="Y335" s="8">
        <v>0.0</v>
      </c>
      <c r="Z335" s="8">
        <v>0.0</v>
      </c>
      <c r="AA335" s="8">
        <v>0.0</v>
      </c>
      <c r="AB335" s="8">
        <v>0.0</v>
      </c>
      <c r="AC335" s="8">
        <v>0.0</v>
      </c>
      <c r="AD335" s="9" t="s">
        <v>38</v>
      </c>
      <c r="AE335" s="9" t="s">
        <v>39</v>
      </c>
      <c r="AF335" s="9" t="s">
        <v>40</v>
      </c>
    </row>
    <row r="336">
      <c r="A336" s="13" t="s">
        <v>794</v>
      </c>
      <c r="B336" s="8">
        <v>2728.0</v>
      </c>
      <c r="C336" s="8">
        <v>87947.0</v>
      </c>
      <c r="D336" s="8">
        <v>90497.0</v>
      </c>
      <c r="E336" s="9" t="s">
        <v>907</v>
      </c>
      <c r="F336" s="9"/>
      <c r="G336" s="9" t="s">
        <v>908</v>
      </c>
      <c r="H336" s="9"/>
      <c r="I336" s="8">
        <v>1972.0</v>
      </c>
      <c r="J336" s="9" t="s">
        <v>346</v>
      </c>
      <c r="K336" s="9"/>
      <c r="L336" s="9"/>
      <c r="M336" s="9" t="s">
        <v>909</v>
      </c>
      <c r="N336" s="9" t="s">
        <v>35</v>
      </c>
      <c r="O336" s="9" t="s">
        <v>910</v>
      </c>
      <c r="P336" s="9" t="s">
        <v>811</v>
      </c>
      <c r="Q336" s="8">
        <v>1.0</v>
      </c>
      <c r="R336" s="8">
        <v>0.0</v>
      </c>
      <c r="S336" s="8">
        <v>0.0</v>
      </c>
      <c r="T336" s="8">
        <v>0.0</v>
      </c>
      <c r="U336" s="8">
        <v>0.0</v>
      </c>
      <c r="V336" s="8">
        <v>0.0</v>
      </c>
      <c r="W336" s="8">
        <v>0.0</v>
      </c>
      <c r="X336" s="8">
        <v>0.0</v>
      </c>
      <c r="Y336" s="8">
        <v>0.0</v>
      </c>
      <c r="Z336" s="8">
        <v>0.0</v>
      </c>
      <c r="AA336" s="8">
        <v>0.0</v>
      </c>
      <c r="AB336" s="8">
        <v>0.0</v>
      </c>
      <c r="AC336" s="8">
        <v>0.0</v>
      </c>
      <c r="AD336" s="9" t="s">
        <v>38</v>
      </c>
      <c r="AE336" s="9" t="s">
        <v>39</v>
      </c>
      <c r="AF336" s="9" t="s">
        <v>40</v>
      </c>
    </row>
    <row r="337">
      <c r="A337" s="13" t="s">
        <v>794</v>
      </c>
      <c r="B337" s="8">
        <v>2728.0</v>
      </c>
      <c r="C337" s="8">
        <v>87947.0</v>
      </c>
      <c r="D337" s="8">
        <v>90497.0</v>
      </c>
      <c r="E337" s="9" t="s">
        <v>907</v>
      </c>
      <c r="F337" s="9"/>
      <c r="G337" s="9" t="s">
        <v>908</v>
      </c>
      <c r="H337" s="9"/>
      <c r="I337" s="8">
        <v>1972.0</v>
      </c>
      <c r="J337" s="9" t="s">
        <v>346</v>
      </c>
      <c r="K337" s="9"/>
      <c r="L337" s="9"/>
      <c r="M337" s="9" t="s">
        <v>911</v>
      </c>
      <c r="N337" s="9" t="s">
        <v>35</v>
      </c>
      <c r="O337" s="9" t="s">
        <v>912</v>
      </c>
      <c r="P337" s="9" t="s">
        <v>913</v>
      </c>
      <c r="Q337" s="8">
        <v>1.0</v>
      </c>
      <c r="R337" s="8">
        <v>0.0</v>
      </c>
      <c r="S337" s="8">
        <v>0.0</v>
      </c>
      <c r="T337" s="8">
        <v>0.0</v>
      </c>
      <c r="U337" s="8">
        <v>0.0</v>
      </c>
      <c r="V337" s="8">
        <v>0.0</v>
      </c>
      <c r="W337" s="8">
        <v>0.0</v>
      </c>
      <c r="X337" s="8">
        <v>0.0</v>
      </c>
      <c r="Y337" s="8">
        <v>0.0</v>
      </c>
      <c r="Z337" s="8">
        <v>0.0</v>
      </c>
      <c r="AA337" s="8">
        <v>0.0</v>
      </c>
      <c r="AB337" s="8">
        <v>0.0</v>
      </c>
      <c r="AC337" s="8">
        <v>0.0</v>
      </c>
      <c r="AD337" s="9" t="s">
        <v>38</v>
      </c>
      <c r="AE337" s="9" t="s">
        <v>39</v>
      </c>
      <c r="AF337" s="9" t="s">
        <v>40</v>
      </c>
    </row>
    <row r="338">
      <c r="A338" s="13" t="s">
        <v>794</v>
      </c>
      <c r="B338" s="8">
        <v>2811.0</v>
      </c>
      <c r="C338" s="8">
        <v>490524.0</v>
      </c>
      <c r="D338" s="8">
        <v>502395.0</v>
      </c>
      <c r="E338" s="9" t="s">
        <v>907</v>
      </c>
      <c r="F338" s="9"/>
      <c r="G338" s="9" t="s">
        <v>908</v>
      </c>
      <c r="H338" s="9"/>
      <c r="I338" s="8">
        <v>1972.0</v>
      </c>
      <c r="J338" s="9" t="s">
        <v>346</v>
      </c>
      <c r="K338" s="9"/>
      <c r="L338" s="9"/>
      <c r="M338" s="9" t="s">
        <v>914</v>
      </c>
      <c r="N338" s="9" t="s">
        <v>35</v>
      </c>
      <c r="O338" s="9" t="s">
        <v>915</v>
      </c>
      <c r="P338" s="9" t="s">
        <v>916</v>
      </c>
      <c r="Q338" s="8">
        <v>0.0</v>
      </c>
      <c r="R338" s="8">
        <v>0.0</v>
      </c>
      <c r="S338" s="8">
        <v>0.0</v>
      </c>
      <c r="T338" s="8">
        <v>0.0</v>
      </c>
      <c r="U338" s="8">
        <v>0.0</v>
      </c>
      <c r="V338" s="8">
        <v>0.0</v>
      </c>
      <c r="W338" s="8">
        <v>0.0</v>
      </c>
      <c r="X338" s="8">
        <v>1.0</v>
      </c>
      <c r="Y338" s="8">
        <v>0.0</v>
      </c>
      <c r="Z338" s="8">
        <v>0.0</v>
      </c>
      <c r="AA338" s="8">
        <v>0.0</v>
      </c>
      <c r="AB338" s="8">
        <v>0.0</v>
      </c>
      <c r="AC338" s="8">
        <v>0.0</v>
      </c>
      <c r="AD338" s="9" t="s">
        <v>38</v>
      </c>
      <c r="AE338" s="9" t="s">
        <v>39</v>
      </c>
      <c r="AF338" s="9" t="s">
        <v>40</v>
      </c>
    </row>
    <row r="339">
      <c r="A339" s="13" t="s">
        <v>794</v>
      </c>
      <c r="B339" s="8">
        <v>2848.0</v>
      </c>
      <c r="C339" s="8">
        <v>656600.0</v>
      </c>
      <c r="D339" s="8">
        <v>664365.0</v>
      </c>
      <c r="E339" s="9" t="s">
        <v>907</v>
      </c>
      <c r="F339" s="9"/>
      <c r="G339" s="9" t="s">
        <v>908</v>
      </c>
      <c r="H339" s="9"/>
      <c r="I339" s="8">
        <v>1972.0</v>
      </c>
      <c r="J339" s="9" t="s">
        <v>346</v>
      </c>
      <c r="K339" s="9"/>
      <c r="L339" s="9"/>
      <c r="M339" s="9" t="s">
        <v>917</v>
      </c>
      <c r="N339" s="9" t="s">
        <v>35</v>
      </c>
      <c r="O339" s="9" t="s">
        <v>918</v>
      </c>
      <c r="P339" s="9" t="s">
        <v>919</v>
      </c>
      <c r="Q339" s="8">
        <v>0.0</v>
      </c>
      <c r="R339" s="8">
        <v>0.0</v>
      </c>
      <c r="S339" s="8">
        <v>0.0</v>
      </c>
      <c r="T339" s="8">
        <v>0.0</v>
      </c>
      <c r="U339" s="8">
        <v>0.0</v>
      </c>
      <c r="V339" s="8">
        <v>0.0</v>
      </c>
      <c r="W339" s="8">
        <v>0.0</v>
      </c>
      <c r="X339" s="8">
        <v>0.0</v>
      </c>
      <c r="Y339" s="8">
        <v>1.0</v>
      </c>
      <c r="Z339" s="8">
        <v>0.0</v>
      </c>
      <c r="AA339" s="8">
        <v>0.0</v>
      </c>
      <c r="AB339" s="8">
        <v>0.0</v>
      </c>
      <c r="AC339" s="8">
        <v>0.0</v>
      </c>
      <c r="AD339" s="9" t="s">
        <v>44</v>
      </c>
      <c r="AE339" s="9" t="s">
        <v>40</v>
      </c>
      <c r="AF339" s="9" t="s">
        <v>40</v>
      </c>
    </row>
    <row r="340">
      <c r="A340" s="13" t="s">
        <v>794</v>
      </c>
      <c r="B340" s="8">
        <v>2940.0</v>
      </c>
      <c r="C340" s="8">
        <v>1075832.0</v>
      </c>
      <c r="D340" s="8">
        <v>1079549.0</v>
      </c>
      <c r="E340" s="9" t="s">
        <v>907</v>
      </c>
      <c r="F340" s="9"/>
      <c r="G340" s="9" t="s">
        <v>908</v>
      </c>
      <c r="H340" s="9"/>
      <c r="I340" s="8">
        <v>1972.0</v>
      </c>
      <c r="J340" s="9" t="s">
        <v>346</v>
      </c>
      <c r="K340" s="9"/>
      <c r="L340" s="9"/>
      <c r="M340" s="9" t="s">
        <v>920</v>
      </c>
      <c r="N340" s="9" t="s">
        <v>35</v>
      </c>
      <c r="O340" s="9" t="s">
        <v>921</v>
      </c>
      <c r="P340" s="9" t="s">
        <v>637</v>
      </c>
      <c r="Q340" s="8">
        <v>0.0</v>
      </c>
      <c r="R340" s="8">
        <v>1.0</v>
      </c>
      <c r="S340" s="8">
        <v>0.0</v>
      </c>
      <c r="T340" s="8">
        <v>0.0</v>
      </c>
      <c r="U340" s="8">
        <v>0.0</v>
      </c>
      <c r="V340" s="8">
        <v>0.0</v>
      </c>
      <c r="W340" s="8">
        <v>0.0</v>
      </c>
      <c r="X340" s="8">
        <v>0.0</v>
      </c>
      <c r="Y340" s="8">
        <v>0.0</v>
      </c>
      <c r="Z340" s="8">
        <v>0.0</v>
      </c>
      <c r="AA340" s="8">
        <v>0.0</v>
      </c>
      <c r="AB340" s="8">
        <v>0.0</v>
      </c>
      <c r="AC340" s="8">
        <v>0.0</v>
      </c>
      <c r="AD340" s="9" t="s">
        <v>38</v>
      </c>
      <c r="AE340" s="9" t="s">
        <v>39</v>
      </c>
      <c r="AF340" s="9" t="s">
        <v>40</v>
      </c>
    </row>
    <row r="341">
      <c r="A341" s="13" t="s">
        <v>794</v>
      </c>
      <c r="B341" s="8">
        <v>2940.0</v>
      </c>
      <c r="C341" s="8">
        <v>1075832.0</v>
      </c>
      <c r="D341" s="8">
        <v>1079549.0</v>
      </c>
      <c r="E341" s="9" t="s">
        <v>907</v>
      </c>
      <c r="F341" s="9"/>
      <c r="G341" s="9" t="s">
        <v>908</v>
      </c>
      <c r="H341" s="9"/>
      <c r="I341" s="8">
        <v>1972.0</v>
      </c>
      <c r="J341" s="9" t="s">
        <v>346</v>
      </c>
      <c r="K341" s="9"/>
      <c r="L341" s="9"/>
      <c r="M341" s="9" t="s">
        <v>922</v>
      </c>
      <c r="N341" s="9" t="s">
        <v>35</v>
      </c>
      <c r="O341" s="9" t="s">
        <v>923</v>
      </c>
      <c r="P341" s="9" t="s">
        <v>408</v>
      </c>
      <c r="Q341" s="8">
        <v>1.0</v>
      </c>
      <c r="R341" s="8">
        <v>0.0</v>
      </c>
      <c r="S341" s="8">
        <v>0.0</v>
      </c>
      <c r="T341" s="8">
        <v>0.0</v>
      </c>
      <c r="U341" s="8">
        <v>0.0</v>
      </c>
      <c r="V341" s="8">
        <v>0.0</v>
      </c>
      <c r="W341" s="8">
        <v>0.0</v>
      </c>
      <c r="X341" s="8">
        <v>0.0</v>
      </c>
      <c r="Y341" s="8">
        <v>0.0</v>
      </c>
      <c r="Z341" s="8">
        <v>0.0</v>
      </c>
      <c r="AA341" s="8">
        <v>0.0</v>
      </c>
      <c r="AB341" s="8">
        <v>0.0</v>
      </c>
      <c r="AC341" s="8">
        <v>0.0</v>
      </c>
      <c r="AD341" s="9" t="s">
        <v>38</v>
      </c>
      <c r="AE341" s="9" t="s">
        <v>39</v>
      </c>
      <c r="AF341" s="9" t="s">
        <v>40</v>
      </c>
    </row>
    <row r="342">
      <c r="A342" s="13" t="s">
        <v>794</v>
      </c>
      <c r="B342" s="8">
        <v>3000.0</v>
      </c>
      <c r="C342" s="8">
        <v>1364606.0</v>
      </c>
      <c r="D342" s="8">
        <v>1374122.0</v>
      </c>
      <c r="E342" s="9" t="s">
        <v>907</v>
      </c>
      <c r="F342" s="9"/>
      <c r="G342" s="9" t="s">
        <v>908</v>
      </c>
      <c r="H342" s="9"/>
      <c r="I342" s="8">
        <v>1972.0</v>
      </c>
      <c r="J342" s="9" t="s">
        <v>346</v>
      </c>
      <c r="K342" s="9"/>
      <c r="L342" s="9"/>
      <c r="M342" s="9" t="s">
        <v>924</v>
      </c>
      <c r="N342" s="9" t="s">
        <v>35</v>
      </c>
      <c r="O342" s="9" t="s">
        <v>925</v>
      </c>
      <c r="P342" s="9" t="s">
        <v>926</v>
      </c>
      <c r="Q342" s="8">
        <v>0.0</v>
      </c>
      <c r="R342" s="8">
        <v>0.0</v>
      </c>
      <c r="S342" s="8">
        <v>0.0</v>
      </c>
      <c r="T342" s="8">
        <v>0.0</v>
      </c>
      <c r="U342" s="8">
        <v>0.0</v>
      </c>
      <c r="V342" s="8">
        <v>0.0</v>
      </c>
      <c r="W342" s="8">
        <v>0.0</v>
      </c>
      <c r="X342" s="8">
        <v>1.0</v>
      </c>
      <c r="Y342" s="8">
        <v>0.0</v>
      </c>
      <c r="Z342" s="8">
        <v>0.0</v>
      </c>
      <c r="AA342" s="8">
        <v>0.0</v>
      </c>
      <c r="AB342" s="8">
        <v>0.0</v>
      </c>
      <c r="AC342" s="8">
        <v>0.0</v>
      </c>
      <c r="AD342" s="9" t="s">
        <v>38</v>
      </c>
      <c r="AE342" s="9" t="s">
        <v>39</v>
      </c>
      <c r="AF342" s="9" t="s">
        <v>40</v>
      </c>
    </row>
    <row r="343">
      <c r="A343" s="13" t="s">
        <v>794</v>
      </c>
      <c r="B343" s="8">
        <v>3012.0</v>
      </c>
      <c r="C343" s="8">
        <v>1427807.0</v>
      </c>
      <c r="D343" s="8">
        <v>1432108.0</v>
      </c>
      <c r="E343" s="9" t="s">
        <v>907</v>
      </c>
      <c r="F343" s="9"/>
      <c r="G343" s="9" t="s">
        <v>908</v>
      </c>
      <c r="H343" s="9"/>
      <c r="I343" s="8">
        <v>1972.0</v>
      </c>
      <c r="J343" s="9" t="s">
        <v>346</v>
      </c>
      <c r="K343" s="9"/>
      <c r="L343" s="9"/>
      <c r="M343" s="9" t="s">
        <v>927</v>
      </c>
      <c r="N343" s="9" t="s">
        <v>35</v>
      </c>
      <c r="O343" s="9" t="s">
        <v>928</v>
      </c>
      <c r="P343" s="9" t="s">
        <v>408</v>
      </c>
      <c r="Q343" s="8">
        <v>1.0</v>
      </c>
      <c r="R343" s="8">
        <v>0.0</v>
      </c>
      <c r="S343" s="8">
        <v>0.0</v>
      </c>
      <c r="T343" s="8">
        <v>0.0</v>
      </c>
      <c r="U343" s="8">
        <v>0.0</v>
      </c>
      <c r="V343" s="8">
        <v>0.0</v>
      </c>
      <c r="W343" s="8">
        <v>0.0</v>
      </c>
      <c r="X343" s="8">
        <v>0.0</v>
      </c>
      <c r="Y343" s="8">
        <v>0.0</v>
      </c>
      <c r="Z343" s="8">
        <v>0.0</v>
      </c>
      <c r="AA343" s="8">
        <v>0.0</v>
      </c>
      <c r="AB343" s="8">
        <v>0.0</v>
      </c>
      <c r="AC343" s="8">
        <v>0.0</v>
      </c>
      <c r="AD343" s="9" t="s">
        <v>38</v>
      </c>
      <c r="AE343" s="9" t="s">
        <v>39</v>
      </c>
      <c r="AF343" s="9" t="s">
        <v>40</v>
      </c>
    </row>
    <row r="344">
      <c r="A344" s="13" t="s">
        <v>794</v>
      </c>
      <c r="B344" s="8">
        <v>3107.0</v>
      </c>
      <c r="C344" s="8">
        <v>1873154.0</v>
      </c>
      <c r="D344" s="8">
        <v>1878234.0</v>
      </c>
      <c r="E344" s="9" t="s">
        <v>907</v>
      </c>
      <c r="F344" s="9"/>
      <c r="G344" s="9" t="s">
        <v>908</v>
      </c>
      <c r="H344" s="9"/>
      <c r="I344" s="8">
        <v>1972.0</v>
      </c>
      <c r="J344" s="9" t="s">
        <v>346</v>
      </c>
      <c r="K344" s="9"/>
      <c r="L344" s="9"/>
      <c r="M344" s="9" t="s">
        <v>929</v>
      </c>
      <c r="N344" s="9" t="s">
        <v>35</v>
      </c>
      <c r="O344" s="9" t="s">
        <v>930</v>
      </c>
      <c r="P344" s="9" t="s">
        <v>931</v>
      </c>
      <c r="Q344" s="8">
        <v>0.0</v>
      </c>
      <c r="R344" s="8">
        <v>0.0</v>
      </c>
      <c r="S344" s="8">
        <v>0.0</v>
      </c>
      <c r="T344" s="8">
        <v>0.0</v>
      </c>
      <c r="U344" s="8">
        <v>0.0</v>
      </c>
      <c r="V344" s="8">
        <v>0.0</v>
      </c>
      <c r="W344" s="8">
        <v>0.0</v>
      </c>
      <c r="X344" s="8">
        <v>1.0</v>
      </c>
      <c r="Y344" s="8">
        <v>0.0</v>
      </c>
      <c r="Z344" s="8">
        <v>0.0</v>
      </c>
      <c r="AA344" s="8">
        <v>0.0</v>
      </c>
      <c r="AB344" s="8">
        <v>0.0</v>
      </c>
      <c r="AC344" s="8">
        <v>0.0</v>
      </c>
      <c r="AD344" s="9" t="s">
        <v>38</v>
      </c>
      <c r="AE344" s="9" t="s">
        <v>39</v>
      </c>
      <c r="AF344" s="9" t="s">
        <v>40</v>
      </c>
    </row>
    <row r="345">
      <c r="A345" s="13" t="s">
        <v>794</v>
      </c>
      <c r="B345" s="8">
        <v>3110.0</v>
      </c>
      <c r="C345" s="8">
        <v>1887001.0</v>
      </c>
      <c r="D345" s="8">
        <v>1892276.0</v>
      </c>
      <c r="E345" s="9" t="s">
        <v>907</v>
      </c>
      <c r="F345" s="9"/>
      <c r="G345" s="9" t="s">
        <v>908</v>
      </c>
      <c r="H345" s="9"/>
      <c r="I345" s="8">
        <v>1972.0</v>
      </c>
      <c r="J345" s="9" t="s">
        <v>346</v>
      </c>
      <c r="K345" s="9"/>
      <c r="L345" s="9"/>
      <c r="M345" s="9" t="s">
        <v>932</v>
      </c>
      <c r="N345" s="9" t="s">
        <v>35</v>
      </c>
      <c r="O345" s="9" t="s">
        <v>933</v>
      </c>
      <c r="P345" s="9" t="s">
        <v>934</v>
      </c>
      <c r="Q345" s="8">
        <v>0.0</v>
      </c>
      <c r="R345" s="8">
        <v>0.0</v>
      </c>
      <c r="S345" s="8">
        <v>0.0</v>
      </c>
      <c r="T345" s="8">
        <v>0.0</v>
      </c>
      <c r="U345" s="8">
        <v>0.0</v>
      </c>
      <c r="V345" s="8">
        <v>0.0</v>
      </c>
      <c r="W345" s="8">
        <v>0.0</v>
      </c>
      <c r="X345" s="8">
        <v>1.0</v>
      </c>
      <c r="Y345" s="8">
        <v>0.0</v>
      </c>
      <c r="Z345" s="8">
        <v>0.0</v>
      </c>
      <c r="AA345" s="8">
        <v>0.0</v>
      </c>
      <c r="AB345" s="8">
        <v>0.0</v>
      </c>
      <c r="AC345" s="8">
        <v>0.0</v>
      </c>
      <c r="AD345" s="9" t="s">
        <v>38</v>
      </c>
      <c r="AE345" s="9" t="s">
        <v>39</v>
      </c>
      <c r="AF345" s="9" t="s">
        <v>40</v>
      </c>
    </row>
    <row r="346">
      <c r="A346" s="13" t="s">
        <v>794</v>
      </c>
      <c r="B346" s="8">
        <v>3110.0</v>
      </c>
      <c r="C346" s="8">
        <v>1887001.0</v>
      </c>
      <c r="D346" s="8">
        <v>1892276.0</v>
      </c>
      <c r="E346" s="9" t="s">
        <v>907</v>
      </c>
      <c r="F346" s="9"/>
      <c r="G346" s="9" t="s">
        <v>908</v>
      </c>
      <c r="H346" s="9"/>
      <c r="I346" s="8">
        <v>1972.0</v>
      </c>
      <c r="J346" s="9" t="s">
        <v>346</v>
      </c>
      <c r="K346" s="9"/>
      <c r="L346" s="9"/>
      <c r="M346" s="9" t="s">
        <v>935</v>
      </c>
      <c r="N346" s="9" t="s">
        <v>35</v>
      </c>
      <c r="O346" s="9" t="s">
        <v>936</v>
      </c>
      <c r="P346" s="9" t="s">
        <v>937</v>
      </c>
      <c r="Q346" s="8">
        <v>0.0</v>
      </c>
      <c r="R346" s="8">
        <v>0.0</v>
      </c>
      <c r="S346" s="8">
        <v>0.0</v>
      </c>
      <c r="T346" s="8">
        <v>0.0</v>
      </c>
      <c r="U346" s="8">
        <v>0.0</v>
      </c>
      <c r="V346" s="8">
        <v>0.0</v>
      </c>
      <c r="W346" s="8">
        <v>0.0</v>
      </c>
      <c r="X346" s="8">
        <v>1.0</v>
      </c>
      <c r="Y346" s="8">
        <v>0.0</v>
      </c>
      <c r="Z346" s="8">
        <v>0.0</v>
      </c>
      <c r="AA346" s="8">
        <v>0.0</v>
      </c>
      <c r="AB346" s="8">
        <v>0.0</v>
      </c>
      <c r="AC346" s="8">
        <v>0.0</v>
      </c>
      <c r="AD346" s="9" t="s">
        <v>38</v>
      </c>
      <c r="AE346" s="9" t="s">
        <v>39</v>
      </c>
      <c r="AF346" s="9" t="s">
        <v>40</v>
      </c>
    </row>
    <row r="347">
      <c r="A347" s="13" t="s">
        <v>794</v>
      </c>
      <c r="B347" s="8">
        <v>3149.0</v>
      </c>
      <c r="C347" s="8">
        <v>2033110.0</v>
      </c>
      <c r="D347" s="8">
        <v>2040666.0</v>
      </c>
      <c r="E347" s="9" t="s">
        <v>907</v>
      </c>
      <c r="F347" s="9"/>
      <c r="G347" s="9" t="s">
        <v>908</v>
      </c>
      <c r="H347" s="9"/>
      <c r="I347" s="8">
        <v>1972.0</v>
      </c>
      <c r="J347" s="9" t="s">
        <v>346</v>
      </c>
      <c r="K347" s="9"/>
      <c r="L347" s="9"/>
      <c r="M347" s="9" t="s">
        <v>938</v>
      </c>
      <c r="N347" s="9" t="s">
        <v>35</v>
      </c>
      <c r="O347" s="9" t="s">
        <v>939</v>
      </c>
      <c r="P347" s="9" t="s">
        <v>408</v>
      </c>
      <c r="Q347" s="8">
        <v>1.0</v>
      </c>
      <c r="R347" s="8">
        <v>0.0</v>
      </c>
      <c r="S347" s="8">
        <v>0.0</v>
      </c>
      <c r="T347" s="8">
        <v>0.0</v>
      </c>
      <c r="U347" s="8">
        <v>0.0</v>
      </c>
      <c r="V347" s="8">
        <v>0.0</v>
      </c>
      <c r="W347" s="8">
        <v>0.0</v>
      </c>
      <c r="X347" s="8">
        <v>0.0</v>
      </c>
      <c r="Y347" s="8">
        <v>0.0</v>
      </c>
      <c r="Z347" s="8">
        <v>0.0</v>
      </c>
      <c r="AA347" s="8">
        <v>0.0</v>
      </c>
      <c r="AB347" s="8">
        <v>0.0</v>
      </c>
      <c r="AC347" s="8">
        <v>0.0</v>
      </c>
      <c r="AD347" s="9" t="s">
        <v>38</v>
      </c>
      <c r="AE347" s="9" t="s">
        <v>39</v>
      </c>
      <c r="AF347" s="9" t="s">
        <v>40</v>
      </c>
    </row>
    <row r="348">
      <c r="A348" s="13" t="s">
        <v>794</v>
      </c>
      <c r="B348" s="8">
        <v>3149.0</v>
      </c>
      <c r="C348" s="8">
        <v>2033110.0</v>
      </c>
      <c r="D348" s="8">
        <v>2040666.0</v>
      </c>
      <c r="E348" s="9" t="s">
        <v>907</v>
      </c>
      <c r="F348" s="9"/>
      <c r="G348" s="9" t="s">
        <v>908</v>
      </c>
      <c r="H348" s="9"/>
      <c r="I348" s="8">
        <v>1972.0</v>
      </c>
      <c r="J348" s="9" t="s">
        <v>346</v>
      </c>
      <c r="K348" s="9"/>
      <c r="L348" s="9"/>
      <c r="M348" s="9" t="s">
        <v>940</v>
      </c>
      <c r="N348" s="9" t="s">
        <v>35</v>
      </c>
      <c r="O348" s="9" t="s">
        <v>941</v>
      </c>
      <c r="P348" s="9" t="s">
        <v>359</v>
      </c>
      <c r="Q348" s="8">
        <v>1.0</v>
      </c>
      <c r="R348" s="8">
        <v>0.0</v>
      </c>
      <c r="S348" s="8">
        <v>0.0</v>
      </c>
      <c r="T348" s="8">
        <v>0.0</v>
      </c>
      <c r="U348" s="8">
        <v>0.0</v>
      </c>
      <c r="V348" s="8">
        <v>0.0</v>
      </c>
      <c r="W348" s="8">
        <v>0.0</v>
      </c>
      <c r="X348" s="8">
        <v>0.0</v>
      </c>
      <c r="Y348" s="8">
        <v>0.0</v>
      </c>
      <c r="Z348" s="8">
        <v>0.0</v>
      </c>
      <c r="AA348" s="8">
        <v>0.0</v>
      </c>
      <c r="AB348" s="8">
        <v>0.0</v>
      </c>
      <c r="AC348" s="8">
        <v>0.0</v>
      </c>
      <c r="AD348" s="9" t="s">
        <v>38</v>
      </c>
      <c r="AE348" s="9" t="s">
        <v>39</v>
      </c>
      <c r="AF348" s="9" t="s">
        <v>40</v>
      </c>
    </row>
    <row r="349">
      <c r="A349" s="13" t="s">
        <v>794</v>
      </c>
      <c r="B349" s="8">
        <v>3237.0</v>
      </c>
      <c r="C349" s="8">
        <v>2494586.0</v>
      </c>
      <c r="D349" s="8">
        <v>2496858.0</v>
      </c>
      <c r="E349" s="9" t="s">
        <v>907</v>
      </c>
      <c r="F349" s="9"/>
      <c r="G349" s="9" t="s">
        <v>908</v>
      </c>
      <c r="H349" s="9"/>
      <c r="I349" s="8">
        <v>1972.0</v>
      </c>
      <c r="J349" s="9" t="s">
        <v>346</v>
      </c>
      <c r="K349" s="9"/>
      <c r="L349" s="9"/>
      <c r="M349" s="9" t="s">
        <v>942</v>
      </c>
      <c r="N349" s="9" t="s">
        <v>35</v>
      </c>
      <c r="O349" s="9" t="s">
        <v>943</v>
      </c>
      <c r="P349" s="9" t="s">
        <v>52</v>
      </c>
      <c r="Q349" s="8">
        <v>0.0</v>
      </c>
      <c r="R349" s="8">
        <v>0.0</v>
      </c>
      <c r="S349" s="8">
        <v>1.0</v>
      </c>
      <c r="T349" s="8">
        <v>0.0</v>
      </c>
      <c r="U349" s="8">
        <v>0.0</v>
      </c>
      <c r="V349" s="8">
        <v>0.0</v>
      </c>
      <c r="W349" s="8">
        <v>0.0</v>
      </c>
      <c r="X349" s="8">
        <v>0.0</v>
      </c>
      <c r="Y349" s="8">
        <v>0.0</v>
      </c>
      <c r="Z349" s="8">
        <v>0.0</v>
      </c>
      <c r="AA349" s="8">
        <v>0.0</v>
      </c>
      <c r="AB349" s="8">
        <v>0.0</v>
      </c>
      <c r="AC349" s="8">
        <v>0.0</v>
      </c>
      <c r="AD349" s="9" t="s">
        <v>38</v>
      </c>
      <c r="AE349" s="9" t="s">
        <v>39</v>
      </c>
      <c r="AF349" s="9" t="s">
        <v>40</v>
      </c>
    </row>
    <row r="350">
      <c r="A350" s="13" t="s">
        <v>794</v>
      </c>
      <c r="B350" s="8">
        <v>3308.0</v>
      </c>
      <c r="C350" s="8">
        <v>367291.0</v>
      </c>
      <c r="D350" s="8">
        <v>372592.0</v>
      </c>
      <c r="E350" s="9" t="s">
        <v>944</v>
      </c>
      <c r="F350" s="9"/>
      <c r="G350" s="9" t="s">
        <v>945</v>
      </c>
      <c r="H350" s="9"/>
      <c r="I350" s="8">
        <v>1973.0</v>
      </c>
      <c r="J350" s="9" t="s">
        <v>946</v>
      </c>
      <c r="K350" s="9"/>
      <c r="L350" s="9"/>
      <c r="M350" s="9" t="s">
        <v>947</v>
      </c>
      <c r="N350" s="9" t="s">
        <v>35</v>
      </c>
      <c r="O350" s="9" t="s">
        <v>948</v>
      </c>
      <c r="P350" s="9" t="s">
        <v>949</v>
      </c>
      <c r="Q350" s="8">
        <v>1.0</v>
      </c>
      <c r="R350" s="8">
        <v>0.0</v>
      </c>
      <c r="S350" s="8">
        <v>0.0</v>
      </c>
      <c r="T350" s="8">
        <v>0.0</v>
      </c>
      <c r="U350" s="8">
        <v>0.0</v>
      </c>
      <c r="V350" s="8">
        <v>0.0</v>
      </c>
      <c r="W350" s="8">
        <v>0.0</v>
      </c>
      <c r="X350" s="8">
        <v>0.0</v>
      </c>
      <c r="Y350" s="8">
        <v>0.0</v>
      </c>
      <c r="Z350" s="8">
        <v>0.0</v>
      </c>
      <c r="AA350" s="8">
        <v>0.0</v>
      </c>
      <c r="AB350" s="8">
        <v>0.0</v>
      </c>
      <c r="AC350" s="8">
        <v>0.0</v>
      </c>
      <c r="AD350" s="10" t="s">
        <v>44</v>
      </c>
      <c r="AE350" s="9" t="s">
        <v>40</v>
      </c>
      <c r="AF350" s="9" t="s">
        <v>40</v>
      </c>
    </row>
    <row r="351">
      <c r="A351" s="13" t="s">
        <v>794</v>
      </c>
      <c r="B351" s="8">
        <v>3380.0</v>
      </c>
      <c r="C351" s="8">
        <v>804422.0</v>
      </c>
      <c r="D351" s="8">
        <v>810933.0</v>
      </c>
      <c r="E351" s="9" t="s">
        <v>944</v>
      </c>
      <c r="F351" s="9"/>
      <c r="G351" s="9" t="s">
        <v>945</v>
      </c>
      <c r="H351" s="9"/>
      <c r="I351" s="8">
        <v>1973.0</v>
      </c>
      <c r="J351" s="9" t="s">
        <v>946</v>
      </c>
      <c r="K351" s="9"/>
      <c r="L351" s="9"/>
      <c r="M351" s="9" t="s">
        <v>950</v>
      </c>
      <c r="N351" s="9" t="s">
        <v>35</v>
      </c>
      <c r="O351" s="9" t="s">
        <v>951</v>
      </c>
      <c r="P351" s="9" t="s">
        <v>823</v>
      </c>
      <c r="Q351" s="8">
        <v>1.0</v>
      </c>
      <c r="R351" s="8">
        <v>0.0</v>
      </c>
      <c r="S351" s="8">
        <v>0.0</v>
      </c>
      <c r="T351" s="8">
        <v>0.0</v>
      </c>
      <c r="U351" s="8">
        <v>0.0</v>
      </c>
      <c r="V351" s="8">
        <v>0.0</v>
      </c>
      <c r="W351" s="8">
        <v>0.0</v>
      </c>
      <c r="X351" s="8">
        <v>0.0</v>
      </c>
      <c r="Y351" s="8">
        <v>0.0</v>
      </c>
      <c r="Z351" s="8">
        <v>0.0</v>
      </c>
      <c r="AA351" s="8">
        <v>0.0</v>
      </c>
      <c r="AB351" s="8">
        <v>0.0</v>
      </c>
      <c r="AC351" s="8">
        <v>0.0</v>
      </c>
      <c r="AD351" s="9" t="s">
        <v>38</v>
      </c>
      <c r="AE351" s="9" t="s">
        <v>39</v>
      </c>
      <c r="AF351" s="9" t="s">
        <v>40</v>
      </c>
    </row>
    <row r="352">
      <c r="A352" s="13" t="s">
        <v>794</v>
      </c>
      <c r="B352" s="8">
        <v>3392.0</v>
      </c>
      <c r="C352" s="8">
        <v>872921.0</v>
      </c>
      <c r="D352" s="8">
        <v>883977.0</v>
      </c>
      <c r="E352" s="9" t="s">
        <v>944</v>
      </c>
      <c r="F352" s="9"/>
      <c r="G352" s="9" t="s">
        <v>945</v>
      </c>
      <c r="H352" s="9"/>
      <c r="I352" s="8">
        <v>1973.0</v>
      </c>
      <c r="J352" s="9" t="s">
        <v>946</v>
      </c>
      <c r="K352" s="9"/>
      <c r="L352" s="9"/>
      <c r="M352" s="9" t="s">
        <v>952</v>
      </c>
      <c r="N352" s="9" t="s">
        <v>35</v>
      </c>
      <c r="O352" s="9" t="s">
        <v>953</v>
      </c>
      <c r="P352" s="9" t="s">
        <v>954</v>
      </c>
      <c r="Q352" s="8">
        <v>1.0</v>
      </c>
      <c r="R352" s="8">
        <v>0.0</v>
      </c>
      <c r="S352" s="8">
        <v>0.0</v>
      </c>
      <c r="T352" s="8">
        <v>0.0</v>
      </c>
      <c r="U352" s="8">
        <v>0.0</v>
      </c>
      <c r="V352" s="8">
        <v>0.0</v>
      </c>
      <c r="W352" s="8">
        <v>0.0</v>
      </c>
      <c r="X352" s="8">
        <v>0.0</v>
      </c>
      <c r="Y352" s="8">
        <v>0.0</v>
      </c>
      <c r="Z352" s="8">
        <v>0.0</v>
      </c>
      <c r="AA352" s="8">
        <v>0.0</v>
      </c>
      <c r="AB352" s="8">
        <v>0.0</v>
      </c>
      <c r="AC352" s="8">
        <v>0.0</v>
      </c>
      <c r="AD352" s="10" t="s">
        <v>44</v>
      </c>
      <c r="AE352" s="9" t="s">
        <v>40</v>
      </c>
      <c r="AF352" s="9" t="s">
        <v>40</v>
      </c>
    </row>
    <row r="353">
      <c r="A353" s="13" t="s">
        <v>794</v>
      </c>
      <c r="B353" s="8">
        <v>3451.0</v>
      </c>
      <c r="C353" s="8">
        <v>1280610.0</v>
      </c>
      <c r="D353" s="8">
        <v>1293677.0</v>
      </c>
      <c r="E353" s="9" t="s">
        <v>944</v>
      </c>
      <c r="F353" s="9"/>
      <c r="G353" s="9" t="s">
        <v>945</v>
      </c>
      <c r="H353" s="9"/>
      <c r="I353" s="8">
        <v>1973.0</v>
      </c>
      <c r="J353" s="9" t="s">
        <v>946</v>
      </c>
      <c r="K353" s="9"/>
      <c r="L353" s="9"/>
      <c r="M353" s="9" t="s">
        <v>955</v>
      </c>
      <c r="N353" s="9" t="s">
        <v>35</v>
      </c>
      <c r="O353" s="9" t="s">
        <v>956</v>
      </c>
      <c r="P353" s="9" t="s">
        <v>957</v>
      </c>
      <c r="Q353" s="8">
        <v>0.0</v>
      </c>
      <c r="R353" s="8">
        <v>0.0</v>
      </c>
      <c r="S353" s="8">
        <v>0.0</v>
      </c>
      <c r="T353" s="8">
        <v>0.0</v>
      </c>
      <c r="U353" s="8">
        <v>0.0</v>
      </c>
      <c r="V353" s="8">
        <v>0.0</v>
      </c>
      <c r="W353" s="8">
        <v>1.0</v>
      </c>
      <c r="X353" s="8">
        <v>0.0</v>
      </c>
      <c r="Y353" s="8">
        <v>0.0</v>
      </c>
      <c r="Z353" s="8">
        <v>0.0</v>
      </c>
      <c r="AA353" s="8">
        <v>0.0</v>
      </c>
      <c r="AB353" s="8">
        <v>0.0</v>
      </c>
      <c r="AC353" s="8">
        <v>0.0</v>
      </c>
      <c r="AD353" s="9" t="s">
        <v>38</v>
      </c>
      <c r="AE353" s="9" t="s">
        <v>39</v>
      </c>
      <c r="AF353" s="9" t="s">
        <v>40</v>
      </c>
    </row>
    <row r="354">
      <c r="A354" s="13" t="s">
        <v>794</v>
      </c>
      <c r="B354" s="8">
        <v>3458.0</v>
      </c>
      <c r="C354" s="8">
        <v>1346177.0</v>
      </c>
      <c r="D354" s="8">
        <v>1356688.0</v>
      </c>
      <c r="E354" s="9" t="s">
        <v>944</v>
      </c>
      <c r="F354" s="9"/>
      <c r="G354" s="9" t="s">
        <v>945</v>
      </c>
      <c r="H354" s="9"/>
      <c r="I354" s="8">
        <v>1973.0</v>
      </c>
      <c r="J354" s="9" t="s">
        <v>946</v>
      </c>
      <c r="K354" s="9"/>
      <c r="L354" s="9"/>
      <c r="M354" s="9" t="s">
        <v>958</v>
      </c>
      <c r="N354" s="9" t="s">
        <v>35</v>
      </c>
      <c r="O354" s="9" t="s">
        <v>959</v>
      </c>
      <c r="P354" s="9" t="s">
        <v>960</v>
      </c>
      <c r="Q354" s="8">
        <v>0.0</v>
      </c>
      <c r="R354" s="8">
        <v>0.0</v>
      </c>
      <c r="S354" s="8">
        <v>0.0</v>
      </c>
      <c r="T354" s="8">
        <v>1.0</v>
      </c>
      <c r="U354" s="8">
        <v>0.0</v>
      </c>
      <c r="V354" s="8">
        <v>0.0</v>
      </c>
      <c r="W354" s="8">
        <v>0.0</v>
      </c>
      <c r="X354" s="8">
        <v>0.0</v>
      </c>
      <c r="Y354" s="8">
        <v>0.0</v>
      </c>
      <c r="Z354" s="8">
        <v>0.0</v>
      </c>
      <c r="AA354" s="8">
        <v>0.0</v>
      </c>
      <c r="AB354" s="8">
        <v>0.0</v>
      </c>
      <c r="AC354" s="8">
        <v>0.0</v>
      </c>
      <c r="AD354" s="9" t="s">
        <v>38</v>
      </c>
      <c r="AE354" s="9" t="s">
        <v>39</v>
      </c>
      <c r="AF354" s="9" t="s">
        <v>40</v>
      </c>
    </row>
    <row r="355">
      <c r="A355" s="13" t="s">
        <v>794</v>
      </c>
      <c r="B355" s="8">
        <v>3537.0</v>
      </c>
      <c r="C355" s="8">
        <v>1920266.0</v>
      </c>
      <c r="D355" s="8">
        <v>1930633.0</v>
      </c>
      <c r="E355" s="9" t="s">
        <v>944</v>
      </c>
      <c r="F355" s="9"/>
      <c r="G355" s="9" t="s">
        <v>945</v>
      </c>
      <c r="H355" s="9"/>
      <c r="I355" s="8">
        <v>1973.0</v>
      </c>
      <c r="J355" s="9" t="s">
        <v>946</v>
      </c>
      <c r="K355" s="9"/>
      <c r="L355" s="9"/>
      <c r="M355" s="9" t="s">
        <v>961</v>
      </c>
      <c r="N355" s="9" t="s">
        <v>35</v>
      </c>
      <c r="O355" s="9" t="s">
        <v>962</v>
      </c>
      <c r="P355" s="9" t="s">
        <v>963</v>
      </c>
      <c r="Q355" s="8">
        <v>1.0</v>
      </c>
      <c r="R355" s="8">
        <v>0.0</v>
      </c>
      <c r="S355" s="8">
        <v>0.0</v>
      </c>
      <c r="T355" s="8">
        <v>0.0</v>
      </c>
      <c r="U355" s="8">
        <v>0.0</v>
      </c>
      <c r="V355" s="8">
        <v>0.0</v>
      </c>
      <c r="W355" s="8">
        <v>0.0</v>
      </c>
      <c r="X355" s="8">
        <v>0.0</v>
      </c>
      <c r="Y355" s="8">
        <v>0.0</v>
      </c>
      <c r="Z355" s="8">
        <v>0.0</v>
      </c>
      <c r="AA355" s="8">
        <v>0.0</v>
      </c>
      <c r="AB355" s="8">
        <v>0.0</v>
      </c>
      <c r="AC355" s="8">
        <v>0.0</v>
      </c>
      <c r="AD355" s="9" t="s">
        <v>38</v>
      </c>
      <c r="AE355" s="9" t="s">
        <v>39</v>
      </c>
      <c r="AF355" s="9" t="s">
        <v>40</v>
      </c>
    </row>
    <row r="356">
      <c r="A356" s="13" t="s">
        <v>794</v>
      </c>
      <c r="B356" s="8">
        <v>3542.0</v>
      </c>
      <c r="C356" s="8">
        <v>1966544.0</v>
      </c>
      <c r="D356" s="8">
        <v>1976561.0</v>
      </c>
      <c r="E356" s="9" t="s">
        <v>944</v>
      </c>
      <c r="F356" s="9"/>
      <c r="G356" s="9" t="s">
        <v>945</v>
      </c>
      <c r="H356" s="9"/>
      <c r="I356" s="8">
        <v>1973.0</v>
      </c>
      <c r="J356" s="9" t="s">
        <v>946</v>
      </c>
      <c r="K356" s="9"/>
      <c r="L356" s="9"/>
      <c r="M356" s="9" t="s">
        <v>964</v>
      </c>
      <c r="N356" s="9" t="s">
        <v>35</v>
      </c>
      <c r="O356" s="9" t="s">
        <v>965</v>
      </c>
      <c r="P356" s="9" t="s">
        <v>637</v>
      </c>
      <c r="Q356" s="8">
        <v>0.0</v>
      </c>
      <c r="R356" s="8">
        <v>1.0</v>
      </c>
      <c r="S356" s="8">
        <v>0.0</v>
      </c>
      <c r="T356" s="8">
        <v>0.0</v>
      </c>
      <c r="U356" s="8">
        <v>0.0</v>
      </c>
      <c r="V356" s="8">
        <v>0.0</v>
      </c>
      <c r="W356" s="8">
        <v>0.0</v>
      </c>
      <c r="X356" s="8">
        <v>0.0</v>
      </c>
      <c r="Y356" s="8">
        <v>0.0</v>
      </c>
      <c r="Z356" s="8">
        <v>0.0</v>
      </c>
      <c r="AA356" s="8">
        <v>0.0</v>
      </c>
      <c r="AB356" s="8">
        <v>0.0</v>
      </c>
      <c r="AC356" s="8">
        <v>0.0</v>
      </c>
      <c r="AD356" s="10" t="s">
        <v>44</v>
      </c>
      <c r="AE356" s="9" t="s">
        <v>40</v>
      </c>
      <c r="AF356" s="9" t="s">
        <v>40</v>
      </c>
    </row>
    <row r="357">
      <c r="A357" s="13" t="s">
        <v>794</v>
      </c>
      <c r="B357" s="8">
        <v>3723.0</v>
      </c>
      <c r="C357" s="8">
        <v>326544.0</v>
      </c>
      <c r="D357" s="8">
        <v>331310.0</v>
      </c>
      <c r="E357" s="9" t="s">
        <v>966</v>
      </c>
      <c r="F357" s="9"/>
      <c r="G357" s="9" t="s">
        <v>967</v>
      </c>
      <c r="H357" s="9"/>
      <c r="I357" s="8">
        <v>1955.0</v>
      </c>
      <c r="J357" s="9" t="s">
        <v>881</v>
      </c>
      <c r="K357" s="9"/>
      <c r="L357" s="9"/>
      <c r="M357" s="9" t="s">
        <v>968</v>
      </c>
      <c r="N357" s="9" t="s">
        <v>35</v>
      </c>
      <c r="O357" s="9" t="s">
        <v>969</v>
      </c>
      <c r="P357" s="9" t="s">
        <v>823</v>
      </c>
      <c r="Q357" s="8">
        <v>1.0</v>
      </c>
      <c r="R357" s="8">
        <v>0.0</v>
      </c>
      <c r="S357" s="8">
        <v>0.0</v>
      </c>
      <c r="T357" s="8">
        <v>0.0</v>
      </c>
      <c r="U357" s="8">
        <v>0.0</v>
      </c>
      <c r="V357" s="8">
        <v>0.0</v>
      </c>
      <c r="W357" s="8">
        <v>0.0</v>
      </c>
      <c r="X357" s="8">
        <v>0.0</v>
      </c>
      <c r="Y357" s="8">
        <v>0.0</v>
      </c>
      <c r="Z357" s="8">
        <v>0.0</v>
      </c>
      <c r="AA357" s="8">
        <v>0.0</v>
      </c>
      <c r="AB357" s="8">
        <v>0.0</v>
      </c>
      <c r="AC357" s="8">
        <v>0.0</v>
      </c>
      <c r="AD357" s="9" t="s">
        <v>38</v>
      </c>
      <c r="AE357" s="9" t="s">
        <v>39</v>
      </c>
      <c r="AF357" s="9" t="s">
        <v>40</v>
      </c>
    </row>
    <row r="358">
      <c r="A358" s="13" t="s">
        <v>794</v>
      </c>
      <c r="B358" s="8">
        <v>3733.0</v>
      </c>
      <c r="C358" s="8">
        <v>398419.0</v>
      </c>
      <c r="D358" s="8">
        <v>416069.0</v>
      </c>
      <c r="E358" s="9" t="s">
        <v>966</v>
      </c>
      <c r="F358" s="9"/>
      <c r="G358" s="9" t="s">
        <v>967</v>
      </c>
      <c r="H358" s="9"/>
      <c r="I358" s="8">
        <v>1955.0</v>
      </c>
      <c r="J358" s="9" t="s">
        <v>881</v>
      </c>
      <c r="K358" s="9"/>
      <c r="L358" s="9"/>
      <c r="M358" s="9" t="s">
        <v>970</v>
      </c>
      <c r="N358" s="9" t="s">
        <v>35</v>
      </c>
      <c r="O358" s="9" t="s">
        <v>971</v>
      </c>
      <c r="P358" s="9" t="s">
        <v>972</v>
      </c>
      <c r="Q358" s="8">
        <v>1.0</v>
      </c>
      <c r="R358" s="8">
        <v>0.0</v>
      </c>
      <c r="S358" s="8">
        <v>0.0</v>
      </c>
      <c r="T358" s="8">
        <v>0.0</v>
      </c>
      <c r="U358" s="8">
        <v>0.0</v>
      </c>
      <c r="V358" s="8">
        <v>0.0</v>
      </c>
      <c r="W358" s="8">
        <v>0.0</v>
      </c>
      <c r="X358" s="8">
        <v>0.0</v>
      </c>
      <c r="Y358" s="8">
        <v>0.0</v>
      </c>
      <c r="Z358" s="8">
        <v>0.0</v>
      </c>
      <c r="AA358" s="8">
        <v>0.0</v>
      </c>
      <c r="AB358" s="8">
        <v>0.0</v>
      </c>
      <c r="AC358" s="8">
        <v>0.0</v>
      </c>
      <c r="AD358" s="9" t="s">
        <v>38</v>
      </c>
      <c r="AE358" s="9" t="s">
        <v>39</v>
      </c>
      <c r="AF358" s="9" t="s">
        <v>40</v>
      </c>
    </row>
    <row r="359">
      <c r="A359" s="13" t="s">
        <v>794</v>
      </c>
      <c r="B359" s="8">
        <v>3824.0</v>
      </c>
      <c r="C359" s="8">
        <v>1315018.0</v>
      </c>
      <c r="D359" s="8">
        <v>1328078.0</v>
      </c>
      <c r="E359" s="9" t="s">
        <v>966</v>
      </c>
      <c r="F359" s="9"/>
      <c r="G359" s="9" t="s">
        <v>967</v>
      </c>
      <c r="H359" s="9"/>
      <c r="I359" s="8">
        <v>1955.0</v>
      </c>
      <c r="J359" s="9" t="s">
        <v>881</v>
      </c>
      <c r="K359" s="9"/>
      <c r="L359" s="9"/>
      <c r="M359" s="9" t="s">
        <v>973</v>
      </c>
      <c r="N359" s="9" t="s">
        <v>35</v>
      </c>
      <c r="O359" s="9" t="s">
        <v>974</v>
      </c>
      <c r="P359" s="9" t="s">
        <v>37</v>
      </c>
      <c r="Q359" s="8">
        <v>0.0</v>
      </c>
      <c r="R359" s="8">
        <v>1.0</v>
      </c>
      <c r="S359" s="8">
        <v>0.0</v>
      </c>
      <c r="T359" s="8">
        <v>0.0</v>
      </c>
      <c r="U359" s="8">
        <v>0.0</v>
      </c>
      <c r="V359" s="8">
        <v>0.0</v>
      </c>
      <c r="W359" s="8">
        <v>0.0</v>
      </c>
      <c r="X359" s="8">
        <v>0.0</v>
      </c>
      <c r="Y359" s="8">
        <v>0.0</v>
      </c>
      <c r="Z359" s="8">
        <v>0.0</v>
      </c>
      <c r="AA359" s="8">
        <v>0.0</v>
      </c>
      <c r="AB359" s="8">
        <v>0.0</v>
      </c>
      <c r="AC359" s="8">
        <v>0.0</v>
      </c>
      <c r="AD359" s="10" t="s">
        <v>44</v>
      </c>
      <c r="AE359" s="9" t="s">
        <v>40</v>
      </c>
      <c r="AF359" s="9" t="s">
        <v>40</v>
      </c>
    </row>
    <row r="360">
      <c r="A360" s="13" t="s">
        <v>794</v>
      </c>
      <c r="B360" s="8">
        <v>3836.0</v>
      </c>
      <c r="C360" s="8">
        <v>1402372.0</v>
      </c>
      <c r="D360" s="8">
        <v>1408950.0</v>
      </c>
      <c r="E360" s="9" t="s">
        <v>966</v>
      </c>
      <c r="F360" s="9"/>
      <c r="G360" s="9" t="s">
        <v>967</v>
      </c>
      <c r="H360" s="9"/>
      <c r="I360" s="8">
        <v>1955.0</v>
      </c>
      <c r="J360" s="9" t="s">
        <v>881</v>
      </c>
      <c r="K360" s="9"/>
      <c r="L360" s="9"/>
      <c r="M360" s="9" t="s">
        <v>975</v>
      </c>
      <c r="N360" s="9" t="s">
        <v>35</v>
      </c>
      <c r="O360" s="9" t="s">
        <v>976</v>
      </c>
      <c r="P360" s="9" t="s">
        <v>502</v>
      </c>
      <c r="Q360" s="8">
        <v>0.0</v>
      </c>
      <c r="R360" s="8">
        <v>0.0</v>
      </c>
      <c r="S360" s="8">
        <v>0.0</v>
      </c>
      <c r="T360" s="11">
        <v>1.0</v>
      </c>
      <c r="U360" s="8">
        <v>0.0</v>
      </c>
      <c r="V360" s="11">
        <v>0.0</v>
      </c>
      <c r="W360" s="8">
        <v>0.0</v>
      </c>
      <c r="X360" s="8">
        <v>0.0</v>
      </c>
      <c r="Y360" s="8">
        <v>0.0</v>
      </c>
      <c r="Z360" s="8">
        <v>0.0</v>
      </c>
      <c r="AA360" s="8">
        <v>0.0</v>
      </c>
      <c r="AB360" s="8">
        <v>0.0</v>
      </c>
      <c r="AC360" s="8">
        <v>0.0</v>
      </c>
      <c r="AD360" s="9" t="s">
        <v>38</v>
      </c>
      <c r="AE360" s="9" t="s">
        <v>39</v>
      </c>
      <c r="AF360" s="9" t="s">
        <v>40</v>
      </c>
    </row>
    <row r="361">
      <c r="A361" s="13" t="s">
        <v>794</v>
      </c>
      <c r="B361" s="8">
        <v>3841.0</v>
      </c>
      <c r="C361" s="8">
        <v>1435968.0</v>
      </c>
      <c r="D361" s="8">
        <v>1441129.0</v>
      </c>
      <c r="E361" s="9" t="s">
        <v>966</v>
      </c>
      <c r="F361" s="9"/>
      <c r="G361" s="9" t="s">
        <v>967</v>
      </c>
      <c r="H361" s="9"/>
      <c r="I361" s="8">
        <v>1955.0</v>
      </c>
      <c r="J361" s="9" t="s">
        <v>881</v>
      </c>
      <c r="K361" s="9"/>
      <c r="L361" s="9"/>
      <c r="M361" s="9" t="s">
        <v>977</v>
      </c>
      <c r="N361" s="9" t="s">
        <v>35</v>
      </c>
      <c r="O361" s="9" t="s">
        <v>978</v>
      </c>
      <c r="P361" s="9" t="s">
        <v>52</v>
      </c>
      <c r="Q361" s="8">
        <v>0.0</v>
      </c>
      <c r="R361" s="8">
        <v>0.0</v>
      </c>
      <c r="S361" s="8">
        <v>1.0</v>
      </c>
      <c r="T361" s="8">
        <v>0.0</v>
      </c>
      <c r="U361" s="8">
        <v>0.0</v>
      </c>
      <c r="V361" s="8">
        <v>0.0</v>
      </c>
      <c r="W361" s="8">
        <v>0.0</v>
      </c>
      <c r="X361" s="8">
        <v>0.0</v>
      </c>
      <c r="Y361" s="8">
        <v>0.0</v>
      </c>
      <c r="Z361" s="8">
        <v>0.0</v>
      </c>
      <c r="AA361" s="8">
        <v>0.0</v>
      </c>
      <c r="AB361" s="8">
        <v>0.0</v>
      </c>
      <c r="AC361" s="8">
        <v>0.0</v>
      </c>
      <c r="AD361" s="9" t="s">
        <v>38</v>
      </c>
      <c r="AE361" s="9" t="s">
        <v>39</v>
      </c>
      <c r="AF361" s="9" t="s">
        <v>40</v>
      </c>
    </row>
    <row r="362">
      <c r="A362" s="13" t="s">
        <v>794</v>
      </c>
      <c r="B362" s="8">
        <v>3842.0</v>
      </c>
      <c r="C362" s="8">
        <v>1441139.0</v>
      </c>
      <c r="D362" s="8">
        <v>1448559.0</v>
      </c>
      <c r="E362" s="9" t="s">
        <v>966</v>
      </c>
      <c r="F362" s="9"/>
      <c r="G362" s="9" t="s">
        <v>967</v>
      </c>
      <c r="H362" s="9"/>
      <c r="I362" s="8">
        <v>1955.0</v>
      </c>
      <c r="J362" s="9" t="s">
        <v>881</v>
      </c>
      <c r="K362" s="9"/>
      <c r="L362" s="9"/>
      <c r="M362" s="9" t="s">
        <v>979</v>
      </c>
      <c r="N362" s="9" t="s">
        <v>35</v>
      </c>
      <c r="O362" s="9" t="s">
        <v>980</v>
      </c>
      <c r="P362" s="9" t="s">
        <v>37</v>
      </c>
      <c r="Q362" s="8">
        <v>0.0</v>
      </c>
      <c r="R362" s="8">
        <v>1.0</v>
      </c>
      <c r="S362" s="8">
        <v>0.0</v>
      </c>
      <c r="T362" s="8">
        <v>0.0</v>
      </c>
      <c r="U362" s="8">
        <v>0.0</v>
      </c>
      <c r="V362" s="8">
        <v>0.0</v>
      </c>
      <c r="W362" s="8">
        <v>0.0</v>
      </c>
      <c r="X362" s="8">
        <v>0.0</v>
      </c>
      <c r="Y362" s="8">
        <v>0.0</v>
      </c>
      <c r="Z362" s="8">
        <v>0.0</v>
      </c>
      <c r="AA362" s="8">
        <v>0.0</v>
      </c>
      <c r="AB362" s="8">
        <v>0.0</v>
      </c>
      <c r="AC362" s="8">
        <v>0.0</v>
      </c>
      <c r="AD362" s="10" t="s">
        <v>44</v>
      </c>
      <c r="AE362" s="9" t="s">
        <v>40</v>
      </c>
      <c r="AF362" s="9" t="s">
        <v>40</v>
      </c>
    </row>
    <row r="363">
      <c r="A363" s="13" t="s">
        <v>794</v>
      </c>
      <c r="B363" s="8">
        <v>3845.0</v>
      </c>
      <c r="C363" s="8">
        <v>4570.0</v>
      </c>
      <c r="D363" s="8">
        <v>5450.0</v>
      </c>
      <c r="E363" s="9" t="s">
        <v>981</v>
      </c>
      <c r="F363" s="9"/>
      <c r="G363" s="9" t="s">
        <v>982</v>
      </c>
      <c r="H363" s="9"/>
      <c r="I363" s="8">
        <v>1956.0</v>
      </c>
      <c r="J363" s="9" t="s">
        <v>346</v>
      </c>
      <c r="K363" s="9"/>
      <c r="L363" s="9"/>
      <c r="M363" s="9"/>
      <c r="N363" s="9" t="s">
        <v>35</v>
      </c>
      <c r="O363" s="9" t="s">
        <v>983</v>
      </c>
      <c r="P363" s="9" t="s">
        <v>984</v>
      </c>
      <c r="Q363" s="8">
        <v>0.0</v>
      </c>
      <c r="R363" s="8">
        <v>0.0</v>
      </c>
      <c r="S363" s="8">
        <v>0.0</v>
      </c>
      <c r="T363" s="8">
        <v>0.0</v>
      </c>
      <c r="U363" s="8">
        <v>1.0</v>
      </c>
      <c r="V363" s="8">
        <v>0.0</v>
      </c>
      <c r="W363" s="8">
        <v>0.0</v>
      </c>
      <c r="X363" s="8">
        <v>0.0</v>
      </c>
      <c r="Y363" s="8">
        <v>0.0</v>
      </c>
      <c r="Z363" s="8">
        <v>0.0</v>
      </c>
      <c r="AA363" s="8">
        <v>0.0</v>
      </c>
      <c r="AB363" s="8">
        <v>0.0</v>
      </c>
      <c r="AC363" s="8">
        <v>0.0</v>
      </c>
      <c r="AD363" s="10" t="s">
        <v>44</v>
      </c>
      <c r="AE363" s="9" t="s">
        <v>40</v>
      </c>
      <c r="AF363" s="9" t="s">
        <v>40</v>
      </c>
    </row>
    <row r="364">
      <c r="A364" s="13" t="s">
        <v>794</v>
      </c>
      <c r="B364" s="8">
        <v>3852.0</v>
      </c>
      <c r="C364" s="8">
        <v>21980.0</v>
      </c>
      <c r="D364" s="8">
        <v>23490.0</v>
      </c>
      <c r="E364" s="9" t="s">
        <v>981</v>
      </c>
      <c r="F364" s="9"/>
      <c r="G364" s="9" t="s">
        <v>982</v>
      </c>
      <c r="H364" s="9"/>
      <c r="I364" s="8">
        <v>1956.0</v>
      </c>
      <c r="J364" s="9" t="s">
        <v>346</v>
      </c>
      <c r="K364" s="9"/>
      <c r="L364" s="9"/>
      <c r="M364" s="9" t="s">
        <v>985</v>
      </c>
      <c r="N364" s="9" t="s">
        <v>35</v>
      </c>
      <c r="O364" s="9" t="s">
        <v>986</v>
      </c>
      <c r="P364" s="9" t="s">
        <v>121</v>
      </c>
      <c r="Q364" s="8">
        <v>0.0</v>
      </c>
      <c r="R364" s="8">
        <v>0.0</v>
      </c>
      <c r="S364" s="8">
        <v>0.0</v>
      </c>
      <c r="T364" s="8">
        <v>0.0</v>
      </c>
      <c r="U364" s="8">
        <v>0.0</v>
      </c>
      <c r="V364" s="8">
        <v>0.0</v>
      </c>
      <c r="W364" s="8">
        <v>0.0</v>
      </c>
      <c r="X364" s="8">
        <v>0.0</v>
      </c>
      <c r="Y364" s="8">
        <v>0.0</v>
      </c>
      <c r="Z364" s="8">
        <v>1.0</v>
      </c>
      <c r="AA364" s="8">
        <v>0.0</v>
      </c>
      <c r="AB364" s="8">
        <v>0.0</v>
      </c>
      <c r="AC364" s="8">
        <v>0.0</v>
      </c>
      <c r="AD364" s="9" t="s">
        <v>38</v>
      </c>
      <c r="AE364" s="9" t="s">
        <v>39</v>
      </c>
      <c r="AF364" s="9" t="s">
        <v>40</v>
      </c>
    </row>
    <row r="365">
      <c r="A365" s="13" t="s">
        <v>794</v>
      </c>
      <c r="B365" s="8">
        <v>3855.0</v>
      </c>
      <c r="C365" s="8">
        <v>29510.0</v>
      </c>
      <c r="D365" s="8">
        <v>30390.0</v>
      </c>
      <c r="E365" s="9" t="s">
        <v>981</v>
      </c>
      <c r="F365" s="9"/>
      <c r="G365" s="9" t="s">
        <v>982</v>
      </c>
      <c r="H365" s="9"/>
      <c r="I365" s="8">
        <v>1956.0</v>
      </c>
      <c r="J365" s="9" t="s">
        <v>346</v>
      </c>
      <c r="K365" s="9"/>
      <c r="L365" s="9"/>
      <c r="M365" s="9"/>
      <c r="N365" s="9" t="s">
        <v>35</v>
      </c>
      <c r="O365" s="9" t="s">
        <v>987</v>
      </c>
      <c r="P365" s="9" t="s">
        <v>37</v>
      </c>
      <c r="Q365" s="8">
        <v>0.0</v>
      </c>
      <c r="R365" s="8">
        <v>1.0</v>
      </c>
      <c r="S365" s="8">
        <v>0.0</v>
      </c>
      <c r="T365" s="8">
        <v>0.0</v>
      </c>
      <c r="U365" s="8">
        <v>0.0</v>
      </c>
      <c r="V365" s="8">
        <v>0.0</v>
      </c>
      <c r="W365" s="8">
        <v>0.0</v>
      </c>
      <c r="X365" s="8">
        <v>0.0</v>
      </c>
      <c r="Y365" s="8">
        <v>0.0</v>
      </c>
      <c r="Z365" s="8">
        <v>0.0</v>
      </c>
      <c r="AA365" s="8">
        <v>0.0</v>
      </c>
      <c r="AB365" s="8">
        <v>0.0</v>
      </c>
      <c r="AC365" s="8">
        <v>0.0</v>
      </c>
      <c r="AD365" s="9" t="s">
        <v>38</v>
      </c>
      <c r="AE365" s="9" t="s">
        <v>39</v>
      </c>
      <c r="AF365" s="9" t="s">
        <v>40</v>
      </c>
    </row>
    <row r="366">
      <c r="A366" s="13" t="s">
        <v>794</v>
      </c>
      <c r="B366" s="8">
        <v>3870.0</v>
      </c>
      <c r="C366" s="8">
        <v>75690.0</v>
      </c>
      <c r="D366" s="8">
        <v>79320.0</v>
      </c>
      <c r="E366" s="9" t="s">
        <v>981</v>
      </c>
      <c r="F366" s="9"/>
      <c r="G366" s="9" t="s">
        <v>982</v>
      </c>
      <c r="H366" s="9"/>
      <c r="I366" s="8">
        <v>1956.0</v>
      </c>
      <c r="J366" s="9" t="s">
        <v>346</v>
      </c>
      <c r="K366" s="9"/>
      <c r="L366" s="9"/>
      <c r="M366" s="9"/>
      <c r="N366" s="9" t="s">
        <v>35</v>
      </c>
      <c r="O366" s="9" t="s">
        <v>988</v>
      </c>
      <c r="P366" s="9" t="s">
        <v>989</v>
      </c>
      <c r="Q366" s="8">
        <v>1.0</v>
      </c>
      <c r="R366" s="8">
        <v>0.0</v>
      </c>
      <c r="S366" s="8">
        <v>0.0</v>
      </c>
      <c r="T366" s="8">
        <v>0.0</v>
      </c>
      <c r="U366" s="8">
        <v>0.0</v>
      </c>
      <c r="V366" s="8">
        <v>0.0</v>
      </c>
      <c r="W366" s="8">
        <v>0.0</v>
      </c>
      <c r="X366" s="8">
        <v>0.0</v>
      </c>
      <c r="Y366" s="8">
        <v>0.0</v>
      </c>
      <c r="Z366" s="8">
        <v>0.0</v>
      </c>
      <c r="AA366" s="8">
        <v>0.0</v>
      </c>
      <c r="AB366" s="8">
        <v>0.0</v>
      </c>
      <c r="AC366" s="8">
        <v>0.0</v>
      </c>
      <c r="AD366" s="9" t="s">
        <v>38</v>
      </c>
      <c r="AE366" s="9" t="s">
        <v>39</v>
      </c>
      <c r="AF366" s="9" t="s">
        <v>40</v>
      </c>
    </row>
    <row r="367">
      <c r="A367" s="13" t="s">
        <v>794</v>
      </c>
      <c r="B367" s="8">
        <v>3937.0</v>
      </c>
      <c r="C367" s="8">
        <v>278011.0</v>
      </c>
      <c r="D367" s="8">
        <v>283086.0</v>
      </c>
      <c r="E367" s="9" t="s">
        <v>981</v>
      </c>
      <c r="F367" s="9"/>
      <c r="G367" s="9" t="s">
        <v>982</v>
      </c>
      <c r="H367" s="9"/>
      <c r="I367" s="8">
        <v>1956.0</v>
      </c>
      <c r="J367" s="9" t="s">
        <v>346</v>
      </c>
      <c r="K367" s="9"/>
      <c r="L367" s="9"/>
      <c r="M367" s="9" t="s">
        <v>990</v>
      </c>
      <c r="N367" s="9" t="s">
        <v>35</v>
      </c>
      <c r="O367" s="9" t="s">
        <v>991</v>
      </c>
      <c r="P367" s="9" t="s">
        <v>992</v>
      </c>
      <c r="Q367" s="8">
        <v>1.0</v>
      </c>
      <c r="R367" s="8">
        <v>0.0</v>
      </c>
      <c r="S367" s="8">
        <v>0.0</v>
      </c>
      <c r="T367" s="8">
        <v>0.0</v>
      </c>
      <c r="U367" s="8">
        <v>0.0</v>
      </c>
      <c r="V367" s="8">
        <v>0.0</v>
      </c>
      <c r="W367" s="8">
        <v>0.0</v>
      </c>
      <c r="X367" s="8">
        <v>0.0</v>
      </c>
      <c r="Y367" s="8">
        <v>0.0</v>
      </c>
      <c r="Z367" s="8">
        <v>0.0</v>
      </c>
      <c r="AA367" s="8">
        <v>0.0</v>
      </c>
      <c r="AB367" s="8">
        <v>0.0</v>
      </c>
      <c r="AC367" s="8">
        <v>0.0</v>
      </c>
      <c r="AD367" s="9" t="s">
        <v>38</v>
      </c>
      <c r="AE367" s="9" t="s">
        <v>39</v>
      </c>
      <c r="AF367" s="9" t="s">
        <v>40</v>
      </c>
    </row>
    <row r="368">
      <c r="A368" s="13" t="s">
        <v>794</v>
      </c>
      <c r="B368" s="8">
        <v>3960.0</v>
      </c>
      <c r="C368" s="8">
        <v>360911.0</v>
      </c>
      <c r="D368" s="8">
        <v>365278.0</v>
      </c>
      <c r="E368" s="9" t="s">
        <v>981</v>
      </c>
      <c r="F368" s="9"/>
      <c r="G368" s="9" t="s">
        <v>982</v>
      </c>
      <c r="H368" s="9"/>
      <c r="I368" s="8">
        <v>1956.0</v>
      </c>
      <c r="J368" s="9" t="s">
        <v>346</v>
      </c>
      <c r="K368" s="9"/>
      <c r="L368" s="9"/>
      <c r="M368" s="9" t="s">
        <v>993</v>
      </c>
      <c r="N368" s="9" t="s">
        <v>35</v>
      </c>
      <c r="O368" s="9" t="s">
        <v>994</v>
      </c>
      <c r="P368" s="9" t="s">
        <v>846</v>
      </c>
      <c r="Q368" s="8">
        <v>1.0</v>
      </c>
      <c r="R368" s="8">
        <v>0.0</v>
      </c>
      <c r="S368" s="8">
        <v>0.0</v>
      </c>
      <c r="T368" s="8">
        <v>0.0</v>
      </c>
      <c r="U368" s="8">
        <v>0.0</v>
      </c>
      <c r="V368" s="8">
        <v>0.0</v>
      </c>
      <c r="W368" s="8">
        <v>0.0</v>
      </c>
      <c r="X368" s="8">
        <v>0.0</v>
      </c>
      <c r="Y368" s="8">
        <v>0.0</v>
      </c>
      <c r="Z368" s="8">
        <v>0.0</v>
      </c>
      <c r="AA368" s="8">
        <v>0.0</v>
      </c>
      <c r="AB368" s="8">
        <v>0.0</v>
      </c>
      <c r="AC368" s="8">
        <v>0.0</v>
      </c>
      <c r="AD368" s="10" t="s">
        <v>44</v>
      </c>
      <c r="AE368" s="9" t="s">
        <v>40</v>
      </c>
      <c r="AF368" s="9" t="s">
        <v>40</v>
      </c>
    </row>
    <row r="369">
      <c r="A369" s="13" t="s">
        <v>794</v>
      </c>
      <c r="B369" s="8">
        <v>3960.0</v>
      </c>
      <c r="C369" s="8">
        <v>360911.0</v>
      </c>
      <c r="D369" s="8">
        <v>365278.0</v>
      </c>
      <c r="E369" s="9" t="s">
        <v>981</v>
      </c>
      <c r="F369" s="9"/>
      <c r="G369" s="9" t="s">
        <v>982</v>
      </c>
      <c r="H369" s="9"/>
      <c r="I369" s="8">
        <v>1956.0</v>
      </c>
      <c r="J369" s="9" t="s">
        <v>346</v>
      </c>
      <c r="K369" s="9"/>
      <c r="L369" s="9"/>
      <c r="M369" s="9" t="s">
        <v>995</v>
      </c>
      <c r="N369" s="9" t="s">
        <v>35</v>
      </c>
      <c r="O369" s="9" t="s">
        <v>996</v>
      </c>
      <c r="P369" s="9" t="s">
        <v>913</v>
      </c>
      <c r="Q369" s="8">
        <v>1.0</v>
      </c>
      <c r="R369" s="8">
        <v>0.0</v>
      </c>
      <c r="S369" s="8">
        <v>0.0</v>
      </c>
      <c r="T369" s="8">
        <v>0.0</v>
      </c>
      <c r="U369" s="8">
        <v>0.0</v>
      </c>
      <c r="V369" s="8">
        <v>0.0</v>
      </c>
      <c r="W369" s="8">
        <v>0.0</v>
      </c>
      <c r="X369" s="8">
        <v>0.0</v>
      </c>
      <c r="Y369" s="8">
        <v>0.0</v>
      </c>
      <c r="Z369" s="8">
        <v>0.0</v>
      </c>
      <c r="AA369" s="8">
        <v>0.0</v>
      </c>
      <c r="AB369" s="8">
        <v>0.0</v>
      </c>
      <c r="AC369" s="8">
        <v>0.0</v>
      </c>
      <c r="AD369" s="10" t="s">
        <v>44</v>
      </c>
      <c r="AE369" s="9" t="s">
        <v>40</v>
      </c>
      <c r="AF369" s="9" t="s">
        <v>40</v>
      </c>
    </row>
    <row r="370">
      <c r="A370" s="13" t="s">
        <v>794</v>
      </c>
      <c r="B370" s="8">
        <v>3960.0</v>
      </c>
      <c r="C370" s="8">
        <v>360911.0</v>
      </c>
      <c r="D370" s="8">
        <v>365278.0</v>
      </c>
      <c r="E370" s="9" t="s">
        <v>981</v>
      </c>
      <c r="F370" s="9"/>
      <c r="G370" s="9" t="s">
        <v>982</v>
      </c>
      <c r="H370" s="9"/>
      <c r="I370" s="8">
        <v>1956.0</v>
      </c>
      <c r="J370" s="9" t="s">
        <v>346</v>
      </c>
      <c r="K370" s="9"/>
      <c r="L370" s="9"/>
      <c r="M370" s="9" t="s">
        <v>997</v>
      </c>
      <c r="N370" s="9" t="s">
        <v>35</v>
      </c>
      <c r="O370" s="9" t="s">
        <v>998</v>
      </c>
      <c r="P370" s="9" t="s">
        <v>999</v>
      </c>
      <c r="Q370" s="8">
        <v>1.0</v>
      </c>
      <c r="R370" s="8">
        <v>0.0</v>
      </c>
      <c r="S370" s="8">
        <v>0.0</v>
      </c>
      <c r="T370" s="8">
        <v>0.0</v>
      </c>
      <c r="U370" s="8">
        <v>0.0</v>
      </c>
      <c r="V370" s="8">
        <v>0.0</v>
      </c>
      <c r="W370" s="8">
        <v>0.0</v>
      </c>
      <c r="X370" s="8">
        <v>0.0</v>
      </c>
      <c r="Y370" s="8">
        <v>0.0</v>
      </c>
      <c r="Z370" s="8">
        <v>0.0</v>
      </c>
      <c r="AA370" s="8">
        <v>0.0</v>
      </c>
      <c r="AB370" s="8">
        <v>0.0</v>
      </c>
      <c r="AC370" s="8">
        <v>0.0</v>
      </c>
      <c r="AD370" s="10" t="s">
        <v>44</v>
      </c>
      <c r="AE370" s="9" t="s">
        <v>40</v>
      </c>
      <c r="AF370" s="9" t="s">
        <v>40</v>
      </c>
    </row>
    <row r="371">
      <c r="A371" s="13" t="s">
        <v>794</v>
      </c>
      <c r="B371" s="8">
        <v>4172.0</v>
      </c>
      <c r="C371" s="8">
        <v>260360.0</v>
      </c>
      <c r="D371" s="8">
        <v>268839.0</v>
      </c>
      <c r="E371" s="9" t="s">
        <v>1000</v>
      </c>
      <c r="F371" s="9"/>
      <c r="G371" s="9" t="s">
        <v>1001</v>
      </c>
      <c r="H371" s="9"/>
      <c r="I371" s="8">
        <v>1932.0</v>
      </c>
      <c r="J371" s="9" t="s">
        <v>389</v>
      </c>
      <c r="K371" s="9"/>
      <c r="L371" s="9"/>
      <c r="M371" s="9" t="s">
        <v>1002</v>
      </c>
      <c r="N371" s="9" t="s">
        <v>35</v>
      </c>
      <c r="O371" s="9" t="s">
        <v>1003</v>
      </c>
      <c r="P371" s="9" t="s">
        <v>37</v>
      </c>
      <c r="Q371" s="8">
        <v>0.0</v>
      </c>
      <c r="R371" s="8">
        <v>1.0</v>
      </c>
      <c r="S371" s="8">
        <v>0.0</v>
      </c>
      <c r="T371" s="8">
        <v>0.0</v>
      </c>
      <c r="U371" s="8">
        <v>0.0</v>
      </c>
      <c r="V371" s="8">
        <v>0.0</v>
      </c>
      <c r="W371" s="8">
        <v>0.0</v>
      </c>
      <c r="X371" s="8">
        <v>0.0</v>
      </c>
      <c r="Y371" s="8">
        <v>0.0</v>
      </c>
      <c r="Z371" s="8">
        <v>0.0</v>
      </c>
      <c r="AA371" s="8">
        <v>0.0</v>
      </c>
      <c r="AB371" s="8">
        <v>0.0</v>
      </c>
      <c r="AC371" s="8">
        <v>0.0</v>
      </c>
      <c r="AD371" s="9" t="s">
        <v>38</v>
      </c>
      <c r="AE371" s="9" t="s">
        <v>39</v>
      </c>
      <c r="AF371" s="9" t="s">
        <v>40</v>
      </c>
    </row>
    <row r="372">
      <c r="A372" s="13" t="s">
        <v>794</v>
      </c>
      <c r="B372" s="8">
        <v>4237.0</v>
      </c>
      <c r="C372" s="8">
        <v>600426.0</v>
      </c>
      <c r="D372" s="8">
        <v>607492.0</v>
      </c>
      <c r="E372" s="9" t="s">
        <v>1000</v>
      </c>
      <c r="F372" s="9"/>
      <c r="G372" s="9" t="s">
        <v>1001</v>
      </c>
      <c r="H372" s="9"/>
      <c r="I372" s="8">
        <v>1932.0</v>
      </c>
      <c r="J372" s="9" t="s">
        <v>389</v>
      </c>
      <c r="K372" s="9"/>
      <c r="L372" s="9"/>
      <c r="M372" s="9" t="s">
        <v>1004</v>
      </c>
      <c r="N372" s="9" t="s">
        <v>35</v>
      </c>
      <c r="O372" s="9" t="s">
        <v>1005</v>
      </c>
      <c r="P372" s="9" t="s">
        <v>121</v>
      </c>
      <c r="Q372" s="8">
        <v>0.0</v>
      </c>
      <c r="R372" s="8">
        <v>0.0</v>
      </c>
      <c r="S372" s="8">
        <v>0.0</v>
      </c>
      <c r="T372" s="8">
        <v>0.0</v>
      </c>
      <c r="U372" s="8">
        <v>0.0</v>
      </c>
      <c r="V372" s="8">
        <v>0.0</v>
      </c>
      <c r="W372" s="8">
        <v>0.0</v>
      </c>
      <c r="X372" s="8">
        <v>0.0</v>
      </c>
      <c r="Y372" s="8">
        <v>0.0</v>
      </c>
      <c r="Z372" s="8">
        <v>1.0</v>
      </c>
      <c r="AA372" s="8">
        <v>0.0</v>
      </c>
      <c r="AB372" s="8">
        <v>0.0</v>
      </c>
      <c r="AC372" s="8">
        <v>0.0</v>
      </c>
      <c r="AD372" s="9" t="s">
        <v>38</v>
      </c>
      <c r="AE372" s="9" t="s">
        <v>39</v>
      </c>
      <c r="AF372" s="9" t="s">
        <v>40</v>
      </c>
    </row>
    <row r="373">
      <c r="A373" s="13" t="s">
        <v>794</v>
      </c>
      <c r="B373" s="8">
        <v>4310.0</v>
      </c>
      <c r="C373" s="8">
        <v>911084.0</v>
      </c>
      <c r="D373" s="8">
        <v>916281.0</v>
      </c>
      <c r="E373" s="9" t="s">
        <v>1000</v>
      </c>
      <c r="F373" s="9"/>
      <c r="G373" s="9" t="s">
        <v>1001</v>
      </c>
      <c r="H373" s="9"/>
      <c r="I373" s="8">
        <v>1932.0</v>
      </c>
      <c r="J373" s="9" t="s">
        <v>389</v>
      </c>
      <c r="K373" s="9"/>
      <c r="L373" s="9"/>
      <c r="M373" s="9" t="s">
        <v>1006</v>
      </c>
      <c r="N373" s="9" t="s">
        <v>35</v>
      </c>
      <c r="O373" s="9" t="s">
        <v>1007</v>
      </c>
      <c r="P373" s="9" t="s">
        <v>359</v>
      </c>
      <c r="Q373" s="8">
        <v>1.0</v>
      </c>
      <c r="R373" s="8">
        <v>0.0</v>
      </c>
      <c r="S373" s="8">
        <v>0.0</v>
      </c>
      <c r="T373" s="8">
        <v>0.0</v>
      </c>
      <c r="U373" s="8">
        <v>0.0</v>
      </c>
      <c r="V373" s="8">
        <v>0.0</v>
      </c>
      <c r="W373" s="8">
        <v>0.0</v>
      </c>
      <c r="X373" s="8">
        <v>0.0</v>
      </c>
      <c r="Y373" s="8">
        <v>0.0</v>
      </c>
      <c r="Z373" s="8">
        <v>0.0</v>
      </c>
      <c r="AA373" s="8">
        <v>0.0</v>
      </c>
      <c r="AB373" s="8">
        <v>0.0</v>
      </c>
      <c r="AC373" s="8">
        <v>0.0</v>
      </c>
      <c r="AD373" s="9" t="s">
        <v>38</v>
      </c>
      <c r="AE373" s="9" t="s">
        <v>39</v>
      </c>
      <c r="AF373" s="9" t="s">
        <v>40</v>
      </c>
    </row>
    <row r="374">
      <c r="A374" s="13" t="s">
        <v>794</v>
      </c>
      <c r="B374" s="8">
        <v>4331.0</v>
      </c>
      <c r="C374" s="8">
        <v>999283.0</v>
      </c>
      <c r="D374" s="8">
        <v>1004505.0</v>
      </c>
      <c r="E374" s="9" t="s">
        <v>1000</v>
      </c>
      <c r="F374" s="9"/>
      <c r="G374" s="9" t="s">
        <v>1001</v>
      </c>
      <c r="H374" s="9"/>
      <c r="I374" s="8">
        <v>1932.0</v>
      </c>
      <c r="J374" s="9" t="s">
        <v>389</v>
      </c>
      <c r="K374" s="9"/>
      <c r="L374" s="9"/>
      <c r="M374" s="9" t="s">
        <v>1008</v>
      </c>
      <c r="N374" s="9" t="s">
        <v>35</v>
      </c>
      <c r="O374" s="9" t="s">
        <v>1009</v>
      </c>
      <c r="P374" s="9" t="s">
        <v>1010</v>
      </c>
      <c r="Q374" s="8">
        <v>1.0</v>
      </c>
      <c r="R374" s="8">
        <v>0.0</v>
      </c>
      <c r="S374" s="8">
        <v>0.0</v>
      </c>
      <c r="T374" s="8">
        <v>0.0</v>
      </c>
      <c r="U374" s="8">
        <v>0.0</v>
      </c>
      <c r="V374" s="8">
        <v>0.0</v>
      </c>
      <c r="W374" s="8">
        <v>0.0</v>
      </c>
      <c r="X374" s="8">
        <v>0.0</v>
      </c>
      <c r="Y374" s="8">
        <v>0.0</v>
      </c>
      <c r="Z374" s="8">
        <v>0.0</v>
      </c>
      <c r="AA374" s="8">
        <v>0.0</v>
      </c>
      <c r="AB374" s="8">
        <v>0.0</v>
      </c>
      <c r="AC374" s="8">
        <v>0.0</v>
      </c>
      <c r="AD374" s="9" t="s">
        <v>38</v>
      </c>
      <c r="AE374" s="9" t="s">
        <v>39</v>
      </c>
      <c r="AF374" s="9" t="s">
        <v>40</v>
      </c>
    </row>
    <row r="375">
      <c r="A375" s="13" t="s">
        <v>794</v>
      </c>
      <c r="B375" s="8">
        <v>4440.0</v>
      </c>
      <c r="C375" s="8">
        <v>1360198.0</v>
      </c>
      <c r="D375" s="8">
        <v>1362355.0</v>
      </c>
      <c r="E375" s="9" t="s">
        <v>1000</v>
      </c>
      <c r="F375" s="9"/>
      <c r="G375" s="9" t="s">
        <v>1001</v>
      </c>
      <c r="H375" s="9"/>
      <c r="I375" s="8">
        <v>1932.0</v>
      </c>
      <c r="J375" s="9" t="s">
        <v>389</v>
      </c>
      <c r="K375" s="9"/>
      <c r="L375" s="9"/>
      <c r="M375" s="9" t="s">
        <v>1011</v>
      </c>
      <c r="N375" s="9" t="s">
        <v>35</v>
      </c>
      <c r="O375" s="9" t="s">
        <v>1012</v>
      </c>
      <c r="P375" s="9" t="s">
        <v>281</v>
      </c>
      <c r="Q375" s="8">
        <v>0.0</v>
      </c>
      <c r="R375" s="8">
        <v>0.0</v>
      </c>
      <c r="S375" s="8">
        <v>0.0</v>
      </c>
      <c r="T375" s="8">
        <v>1.0</v>
      </c>
      <c r="U375" s="8">
        <v>0.0</v>
      </c>
      <c r="V375" s="8">
        <v>0.0</v>
      </c>
      <c r="W375" s="8">
        <v>0.0</v>
      </c>
      <c r="X375" s="8">
        <v>0.0</v>
      </c>
      <c r="Y375" s="8">
        <v>0.0</v>
      </c>
      <c r="Z375" s="8">
        <v>0.0</v>
      </c>
      <c r="AA375" s="8">
        <v>0.0</v>
      </c>
      <c r="AB375" s="8">
        <v>0.0</v>
      </c>
      <c r="AC375" s="8">
        <v>0.0</v>
      </c>
      <c r="AD375" s="9" t="s">
        <v>38</v>
      </c>
      <c r="AE375" s="9" t="s">
        <v>39</v>
      </c>
      <c r="AF375" s="9" t="s">
        <v>40</v>
      </c>
    </row>
    <row r="376">
      <c r="A376" s="13" t="s">
        <v>794</v>
      </c>
      <c r="B376" s="8">
        <v>4497.0</v>
      </c>
      <c r="C376" s="8">
        <v>1525487.0</v>
      </c>
      <c r="D376" s="8">
        <v>1526504.0</v>
      </c>
      <c r="E376" s="9" t="s">
        <v>1000</v>
      </c>
      <c r="F376" s="9"/>
      <c r="G376" s="9" t="s">
        <v>1001</v>
      </c>
      <c r="H376" s="9"/>
      <c r="I376" s="8">
        <v>1932.0</v>
      </c>
      <c r="J376" s="9" t="s">
        <v>389</v>
      </c>
      <c r="K376" s="9"/>
      <c r="L376" s="9"/>
      <c r="M376" s="9"/>
      <c r="N376" s="9" t="s">
        <v>35</v>
      </c>
      <c r="O376" s="9" t="s">
        <v>1013</v>
      </c>
      <c r="P376" s="9" t="s">
        <v>1014</v>
      </c>
      <c r="Q376" s="8">
        <v>1.0</v>
      </c>
      <c r="R376" s="8">
        <v>0.0</v>
      </c>
      <c r="S376" s="8">
        <v>0.0</v>
      </c>
      <c r="T376" s="8">
        <v>0.0</v>
      </c>
      <c r="U376" s="8">
        <v>0.0</v>
      </c>
      <c r="V376" s="8">
        <v>0.0</v>
      </c>
      <c r="W376" s="8">
        <v>0.0</v>
      </c>
      <c r="X376" s="8">
        <v>0.0</v>
      </c>
      <c r="Y376" s="8">
        <v>0.0</v>
      </c>
      <c r="Z376" s="8">
        <v>0.0</v>
      </c>
      <c r="AA376" s="8">
        <v>0.0</v>
      </c>
      <c r="AB376" s="8">
        <v>0.0</v>
      </c>
      <c r="AC376" s="8">
        <v>0.0</v>
      </c>
      <c r="AD376" s="10" t="s">
        <v>44</v>
      </c>
      <c r="AE376" s="9" t="s">
        <v>40</v>
      </c>
      <c r="AF376" s="9" t="s">
        <v>40</v>
      </c>
    </row>
    <row r="377">
      <c r="A377" s="13" t="s">
        <v>794</v>
      </c>
      <c r="B377" s="8">
        <v>4541.0</v>
      </c>
      <c r="C377" s="8">
        <v>1658572.0</v>
      </c>
      <c r="D377" s="8">
        <v>1659810.0</v>
      </c>
      <c r="E377" s="9" t="s">
        <v>1000</v>
      </c>
      <c r="F377" s="9"/>
      <c r="G377" s="9" t="s">
        <v>1001</v>
      </c>
      <c r="H377" s="9"/>
      <c r="I377" s="8">
        <v>1932.0</v>
      </c>
      <c r="J377" s="9" t="s">
        <v>389</v>
      </c>
      <c r="K377" s="9"/>
      <c r="L377" s="9"/>
      <c r="M377" s="9"/>
      <c r="N377" s="9" t="s">
        <v>35</v>
      </c>
      <c r="O377" s="9" t="s">
        <v>1015</v>
      </c>
      <c r="P377" s="9" t="s">
        <v>52</v>
      </c>
      <c r="Q377" s="8">
        <v>0.0</v>
      </c>
      <c r="R377" s="8">
        <v>0.0</v>
      </c>
      <c r="S377" s="8">
        <v>1.0</v>
      </c>
      <c r="T377" s="8">
        <v>0.0</v>
      </c>
      <c r="U377" s="8">
        <v>0.0</v>
      </c>
      <c r="V377" s="8">
        <v>0.0</v>
      </c>
      <c r="W377" s="8">
        <v>0.0</v>
      </c>
      <c r="X377" s="8">
        <v>0.0</v>
      </c>
      <c r="Y377" s="8">
        <v>0.0</v>
      </c>
      <c r="Z377" s="8">
        <v>0.0</v>
      </c>
      <c r="AA377" s="8">
        <v>0.0</v>
      </c>
      <c r="AB377" s="8">
        <v>0.0</v>
      </c>
      <c r="AC377" s="8">
        <v>0.0</v>
      </c>
      <c r="AD377" s="9" t="s">
        <v>38</v>
      </c>
      <c r="AE377" s="9" t="s">
        <v>39</v>
      </c>
      <c r="AF377" s="9" t="s">
        <v>40</v>
      </c>
    </row>
    <row r="378">
      <c r="A378" s="13" t="s">
        <v>794</v>
      </c>
      <c r="B378" s="8">
        <v>5212.0</v>
      </c>
      <c r="C378" s="8">
        <v>4556061.0</v>
      </c>
      <c r="D378" s="8">
        <v>4560883.0</v>
      </c>
      <c r="E378" s="9" t="s">
        <v>1000</v>
      </c>
      <c r="F378" s="9"/>
      <c r="G378" s="9" t="s">
        <v>1001</v>
      </c>
      <c r="H378" s="9"/>
      <c r="I378" s="8">
        <v>1932.0</v>
      </c>
      <c r="J378" s="9" t="s">
        <v>389</v>
      </c>
      <c r="K378" s="9"/>
      <c r="L378" s="9"/>
      <c r="M378" s="9" t="s">
        <v>1016</v>
      </c>
      <c r="N378" s="9" t="s">
        <v>35</v>
      </c>
      <c r="O378" s="9" t="s">
        <v>1017</v>
      </c>
      <c r="P378" s="9" t="s">
        <v>408</v>
      </c>
      <c r="Q378" s="8">
        <v>1.0</v>
      </c>
      <c r="R378" s="8">
        <v>0.0</v>
      </c>
      <c r="S378" s="8">
        <v>0.0</v>
      </c>
      <c r="T378" s="8">
        <v>0.0</v>
      </c>
      <c r="U378" s="8">
        <v>0.0</v>
      </c>
      <c r="V378" s="8">
        <v>0.0</v>
      </c>
      <c r="W378" s="8">
        <v>0.0</v>
      </c>
      <c r="X378" s="8">
        <v>0.0</v>
      </c>
      <c r="Y378" s="8">
        <v>0.0</v>
      </c>
      <c r="Z378" s="8">
        <v>0.0</v>
      </c>
      <c r="AA378" s="8">
        <v>0.0</v>
      </c>
      <c r="AB378" s="8">
        <v>0.0</v>
      </c>
      <c r="AC378" s="8">
        <v>0.0</v>
      </c>
      <c r="AD378" s="9" t="s">
        <v>38</v>
      </c>
      <c r="AE378" s="9" t="s">
        <v>39</v>
      </c>
      <c r="AF378" s="9" t="s">
        <v>40</v>
      </c>
    </row>
    <row r="379">
      <c r="A379" s="13" t="s">
        <v>794</v>
      </c>
      <c r="B379" s="8">
        <v>5235.0</v>
      </c>
      <c r="C379" s="8">
        <v>4683917.0</v>
      </c>
      <c r="D379" s="8">
        <v>4688530.0</v>
      </c>
      <c r="E379" s="9" t="s">
        <v>1000</v>
      </c>
      <c r="F379" s="9"/>
      <c r="G379" s="9" t="s">
        <v>1001</v>
      </c>
      <c r="H379" s="9"/>
      <c r="I379" s="8">
        <v>1932.0</v>
      </c>
      <c r="J379" s="9" t="s">
        <v>389</v>
      </c>
      <c r="K379" s="9"/>
      <c r="L379" s="9"/>
      <c r="M379" s="9" t="s">
        <v>1018</v>
      </c>
      <c r="N379" s="9" t="s">
        <v>35</v>
      </c>
      <c r="O379" s="9" t="s">
        <v>1019</v>
      </c>
      <c r="P379" s="9" t="s">
        <v>418</v>
      </c>
      <c r="Q379" s="8">
        <v>0.0</v>
      </c>
      <c r="R379" s="8">
        <v>0.0</v>
      </c>
      <c r="S379" s="8">
        <v>0.0</v>
      </c>
      <c r="T379" s="8">
        <v>0.0</v>
      </c>
      <c r="U379" s="8">
        <v>1.0</v>
      </c>
      <c r="V379" s="8">
        <v>0.0</v>
      </c>
      <c r="W379" s="8">
        <v>0.0</v>
      </c>
      <c r="X379" s="8">
        <v>0.0</v>
      </c>
      <c r="Y379" s="8">
        <v>0.0</v>
      </c>
      <c r="Z379" s="8">
        <v>0.0</v>
      </c>
      <c r="AA379" s="8">
        <v>0.0</v>
      </c>
      <c r="AB379" s="8">
        <v>0.0</v>
      </c>
      <c r="AC379" s="8">
        <v>0.0</v>
      </c>
      <c r="AD379" s="9" t="s">
        <v>38</v>
      </c>
      <c r="AE379" s="9" t="s">
        <v>39</v>
      </c>
      <c r="AF379" s="9" t="s">
        <v>40</v>
      </c>
    </row>
    <row r="380">
      <c r="A380" s="13" t="s">
        <v>794</v>
      </c>
      <c r="B380" s="8">
        <v>5251.0</v>
      </c>
      <c r="C380" s="8">
        <v>4857381.0</v>
      </c>
      <c r="D380" s="8">
        <v>4863037.0</v>
      </c>
      <c r="E380" s="9" t="s">
        <v>1000</v>
      </c>
      <c r="F380" s="9"/>
      <c r="G380" s="9" t="s">
        <v>1001</v>
      </c>
      <c r="H380" s="9"/>
      <c r="I380" s="8">
        <v>1932.0</v>
      </c>
      <c r="J380" s="9" t="s">
        <v>389</v>
      </c>
      <c r="K380" s="9"/>
      <c r="L380" s="9"/>
      <c r="M380" s="9" t="s">
        <v>1020</v>
      </c>
      <c r="N380" s="9" t="s">
        <v>35</v>
      </c>
      <c r="O380" s="9" t="s">
        <v>1021</v>
      </c>
      <c r="P380" s="9" t="s">
        <v>418</v>
      </c>
      <c r="Q380" s="8">
        <v>0.0</v>
      </c>
      <c r="R380" s="8">
        <v>0.0</v>
      </c>
      <c r="S380" s="8">
        <v>0.0</v>
      </c>
      <c r="T380" s="8">
        <v>0.0</v>
      </c>
      <c r="U380" s="8">
        <v>1.0</v>
      </c>
      <c r="V380" s="8">
        <v>0.0</v>
      </c>
      <c r="W380" s="8">
        <v>0.0</v>
      </c>
      <c r="X380" s="8">
        <v>0.0</v>
      </c>
      <c r="Y380" s="8">
        <v>0.0</v>
      </c>
      <c r="Z380" s="8">
        <v>0.0</v>
      </c>
      <c r="AA380" s="8">
        <v>0.0</v>
      </c>
      <c r="AB380" s="8">
        <v>0.0</v>
      </c>
      <c r="AC380" s="8">
        <v>0.0</v>
      </c>
      <c r="AD380" s="10" t="s">
        <v>44</v>
      </c>
      <c r="AE380" s="9" t="s">
        <v>40</v>
      </c>
      <c r="AF380" s="9" t="s">
        <v>40</v>
      </c>
    </row>
    <row r="381">
      <c r="A381" s="13" t="s">
        <v>794</v>
      </c>
      <c r="B381" s="8">
        <v>5362.0</v>
      </c>
      <c r="C381" s="8">
        <v>5368761.0</v>
      </c>
      <c r="D381" s="8">
        <v>5370147.0</v>
      </c>
      <c r="E381" s="9" t="s">
        <v>1000</v>
      </c>
      <c r="F381" s="9"/>
      <c r="G381" s="9" t="s">
        <v>1001</v>
      </c>
      <c r="H381" s="9"/>
      <c r="I381" s="8">
        <v>1932.0</v>
      </c>
      <c r="J381" s="9" t="s">
        <v>389</v>
      </c>
      <c r="K381" s="9"/>
      <c r="L381" s="9"/>
      <c r="M381" s="9"/>
      <c r="N381" s="9" t="s">
        <v>35</v>
      </c>
      <c r="O381" s="9" t="s">
        <v>1022</v>
      </c>
      <c r="P381" s="9" t="s">
        <v>913</v>
      </c>
      <c r="Q381" s="8">
        <v>1.0</v>
      </c>
      <c r="R381" s="8">
        <v>0.0</v>
      </c>
      <c r="S381" s="8">
        <v>0.0</v>
      </c>
      <c r="T381" s="8">
        <v>0.0</v>
      </c>
      <c r="U381" s="8">
        <v>0.0</v>
      </c>
      <c r="V381" s="8">
        <v>0.0</v>
      </c>
      <c r="W381" s="8">
        <v>0.0</v>
      </c>
      <c r="X381" s="8">
        <v>0.0</v>
      </c>
      <c r="Y381" s="8">
        <v>0.0</v>
      </c>
      <c r="Z381" s="8">
        <v>0.0</v>
      </c>
      <c r="AA381" s="8">
        <v>0.0</v>
      </c>
      <c r="AB381" s="8">
        <v>0.0</v>
      </c>
      <c r="AC381" s="8">
        <v>0.0</v>
      </c>
      <c r="AD381" s="9" t="s">
        <v>38</v>
      </c>
      <c r="AE381" s="9" t="s">
        <v>39</v>
      </c>
      <c r="AF381" s="9" t="s">
        <v>40</v>
      </c>
    </row>
    <row r="382">
      <c r="A382" s="13" t="s">
        <v>794</v>
      </c>
      <c r="B382" s="8">
        <v>5470.0</v>
      </c>
      <c r="C382" s="8">
        <v>6127344.0</v>
      </c>
      <c r="D382" s="8">
        <v>6128888.0</v>
      </c>
      <c r="E382" s="9" t="s">
        <v>1000</v>
      </c>
      <c r="F382" s="9"/>
      <c r="G382" s="9" t="s">
        <v>1001</v>
      </c>
      <c r="H382" s="9"/>
      <c r="I382" s="8">
        <v>1932.0</v>
      </c>
      <c r="J382" s="9" t="s">
        <v>389</v>
      </c>
      <c r="K382" s="9"/>
      <c r="L382" s="9"/>
      <c r="M382" s="9"/>
      <c r="N382" s="9" t="s">
        <v>45</v>
      </c>
      <c r="O382" s="9" t="s">
        <v>1023</v>
      </c>
      <c r="P382" s="9" t="s">
        <v>1024</v>
      </c>
      <c r="Q382" s="8">
        <v>1.0</v>
      </c>
      <c r="R382" s="8">
        <v>0.0</v>
      </c>
      <c r="S382" s="8">
        <v>0.0</v>
      </c>
      <c r="T382" s="8">
        <v>0.0</v>
      </c>
      <c r="U382" s="8">
        <v>0.0</v>
      </c>
      <c r="V382" s="8">
        <v>0.0</v>
      </c>
      <c r="W382" s="8">
        <v>0.0</v>
      </c>
      <c r="X382" s="8">
        <v>0.0</v>
      </c>
      <c r="Y382" s="8">
        <v>0.0</v>
      </c>
      <c r="Z382" s="8">
        <v>0.0</v>
      </c>
      <c r="AA382" s="8">
        <v>0.0</v>
      </c>
      <c r="AB382" s="8">
        <v>0.0</v>
      </c>
      <c r="AC382" s="8">
        <v>0.0</v>
      </c>
      <c r="AD382" s="10" t="s">
        <v>44</v>
      </c>
      <c r="AE382" s="9" t="s">
        <v>40</v>
      </c>
      <c r="AF382" s="9" t="s">
        <v>40</v>
      </c>
    </row>
    <row r="383">
      <c r="A383" s="13" t="s">
        <v>794</v>
      </c>
      <c r="B383" s="8">
        <v>5642.0</v>
      </c>
      <c r="C383" s="8">
        <v>7016749.0</v>
      </c>
      <c r="D383" s="8">
        <v>7020419.0</v>
      </c>
      <c r="E383" s="9" t="s">
        <v>1000</v>
      </c>
      <c r="F383" s="9"/>
      <c r="G383" s="9" t="s">
        <v>1001</v>
      </c>
      <c r="H383" s="9"/>
      <c r="I383" s="8">
        <v>1932.0</v>
      </c>
      <c r="J383" s="9" t="s">
        <v>389</v>
      </c>
      <c r="K383" s="9"/>
      <c r="L383" s="9"/>
      <c r="M383" s="9" t="s">
        <v>1025</v>
      </c>
      <c r="N383" s="9" t="s">
        <v>35</v>
      </c>
      <c r="O383" s="9" t="s">
        <v>1026</v>
      </c>
      <c r="P383" s="9" t="s">
        <v>1027</v>
      </c>
      <c r="Q383" s="8">
        <v>0.0</v>
      </c>
      <c r="R383" s="8">
        <v>0.0</v>
      </c>
      <c r="S383" s="8">
        <v>0.0</v>
      </c>
      <c r="T383" s="8">
        <v>0.0</v>
      </c>
      <c r="U383" s="8">
        <v>1.0</v>
      </c>
      <c r="V383" s="8">
        <v>0.0</v>
      </c>
      <c r="W383" s="8">
        <v>0.0</v>
      </c>
      <c r="X383" s="8">
        <v>0.0</v>
      </c>
      <c r="Y383" s="8">
        <v>0.0</v>
      </c>
      <c r="Z383" s="8">
        <v>0.0</v>
      </c>
      <c r="AA383" s="8">
        <v>0.0</v>
      </c>
      <c r="AB383" s="8">
        <v>0.0</v>
      </c>
      <c r="AC383" s="8">
        <v>0.0</v>
      </c>
      <c r="AD383" s="9" t="s">
        <v>38</v>
      </c>
      <c r="AE383" s="9" t="s">
        <v>39</v>
      </c>
      <c r="AF383" s="9" t="s">
        <v>40</v>
      </c>
    </row>
    <row r="384">
      <c r="A384" s="13" t="s">
        <v>794</v>
      </c>
      <c r="B384" s="8">
        <v>5667.0</v>
      </c>
      <c r="C384" s="8">
        <v>7156769.0</v>
      </c>
      <c r="D384" s="8">
        <v>7160806.0</v>
      </c>
      <c r="E384" s="9" t="s">
        <v>1000</v>
      </c>
      <c r="F384" s="9"/>
      <c r="G384" s="9" t="s">
        <v>1001</v>
      </c>
      <c r="H384" s="9"/>
      <c r="I384" s="8">
        <v>1932.0</v>
      </c>
      <c r="J384" s="9" t="s">
        <v>389</v>
      </c>
      <c r="K384" s="9"/>
      <c r="L384" s="9"/>
      <c r="M384" s="9" t="s">
        <v>1028</v>
      </c>
      <c r="N384" s="9" t="s">
        <v>35</v>
      </c>
      <c r="O384" s="9" t="s">
        <v>1029</v>
      </c>
      <c r="P384" s="9" t="s">
        <v>1010</v>
      </c>
      <c r="Q384" s="8">
        <v>1.0</v>
      </c>
      <c r="R384" s="8">
        <v>0.0</v>
      </c>
      <c r="S384" s="8">
        <v>0.0</v>
      </c>
      <c r="T384" s="8">
        <v>0.0</v>
      </c>
      <c r="U384" s="8">
        <v>0.0</v>
      </c>
      <c r="V384" s="8">
        <v>0.0</v>
      </c>
      <c r="W384" s="8">
        <v>0.0</v>
      </c>
      <c r="X384" s="8">
        <v>0.0</v>
      </c>
      <c r="Y384" s="8">
        <v>0.0</v>
      </c>
      <c r="Z384" s="8">
        <v>0.0</v>
      </c>
      <c r="AA384" s="8">
        <v>0.0</v>
      </c>
      <c r="AB384" s="8">
        <v>0.0</v>
      </c>
      <c r="AC384" s="8">
        <v>0.0</v>
      </c>
      <c r="AD384" s="10" t="s">
        <v>44</v>
      </c>
      <c r="AE384" s="9" t="s">
        <v>40</v>
      </c>
      <c r="AF384" s="9" t="s">
        <v>40</v>
      </c>
    </row>
    <row r="385">
      <c r="A385" s="13" t="s">
        <v>794</v>
      </c>
      <c r="B385" s="8">
        <v>5732.0</v>
      </c>
      <c r="C385" s="8">
        <v>204443.0</v>
      </c>
      <c r="D385" s="8">
        <v>212800.0</v>
      </c>
      <c r="E385" s="9" t="s">
        <v>1030</v>
      </c>
      <c r="F385" s="9"/>
      <c r="G385" s="9" t="s">
        <v>1031</v>
      </c>
      <c r="H385" s="9"/>
      <c r="I385" s="8">
        <v>1930.0</v>
      </c>
      <c r="J385" s="9" t="s">
        <v>881</v>
      </c>
      <c r="K385" s="9"/>
      <c r="L385" s="9"/>
      <c r="M385" s="9" t="s">
        <v>1032</v>
      </c>
      <c r="N385" s="9" t="s">
        <v>35</v>
      </c>
      <c r="O385" s="9" t="s">
        <v>1033</v>
      </c>
      <c r="P385" s="9" t="s">
        <v>1034</v>
      </c>
      <c r="Q385" s="8">
        <v>1.0</v>
      </c>
      <c r="R385" s="8">
        <v>0.0</v>
      </c>
      <c r="S385" s="8">
        <v>0.0</v>
      </c>
      <c r="T385" s="8">
        <v>0.0</v>
      </c>
      <c r="U385" s="8">
        <v>0.0</v>
      </c>
      <c r="V385" s="8">
        <v>0.0</v>
      </c>
      <c r="W385" s="8">
        <v>0.0</v>
      </c>
      <c r="X385" s="8">
        <v>0.0</v>
      </c>
      <c r="Y385" s="8">
        <v>0.0</v>
      </c>
      <c r="Z385" s="8">
        <v>0.0</v>
      </c>
      <c r="AA385" s="8">
        <v>0.0</v>
      </c>
      <c r="AB385" s="8">
        <v>0.0</v>
      </c>
      <c r="AC385" s="8">
        <v>0.0</v>
      </c>
      <c r="AD385" s="10" t="s">
        <v>44</v>
      </c>
      <c r="AE385" s="9" t="s">
        <v>40</v>
      </c>
      <c r="AF385" s="9" t="s">
        <v>40</v>
      </c>
    </row>
    <row r="386">
      <c r="A386" s="13" t="s">
        <v>794</v>
      </c>
      <c r="B386" s="8">
        <v>5750.0</v>
      </c>
      <c r="C386" s="8">
        <v>301630.0</v>
      </c>
      <c r="D386" s="8">
        <v>307572.0</v>
      </c>
      <c r="E386" s="9" t="s">
        <v>1030</v>
      </c>
      <c r="F386" s="9"/>
      <c r="G386" s="9" t="s">
        <v>1031</v>
      </c>
      <c r="H386" s="9"/>
      <c r="I386" s="8">
        <v>1930.0</v>
      </c>
      <c r="J386" s="9" t="s">
        <v>881</v>
      </c>
      <c r="K386" s="9"/>
      <c r="L386" s="9"/>
      <c r="M386" s="9" t="s">
        <v>1035</v>
      </c>
      <c r="N386" s="9" t="s">
        <v>35</v>
      </c>
      <c r="O386" s="9" t="s">
        <v>1036</v>
      </c>
      <c r="P386" s="9" t="s">
        <v>846</v>
      </c>
      <c r="Q386" s="8">
        <v>1.0</v>
      </c>
      <c r="R386" s="8">
        <v>0.0</v>
      </c>
      <c r="S386" s="8">
        <v>0.0</v>
      </c>
      <c r="T386" s="8">
        <v>0.0</v>
      </c>
      <c r="U386" s="8">
        <v>0.0</v>
      </c>
      <c r="V386" s="8">
        <v>0.0</v>
      </c>
      <c r="W386" s="8">
        <v>0.0</v>
      </c>
      <c r="X386" s="8">
        <v>0.0</v>
      </c>
      <c r="Y386" s="8">
        <v>0.0</v>
      </c>
      <c r="Z386" s="8">
        <v>0.0</v>
      </c>
      <c r="AA386" s="8">
        <v>0.0</v>
      </c>
      <c r="AB386" s="8">
        <v>0.0</v>
      </c>
      <c r="AC386" s="8">
        <v>0.0</v>
      </c>
      <c r="AD386" s="9" t="s">
        <v>38</v>
      </c>
      <c r="AE386" s="9" t="s">
        <v>39</v>
      </c>
      <c r="AF386" s="9" t="s">
        <v>40</v>
      </c>
    </row>
    <row r="387">
      <c r="A387" s="13" t="s">
        <v>794</v>
      </c>
      <c r="B387" s="8">
        <v>5856.0</v>
      </c>
      <c r="C387" s="8">
        <v>902657.0</v>
      </c>
      <c r="D387" s="8">
        <v>913221.0</v>
      </c>
      <c r="E387" s="9" t="s">
        <v>1030</v>
      </c>
      <c r="F387" s="9"/>
      <c r="G387" s="9" t="s">
        <v>1031</v>
      </c>
      <c r="H387" s="9"/>
      <c r="I387" s="8">
        <v>1930.0</v>
      </c>
      <c r="J387" s="9" t="s">
        <v>881</v>
      </c>
      <c r="K387" s="9"/>
      <c r="L387" s="9"/>
      <c r="M387" s="9" t="s">
        <v>1037</v>
      </c>
      <c r="N387" s="9" t="s">
        <v>35</v>
      </c>
      <c r="O387" s="9" t="s">
        <v>1038</v>
      </c>
      <c r="P387" s="9" t="s">
        <v>1039</v>
      </c>
      <c r="Q387" s="8">
        <v>1.0</v>
      </c>
      <c r="R387" s="8">
        <v>0.0</v>
      </c>
      <c r="S387" s="8">
        <v>0.0</v>
      </c>
      <c r="T387" s="8">
        <v>0.0</v>
      </c>
      <c r="U387" s="8">
        <v>0.0</v>
      </c>
      <c r="V387" s="8">
        <v>0.0</v>
      </c>
      <c r="W387" s="8">
        <v>0.0</v>
      </c>
      <c r="X387" s="8">
        <v>0.0</v>
      </c>
      <c r="Y387" s="8">
        <v>0.0</v>
      </c>
      <c r="Z387" s="8">
        <v>0.0</v>
      </c>
      <c r="AA387" s="8">
        <v>0.0</v>
      </c>
      <c r="AB387" s="8">
        <v>0.0</v>
      </c>
      <c r="AC387" s="8">
        <v>0.0</v>
      </c>
      <c r="AD387" s="9" t="s">
        <v>38</v>
      </c>
      <c r="AE387" s="9" t="s">
        <v>39</v>
      </c>
      <c r="AF387" s="9" t="s">
        <v>40</v>
      </c>
    </row>
    <row r="388">
      <c r="A388" s="13" t="s">
        <v>794</v>
      </c>
      <c r="B388" s="8">
        <v>6006.0</v>
      </c>
      <c r="C388" s="8">
        <v>1859692.0</v>
      </c>
      <c r="D388" s="8">
        <v>1870970.0</v>
      </c>
      <c r="E388" s="9" t="s">
        <v>1030</v>
      </c>
      <c r="F388" s="9"/>
      <c r="G388" s="9" t="s">
        <v>1031</v>
      </c>
      <c r="H388" s="9"/>
      <c r="I388" s="8">
        <v>1930.0</v>
      </c>
      <c r="J388" s="9" t="s">
        <v>881</v>
      </c>
      <c r="K388" s="9"/>
      <c r="L388" s="9"/>
      <c r="M388" s="9"/>
      <c r="N388" s="9" t="s">
        <v>45</v>
      </c>
      <c r="O388" s="9" t="s">
        <v>1040</v>
      </c>
      <c r="P388" s="9" t="s">
        <v>99</v>
      </c>
      <c r="Q388" s="8">
        <v>0.0</v>
      </c>
      <c r="R388" s="8">
        <v>1.0</v>
      </c>
      <c r="S388" s="8">
        <v>0.0</v>
      </c>
      <c r="T388" s="8">
        <v>0.0</v>
      </c>
      <c r="U388" s="8">
        <v>0.0</v>
      </c>
      <c r="V388" s="8">
        <v>0.0</v>
      </c>
      <c r="W388" s="8">
        <v>0.0</v>
      </c>
      <c r="X388" s="8">
        <v>0.0</v>
      </c>
      <c r="Y388" s="8">
        <v>0.0</v>
      </c>
      <c r="Z388" s="8">
        <v>0.0</v>
      </c>
      <c r="AA388" s="8">
        <v>0.0</v>
      </c>
      <c r="AB388" s="8">
        <v>0.0</v>
      </c>
      <c r="AC388" s="8">
        <v>0.0</v>
      </c>
      <c r="AD388" s="9" t="s">
        <v>38</v>
      </c>
      <c r="AE388" s="9" t="s">
        <v>39</v>
      </c>
      <c r="AF388" s="9" t="s">
        <v>40</v>
      </c>
    </row>
    <row r="389">
      <c r="A389" s="13" t="s">
        <v>794</v>
      </c>
      <c r="B389" s="8">
        <v>6133.0</v>
      </c>
      <c r="C389" s="8">
        <v>2684548.0</v>
      </c>
      <c r="D389" s="8">
        <v>2693477.0</v>
      </c>
      <c r="E389" s="9" t="s">
        <v>1030</v>
      </c>
      <c r="F389" s="9"/>
      <c r="G389" s="9" t="s">
        <v>1031</v>
      </c>
      <c r="H389" s="9"/>
      <c r="I389" s="8">
        <v>1930.0</v>
      </c>
      <c r="J389" s="9" t="s">
        <v>881</v>
      </c>
      <c r="K389" s="9"/>
      <c r="L389" s="9"/>
      <c r="M389" s="9" t="s">
        <v>1041</v>
      </c>
      <c r="N389" s="9" t="s">
        <v>35</v>
      </c>
      <c r="O389" s="9" t="s">
        <v>1042</v>
      </c>
      <c r="P389" s="9" t="s">
        <v>637</v>
      </c>
      <c r="Q389" s="8">
        <v>0.0</v>
      </c>
      <c r="R389" s="8">
        <v>1.0</v>
      </c>
      <c r="S389" s="8">
        <v>0.0</v>
      </c>
      <c r="T389" s="8">
        <v>0.0</v>
      </c>
      <c r="U389" s="8">
        <v>0.0</v>
      </c>
      <c r="V389" s="8">
        <v>0.0</v>
      </c>
      <c r="W389" s="8">
        <v>0.0</v>
      </c>
      <c r="X389" s="8">
        <v>0.0</v>
      </c>
      <c r="Y389" s="8">
        <v>0.0</v>
      </c>
      <c r="Z389" s="8">
        <v>0.0</v>
      </c>
      <c r="AA389" s="8">
        <v>0.0</v>
      </c>
      <c r="AB389" s="8">
        <v>0.0</v>
      </c>
      <c r="AC389" s="8">
        <v>0.0</v>
      </c>
      <c r="AD389" s="9" t="s">
        <v>38</v>
      </c>
      <c r="AE389" s="9" t="s">
        <v>39</v>
      </c>
      <c r="AF389" s="9" t="s">
        <v>40</v>
      </c>
    </row>
    <row r="390">
      <c r="A390" s="13" t="s">
        <v>794</v>
      </c>
      <c r="B390" s="8">
        <v>6141.0</v>
      </c>
      <c r="C390" s="8">
        <v>2751007.0</v>
      </c>
      <c r="D390" s="8">
        <v>2763037.0</v>
      </c>
      <c r="E390" s="9" t="s">
        <v>1030</v>
      </c>
      <c r="F390" s="9"/>
      <c r="G390" s="9" t="s">
        <v>1031</v>
      </c>
      <c r="H390" s="9"/>
      <c r="I390" s="8">
        <v>1930.0</v>
      </c>
      <c r="J390" s="9" t="s">
        <v>881</v>
      </c>
      <c r="K390" s="9"/>
      <c r="L390" s="9"/>
      <c r="M390" s="9" t="s">
        <v>1043</v>
      </c>
      <c r="N390" s="9" t="s">
        <v>35</v>
      </c>
      <c r="O390" s="9" t="s">
        <v>1044</v>
      </c>
      <c r="P390" s="9" t="s">
        <v>637</v>
      </c>
      <c r="Q390" s="8">
        <v>0.0</v>
      </c>
      <c r="R390" s="8">
        <v>1.0</v>
      </c>
      <c r="S390" s="8">
        <v>0.0</v>
      </c>
      <c r="T390" s="8">
        <v>0.0</v>
      </c>
      <c r="U390" s="8">
        <v>0.0</v>
      </c>
      <c r="V390" s="8">
        <v>0.0</v>
      </c>
      <c r="W390" s="8">
        <v>0.0</v>
      </c>
      <c r="X390" s="8">
        <v>0.0</v>
      </c>
      <c r="Y390" s="8">
        <v>0.0</v>
      </c>
      <c r="Z390" s="8">
        <v>0.0</v>
      </c>
      <c r="AA390" s="8">
        <v>0.0</v>
      </c>
      <c r="AB390" s="8">
        <v>0.0</v>
      </c>
      <c r="AC390" s="8">
        <v>0.0</v>
      </c>
      <c r="AD390" s="9" t="s">
        <v>38</v>
      </c>
      <c r="AE390" s="9" t="s">
        <v>39</v>
      </c>
      <c r="AF390" s="9" t="s">
        <v>40</v>
      </c>
    </row>
    <row r="391">
      <c r="A391" s="13" t="s">
        <v>794</v>
      </c>
      <c r="B391" s="8">
        <v>6188.0</v>
      </c>
      <c r="C391" s="8">
        <v>6655253.0</v>
      </c>
      <c r="D391" s="8">
        <v>6668381.0</v>
      </c>
      <c r="E391" s="9" t="s">
        <v>1045</v>
      </c>
      <c r="F391" s="9"/>
      <c r="G391" s="9" t="s">
        <v>1046</v>
      </c>
      <c r="H391" s="9"/>
      <c r="I391" s="8">
        <v>1955.0</v>
      </c>
      <c r="J391" s="9" t="s">
        <v>797</v>
      </c>
      <c r="K391" s="9"/>
      <c r="L391" s="9"/>
      <c r="M391" s="9" t="s">
        <v>1047</v>
      </c>
      <c r="N391" s="9" t="s">
        <v>35</v>
      </c>
      <c r="O391" s="9" t="s">
        <v>1048</v>
      </c>
      <c r="P391" s="9" t="s">
        <v>637</v>
      </c>
      <c r="Q391" s="8">
        <v>0.0</v>
      </c>
      <c r="R391" s="8">
        <v>1.0</v>
      </c>
      <c r="S391" s="8">
        <v>0.0</v>
      </c>
      <c r="T391" s="8">
        <v>0.0</v>
      </c>
      <c r="U391" s="8">
        <v>0.0</v>
      </c>
      <c r="V391" s="8">
        <v>0.0</v>
      </c>
      <c r="W391" s="8">
        <v>0.0</v>
      </c>
      <c r="X391" s="8">
        <v>0.0</v>
      </c>
      <c r="Y391" s="8">
        <v>0.0</v>
      </c>
      <c r="Z391" s="8">
        <v>0.0</v>
      </c>
      <c r="AA391" s="8">
        <v>0.0</v>
      </c>
      <c r="AB391" s="8">
        <v>0.0</v>
      </c>
      <c r="AC391" s="8">
        <v>0.0</v>
      </c>
      <c r="AD391" s="9" t="s">
        <v>38</v>
      </c>
      <c r="AE391" s="9" t="s">
        <v>39</v>
      </c>
      <c r="AF391" s="9" t="s">
        <v>40</v>
      </c>
    </row>
    <row r="392">
      <c r="A392" s="13" t="s">
        <v>794</v>
      </c>
      <c r="B392" s="8">
        <v>6309.0</v>
      </c>
      <c r="C392" s="8">
        <v>7467940.0</v>
      </c>
      <c r="D392" s="8">
        <v>7472593.0</v>
      </c>
      <c r="E392" s="9" t="s">
        <v>1045</v>
      </c>
      <c r="F392" s="9"/>
      <c r="G392" s="9" t="s">
        <v>1046</v>
      </c>
      <c r="H392" s="9"/>
      <c r="I392" s="8">
        <v>1955.0</v>
      </c>
      <c r="J392" s="9" t="s">
        <v>797</v>
      </c>
      <c r="K392" s="9"/>
      <c r="L392" s="9"/>
      <c r="M392" s="9" t="s">
        <v>1049</v>
      </c>
      <c r="N392" s="9" t="s">
        <v>35</v>
      </c>
      <c r="O392" s="9" t="s">
        <v>1050</v>
      </c>
      <c r="P392" s="9" t="s">
        <v>811</v>
      </c>
      <c r="Q392" s="8">
        <v>1.0</v>
      </c>
      <c r="R392" s="8">
        <v>0.0</v>
      </c>
      <c r="S392" s="8">
        <v>0.0</v>
      </c>
      <c r="T392" s="8">
        <v>0.0</v>
      </c>
      <c r="U392" s="8">
        <v>0.0</v>
      </c>
      <c r="V392" s="8">
        <v>0.0</v>
      </c>
      <c r="W392" s="8">
        <v>0.0</v>
      </c>
      <c r="X392" s="8">
        <v>0.0</v>
      </c>
      <c r="Y392" s="8">
        <v>0.0</v>
      </c>
      <c r="Z392" s="8">
        <v>0.0</v>
      </c>
      <c r="AA392" s="8">
        <v>0.0</v>
      </c>
      <c r="AB392" s="8">
        <v>0.0</v>
      </c>
      <c r="AC392" s="8">
        <v>0.0</v>
      </c>
      <c r="AD392" s="9" t="s">
        <v>38</v>
      </c>
      <c r="AE392" s="9" t="s">
        <v>39</v>
      </c>
      <c r="AF392" s="9" t="s">
        <v>40</v>
      </c>
    </row>
    <row r="393">
      <c r="A393" s="13" t="s">
        <v>794</v>
      </c>
      <c r="B393" s="8">
        <v>6339.0</v>
      </c>
      <c r="C393" s="8">
        <v>7623776.0</v>
      </c>
      <c r="D393" s="8">
        <v>7627340.0</v>
      </c>
      <c r="E393" s="9" t="s">
        <v>1045</v>
      </c>
      <c r="F393" s="9"/>
      <c r="G393" s="9" t="s">
        <v>1046</v>
      </c>
      <c r="H393" s="9"/>
      <c r="I393" s="8">
        <v>1955.0</v>
      </c>
      <c r="J393" s="9" t="s">
        <v>797</v>
      </c>
      <c r="K393" s="9"/>
      <c r="L393" s="9"/>
      <c r="M393" s="9" t="s">
        <v>1051</v>
      </c>
      <c r="N393" s="9" t="s">
        <v>35</v>
      </c>
      <c r="O393" s="9" t="s">
        <v>1052</v>
      </c>
      <c r="P393" s="9" t="s">
        <v>811</v>
      </c>
      <c r="Q393" s="8">
        <v>1.0</v>
      </c>
      <c r="R393" s="8">
        <v>0.0</v>
      </c>
      <c r="S393" s="8">
        <v>0.0</v>
      </c>
      <c r="T393" s="8">
        <v>0.0</v>
      </c>
      <c r="U393" s="8">
        <v>0.0</v>
      </c>
      <c r="V393" s="8">
        <v>0.0</v>
      </c>
      <c r="W393" s="8">
        <v>0.0</v>
      </c>
      <c r="X393" s="8">
        <v>0.0</v>
      </c>
      <c r="Y393" s="8">
        <v>0.0</v>
      </c>
      <c r="Z393" s="8">
        <v>0.0</v>
      </c>
      <c r="AA393" s="8">
        <v>0.0</v>
      </c>
      <c r="AB393" s="8">
        <v>0.0</v>
      </c>
      <c r="AC393" s="8">
        <v>0.0</v>
      </c>
      <c r="AD393" s="10" t="s">
        <v>44</v>
      </c>
      <c r="AE393" s="9" t="s">
        <v>40</v>
      </c>
      <c r="AF393" s="9" t="s">
        <v>40</v>
      </c>
    </row>
    <row r="394">
      <c r="A394" s="13" t="s">
        <v>794</v>
      </c>
      <c r="B394" s="8">
        <v>6482.0</v>
      </c>
      <c r="C394" s="8">
        <v>35493.0</v>
      </c>
      <c r="D394" s="8">
        <v>41298.0</v>
      </c>
      <c r="E394" s="9" t="s">
        <v>1053</v>
      </c>
      <c r="F394" s="9"/>
      <c r="G394" s="9" t="s">
        <v>805</v>
      </c>
      <c r="H394" s="9"/>
      <c r="I394" s="8">
        <v>1958.0</v>
      </c>
      <c r="J394" s="9" t="s">
        <v>806</v>
      </c>
      <c r="K394" s="9"/>
      <c r="L394" s="9"/>
      <c r="M394" s="9" t="s">
        <v>1054</v>
      </c>
      <c r="N394" s="9" t="s">
        <v>35</v>
      </c>
      <c r="O394" s="9" t="s">
        <v>1055</v>
      </c>
      <c r="P394" s="9" t="s">
        <v>846</v>
      </c>
      <c r="Q394" s="8">
        <v>1.0</v>
      </c>
      <c r="R394" s="8">
        <v>0.0</v>
      </c>
      <c r="S394" s="8">
        <v>0.0</v>
      </c>
      <c r="T394" s="8">
        <v>0.0</v>
      </c>
      <c r="U394" s="8">
        <v>0.0</v>
      </c>
      <c r="V394" s="8">
        <v>0.0</v>
      </c>
      <c r="W394" s="8">
        <v>0.0</v>
      </c>
      <c r="X394" s="8">
        <v>0.0</v>
      </c>
      <c r="Y394" s="8">
        <v>0.0</v>
      </c>
      <c r="Z394" s="8">
        <v>0.0</v>
      </c>
      <c r="AA394" s="8">
        <v>0.0</v>
      </c>
      <c r="AB394" s="8">
        <v>0.0</v>
      </c>
      <c r="AC394" s="8">
        <v>0.0</v>
      </c>
      <c r="AD394" s="10" t="s">
        <v>44</v>
      </c>
      <c r="AE394" s="9" t="s">
        <v>40</v>
      </c>
      <c r="AF394" s="9" t="s">
        <v>40</v>
      </c>
    </row>
    <row r="395">
      <c r="A395" s="13" t="s">
        <v>794</v>
      </c>
      <c r="B395" s="8">
        <v>6484.0</v>
      </c>
      <c r="C395" s="8">
        <v>48627.0</v>
      </c>
      <c r="D395" s="8">
        <v>53421.0</v>
      </c>
      <c r="E395" s="9" t="s">
        <v>1053</v>
      </c>
      <c r="F395" s="9"/>
      <c r="G395" s="9" t="s">
        <v>805</v>
      </c>
      <c r="H395" s="9"/>
      <c r="I395" s="8">
        <v>1958.0</v>
      </c>
      <c r="J395" s="9" t="s">
        <v>806</v>
      </c>
      <c r="K395" s="9"/>
      <c r="L395" s="9"/>
      <c r="M395" s="9" t="s">
        <v>1056</v>
      </c>
      <c r="N395" s="9" t="s">
        <v>35</v>
      </c>
      <c r="O395" s="9" t="s">
        <v>1057</v>
      </c>
      <c r="P395" s="9" t="s">
        <v>989</v>
      </c>
      <c r="Q395" s="8">
        <v>1.0</v>
      </c>
      <c r="R395" s="8">
        <v>0.0</v>
      </c>
      <c r="S395" s="8">
        <v>0.0</v>
      </c>
      <c r="T395" s="8">
        <v>0.0</v>
      </c>
      <c r="U395" s="8">
        <v>0.0</v>
      </c>
      <c r="V395" s="8">
        <v>0.0</v>
      </c>
      <c r="W395" s="8">
        <v>0.0</v>
      </c>
      <c r="X395" s="8">
        <v>0.0</v>
      </c>
      <c r="Y395" s="8">
        <v>0.0</v>
      </c>
      <c r="Z395" s="8">
        <v>0.0</v>
      </c>
      <c r="AA395" s="8">
        <v>0.0</v>
      </c>
      <c r="AB395" s="8">
        <v>0.0</v>
      </c>
      <c r="AC395" s="8">
        <v>0.0</v>
      </c>
      <c r="AD395" s="10" t="s">
        <v>44</v>
      </c>
      <c r="AE395" s="9" t="s">
        <v>40</v>
      </c>
      <c r="AF395" s="9" t="s">
        <v>40</v>
      </c>
    </row>
    <row r="396">
      <c r="A396" s="13" t="s">
        <v>794</v>
      </c>
      <c r="B396" s="8">
        <v>6634.0</v>
      </c>
      <c r="C396" s="8">
        <v>344786.0</v>
      </c>
      <c r="D396" s="8">
        <v>353819.0</v>
      </c>
      <c r="E396" s="9" t="s">
        <v>1058</v>
      </c>
      <c r="F396" s="9"/>
      <c r="G396" s="9" t="s">
        <v>1031</v>
      </c>
      <c r="H396" s="9"/>
      <c r="I396" s="8">
        <v>1930.0</v>
      </c>
      <c r="J396" s="9" t="s">
        <v>881</v>
      </c>
      <c r="K396" s="9"/>
      <c r="L396" s="9"/>
      <c r="M396" s="9" t="s">
        <v>1059</v>
      </c>
      <c r="N396" s="9" t="s">
        <v>35</v>
      </c>
      <c r="O396" s="9" t="s">
        <v>1060</v>
      </c>
      <c r="P396" s="9" t="s">
        <v>1061</v>
      </c>
      <c r="Q396" s="8">
        <v>1.0</v>
      </c>
      <c r="R396" s="8">
        <v>0.0</v>
      </c>
      <c r="S396" s="8">
        <v>0.0</v>
      </c>
      <c r="T396" s="8">
        <v>0.0</v>
      </c>
      <c r="U396" s="8">
        <v>0.0</v>
      </c>
      <c r="V396" s="8">
        <v>0.0</v>
      </c>
      <c r="W396" s="8">
        <v>0.0</v>
      </c>
      <c r="X396" s="8">
        <v>0.0</v>
      </c>
      <c r="Y396" s="8">
        <v>0.0</v>
      </c>
      <c r="Z396" s="8">
        <v>0.0</v>
      </c>
      <c r="AA396" s="8">
        <v>0.0</v>
      </c>
      <c r="AB396" s="8">
        <v>0.0</v>
      </c>
      <c r="AC396" s="8">
        <v>0.0</v>
      </c>
      <c r="AD396" s="9" t="s">
        <v>38</v>
      </c>
      <c r="AE396" s="9" t="s">
        <v>39</v>
      </c>
      <c r="AF396" s="9" t="s">
        <v>40</v>
      </c>
    </row>
    <row r="397">
      <c r="A397" s="13" t="s">
        <v>794</v>
      </c>
      <c r="B397" s="8">
        <v>6702.0</v>
      </c>
      <c r="C397" s="8">
        <v>766927.0</v>
      </c>
      <c r="D397" s="8">
        <v>770086.0</v>
      </c>
      <c r="E397" s="9" t="s">
        <v>1058</v>
      </c>
      <c r="F397" s="9"/>
      <c r="G397" s="9" t="s">
        <v>1031</v>
      </c>
      <c r="H397" s="9"/>
      <c r="I397" s="8">
        <v>1930.0</v>
      </c>
      <c r="J397" s="9" t="s">
        <v>881</v>
      </c>
      <c r="K397" s="9"/>
      <c r="L397" s="9"/>
      <c r="M397" s="9" t="s">
        <v>1062</v>
      </c>
      <c r="N397" s="9" t="s">
        <v>35</v>
      </c>
      <c r="O397" s="9" t="s">
        <v>1063</v>
      </c>
      <c r="P397" s="9" t="s">
        <v>1064</v>
      </c>
      <c r="Q397" s="8">
        <v>1.0</v>
      </c>
      <c r="R397" s="8">
        <v>0.0</v>
      </c>
      <c r="S397" s="8">
        <v>0.0</v>
      </c>
      <c r="T397" s="8">
        <v>0.0</v>
      </c>
      <c r="U397" s="8">
        <v>0.0</v>
      </c>
      <c r="V397" s="8">
        <v>0.0</v>
      </c>
      <c r="W397" s="8">
        <v>0.0</v>
      </c>
      <c r="X397" s="8">
        <v>0.0</v>
      </c>
      <c r="Y397" s="8">
        <v>0.0</v>
      </c>
      <c r="Z397" s="8">
        <v>0.0</v>
      </c>
      <c r="AA397" s="8">
        <v>0.0</v>
      </c>
      <c r="AB397" s="8">
        <v>0.0</v>
      </c>
      <c r="AC397" s="8">
        <v>0.0</v>
      </c>
      <c r="AD397" s="10" t="s">
        <v>44</v>
      </c>
      <c r="AE397" s="9" t="s">
        <v>40</v>
      </c>
      <c r="AF397" s="9" t="s">
        <v>40</v>
      </c>
    </row>
    <row r="398">
      <c r="A398" s="13" t="s">
        <v>794</v>
      </c>
      <c r="B398" s="8">
        <v>6728.0</v>
      </c>
      <c r="C398" s="8">
        <v>954491.0</v>
      </c>
      <c r="D398" s="8">
        <v>961238.0</v>
      </c>
      <c r="E398" s="9" t="s">
        <v>1058</v>
      </c>
      <c r="F398" s="9"/>
      <c r="G398" s="9" t="s">
        <v>1031</v>
      </c>
      <c r="H398" s="9"/>
      <c r="I398" s="8">
        <v>1930.0</v>
      </c>
      <c r="J398" s="9" t="s">
        <v>881</v>
      </c>
      <c r="K398" s="9"/>
      <c r="L398" s="9"/>
      <c r="M398" s="9" t="s">
        <v>1065</v>
      </c>
      <c r="N398" s="9" t="s">
        <v>35</v>
      </c>
      <c r="O398" s="9" t="s">
        <v>1066</v>
      </c>
      <c r="P398" s="9" t="s">
        <v>811</v>
      </c>
      <c r="Q398" s="8">
        <v>1.0</v>
      </c>
      <c r="R398" s="8">
        <v>0.0</v>
      </c>
      <c r="S398" s="8">
        <v>0.0</v>
      </c>
      <c r="T398" s="8">
        <v>0.0</v>
      </c>
      <c r="U398" s="8">
        <v>0.0</v>
      </c>
      <c r="V398" s="8">
        <v>0.0</v>
      </c>
      <c r="W398" s="8">
        <v>0.0</v>
      </c>
      <c r="X398" s="8">
        <v>0.0</v>
      </c>
      <c r="Y398" s="8">
        <v>0.0</v>
      </c>
      <c r="Z398" s="8">
        <v>0.0</v>
      </c>
      <c r="AA398" s="8">
        <v>0.0</v>
      </c>
      <c r="AB398" s="8">
        <v>0.0</v>
      </c>
      <c r="AC398" s="8">
        <v>0.0</v>
      </c>
      <c r="AD398" s="10" t="s">
        <v>44</v>
      </c>
      <c r="AE398" s="9" t="s">
        <v>40</v>
      </c>
      <c r="AF398" s="9" t="s">
        <v>40</v>
      </c>
    </row>
    <row r="399">
      <c r="A399" s="13" t="s">
        <v>794</v>
      </c>
      <c r="B399" s="8">
        <v>6733.0</v>
      </c>
      <c r="C399" s="8">
        <v>979981.0</v>
      </c>
      <c r="D399" s="8">
        <v>984759.0</v>
      </c>
      <c r="E399" s="9" t="s">
        <v>1058</v>
      </c>
      <c r="F399" s="9"/>
      <c r="G399" s="9" t="s">
        <v>1031</v>
      </c>
      <c r="H399" s="9"/>
      <c r="I399" s="8">
        <v>1930.0</v>
      </c>
      <c r="J399" s="9" t="s">
        <v>881</v>
      </c>
      <c r="K399" s="9"/>
      <c r="L399" s="9"/>
      <c r="M399" s="9" t="s">
        <v>1067</v>
      </c>
      <c r="N399" s="9" t="s">
        <v>35</v>
      </c>
      <c r="O399" s="9" t="s">
        <v>1068</v>
      </c>
      <c r="P399" s="9" t="s">
        <v>1069</v>
      </c>
      <c r="Q399" s="8">
        <v>0.0</v>
      </c>
      <c r="R399" s="8">
        <v>0.0</v>
      </c>
      <c r="S399" s="8">
        <v>0.0</v>
      </c>
      <c r="T399" s="8">
        <v>0.0</v>
      </c>
      <c r="U399" s="8">
        <v>0.0</v>
      </c>
      <c r="V399" s="8">
        <v>0.0</v>
      </c>
      <c r="W399" s="8">
        <v>0.0</v>
      </c>
      <c r="X399" s="8">
        <v>1.0</v>
      </c>
      <c r="Y399" s="8">
        <v>0.0</v>
      </c>
      <c r="Z399" s="8">
        <v>0.0</v>
      </c>
      <c r="AA399" s="8">
        <v>0.0</v>
      </c>
      <c r="AB399" s="8">
        <v>0.0</v>
      </c>
      <c r="AC399" s="8">
        <v>0.0</v>
      </c>
      <c r="AD399" s="9" t="s">
        <v>38</v>
      </c>
      <c r="AE399" s="9" t="s">
        <v>39</v>
      </c>
      <c r="AF399" s="9" t="s">
        <v>40</v>
      </c>
    </row>
    <row r="400">
      <c r="A400" s="13" t="s">
        <v>794</v>
      </c>
      <c r="B400" s="8">
        <v>6779.0</v>
      </c>
      <c r="C400" s="8">
        <v>1270191.0</v>
      </c>
      <c r="D400" s="8">
        <v>1276884.0</v>
      </c>
      <c r="E400" s="9" t="s">
        <v>1058</v>
      </c>
      <c r="F400" s="9"/>
      <c r="G400" s="9" t="s">
        <v>1031</v>
      </c>
      <c r="H400" s="9"/>
      <c r="I400" s="8">
        <v>1930.0</v>
      </c>
      <c r="J400" s="9" t="s">
        <v>881</v>
      </c>
      <c r="K400" s="9"/>
      <c r="L400" s="9"/>
      <c r="M400" s="9" t="s">
        <v>1070</v>
      </c>
      <c r="N400" s="9" t="s">
        <v>35</v>
      </c>
      <c r="O400" s="9" t="s">
        <v>1071</v>
      </c>
      <c r="P400" s="9" t="s">
        <v>1072</v>
      </c>
      <c r="Q400" s="8">
        <v>0.0</v>
      </c>
      <c r="R400" s="8">
        <v>0.0</v>
      </c>
      <c r="S400" s="8">
        <v>0.0</v>
      </c>
      <c r="T400" s="8">
        <v>0.0</v>
      </c>
      <c r="U400" s="8">
        <v>1.0</v>
      </c>
      <c r="V400" s="8">
        <v>0.0</v>
      </c>
      <c r="W400" s="8">
        <v>0.0</v>
      </c>
      <c r="X400" s="8">
        <v>0.0</v>
      </c>
      <c r="Y400" s="8">
        <v>0.0</v>
      </c>
      <c r="Z400" s="8">
        <v>0.0</v>
      </c>
      <c r="AA400" s="8">
        <v>0.0</v>
      </c>
      <c r="AB400" s="8">
        <v>0.0</v>
      </c>
      <c r="AC400" s="8">
        <v>0.0</v>
      </c>
      <c r="AD400" s="9" t="s">
        <v>38</v>
      </c>
      <c r="AE400" s="9" t="s">
        <v>39</v>
      </c>
      <c r="AF400" s="9" t="s">
        <v>40</v>
      </c>
    </row>
    <row r="401">
      <c r="A401" s="13" t="s">
        <v>794</v>
      </c>
      <c r="B401" s="8">
        <v>4339.0</v>
      </c>
      <c r="C401" s="8">
        <v>1043438.0</v>
      </c>
      <c r="D401" s="8">
        <v>1049117.0</v>
      </c>
      <c r="E401" s="9" t="s">
        <v>1000</v>
      </c>
      <c r="F401" s="9"/>
      <c r="G401" s="9" t="s">
        <v>1001</v>
      </c>
      <c r="H401" s="9"/>
      <c r="I401" s="8">
        <v>1932.0</v>
      </c>
      <c r="J401" s="9" t="s">
        <v>389</v>
      </c>
      <c r="K401" s="9"/>
      <c r="L401" s="9"/>
      <c r="M401" s="9" t="s">
        <v>1073</v>
      </c>
      <c r="N401" s="9" t="s">
        <v>35</v>
      </c>
      <c r="O401" s="9" t="s">
        <v>1074</v>
      </c>
      <c r="P401" s="9" t="s">
        <v>885</v>
      </c>
      <c r="Q401" s="8">
        <v>1.0</v>
      </c>
      <c r="R401" s="8">
        <v>0.0</v>
      </c>
      <c r="S401" s="8">
        <v>0.0</v>
      </c>
      <c r="T401" s="8">
        <v>0.0</v>
      </c>
      <c r="U401" s="8">
        <v>0.0</v>
      </c>
      <c r="V401" s="8">
        <v>0.0</v>
      </c>
      <c r="W401" s="8">
        <v>0.0</v>
      </c>
      <c r="X401" s="8">
        <v>0.0</v>
      </c>
      <c r="Y401" s="8">
        <v>0.0</v>
      </c>
      <c r="Z401" s="8">
        <v>0.0</v>
      </c>
      <c r="AA401" s="8">
        <v>0.0</v>
      </c>
      <c r="AB401" s="8">
        <v>0.0</v>
      </c>
      <c r="AC401" s="8">
        <v>0.0</v>
      </c>
      <c r="AD401" s="9" t="s">
        <v>38</v>
      </c>
      <c r="AE401" s="9" t="s">
        <v>39</v>
      </c>
      <c r="AF401" s="9" t="s">
        <v>40</v>
      </c>
    </row>
    <row r="402">
      <c r="A402" s="13" t="s">
        <v>794</v>
      </c>
      <c r="B402" s="8">
        <v>4526.0</v>
      </c>
      <c r="C402" s="8">
        <v>1615731.0</v>
      </c>
      <c r="D402" s="8">
        <v>1619620.0</v>
      </c>
      <c r="E402" s="9" t="s">
        <v>1000</v>
      </c>
      <c r="F402" s="9"/>
      <c r="G402" s="9" t="s">
        <v>1001</v>
      </c>
      <c r="H402" s="9"/>
      <c r="I402" s="8">
        <v>1932.0</v>
      </c>
      <c r="J402" s="9" t="s">
        <v>389</v>
      </c>
      <c r="K402" s="9"/>
      <c r="L402" s="9"/>
      <c r="M402" s="9" t="s">
        <v>1075</v>
      </c>
      <c r="N402" s="9" t="s">
        <v>35</v>
      </c>
      <c r="O402" s="9" t="s">
        <v>1076</v>
      </c>
      <c r="P402" s="9" t="s">
        <v>1077</v>
      </c>
      <c r="Q402" s="8">
        <v>0.0</v>
      </c>
      <c r="R402" s="8">
        <v>0.0</v>
      </c>
      <c r="S402" s="8">
        <v>0.0</v>
      </c>
      <c r="T402" s="8">
        <v>0.0</v>
      </c>
      <c r="U402" s="8">
        <v>0.0</v>
      </c>
      <c r="V402" s="8">
        <v>0.0</v>
      </c>
      <c r="W402" s="8">
        <v>0.0</v>
      </c>
      <c r="X402" s="8">
        <v>0.0</v>
      </c>
      <c r="Y402" s="8">
        <v>0.0</v>
      </c>
      <c r="Z402" s="8">
        <v>0.0</v>
      </c>
      <c r="AA402" s="8">
        <v>1.0</v>
      </c>
      <c r="AB402" s="8">
        <v>0.0</v>
      </c>
      <c r="AC402" s="8">
        <v>0.0</v>
      </c>
      <c r="AD402" s="9" t="s">
        <v>44</v>
      </c>
      <c r="AE402" s="9" t="s">
        <v>40</v>
      </c>
      <c r="AF402" s="9" t="s">
        <v>40</v>
      </c>
    </row>
    <row r="403">
      <c r="A403" s="13" t="s">
        <v>794</v>
      </c>
      <c r="B403" s="8">
        <v>4752.0</v>
      </c>
      <c r="C403" s="8">
        <v>2347978.0</v>
      </c>
      <c r="D403" s="8">
        <v>2349628.0</v>
      </c>
      <c r="E403" s="9" t="s">
        <v>1000</v>
      </c>
      <c r="F403" s="9"/>
      <c r="G403" s="9" t="s">
        <v>1001</v>
      </c>
      <c r="H403" s="9"/>
      <c r="I403" s="8">
        <v>1932.0</v>
      </c>
      <c r="J403" s="9" t="s">
        <v>389</v>
      </c>
      <c r="K403" s="9"/>
      <c r="L403" s="9"/>
      <c r="M403" s="9"/>
      <c r="N403" s="9" t="s">
        <v>35</v>
      </c>
      <c r="O403" s="9" t="s">
        <v>1078</v>
      </c>
      <c r="P403" s="9" t="s">
        <v>1079</v>
      </c>
      <c r="Q403" s="8">
        <v>0.0</v>
      </c>
      <c r="R403" s="8">
        <v>0.0</v>
      </c>
      <c r="S403" s="8">
        <v>0.0</v>
      </c>
      <c r="T403" s="8">
        <v>0.0</v>
      </c>
      <c r="U403" s="8">
        <v>0.0</v>
      </c>
      <c r="V403" s="8">
        <v>0.0</v>
      </c>
      <c r="W403" s="8">
        <v>0.0</v>
      </c>
      <c r="X403" s="8">
        <v>0.0</v>
      </c>
      <c r="Y403" s="8">
        <v>1.0</v>
      </c>
      <c r="Z403" s="8">
        <v>0.0</v>
      </c>
      <c r="AA403" s="8">
        <v>0.0</v>
      </c>
      <c r="AB403" s="8">
        <v>0.0</v>
      </c>
      <c r="AC403" s="8">
        <v>0.0</v>
      </c>
      <c r="AD403" s="9" t="s">
        <v>92</v>
      </c>
      <c r="AE403" s="9" t="s">
        <v>39</v>
      </c>
      <c r="AF403" s="9" t="s">
        <v>40</v>
      </c>
    </row>
    <row r="404">
      <c r="A404" s="13" t="s">
        <v>794</v>
      </c>
      <c r="B404" s="8">
        <v>4914.0</v>
      </c>
      <c r="C404" s="8">
        <v>3180939.0</v>
      </c>
      <c r="D404" s="8">
        <v>3184119.0</v>
      </c>
      <c r="E404" s="9" t="s">
        <v>1000</v>
      </c>
      <c r="F404" s="9"/>
      <c r="G404" s="9" t="s">
        <v>1001</v>
      </c>
      <c r="H404" s="9"/>
      <c r="I404" s="8">
        <v>1932.0</v>
      </c>
      <c r="J404" s="9" t="s">
        <v>389</v>
      </c>
      <c r="K404" s="9"/>
      <c r="L404" s="9"/>
      <c r="M404" s="9" t="s">
        <v>1080</v>
      </c>
      <c r="N404" s="9" t="s">
        <v>35</v>
      </c>
      <c r="O404" s="9" t="s">
        <v>1081</v>
      </c>
      <c r="P404" s="9" t="s">
        <v>1082</v>
      </c>
      <c r="Q404" s="8">
        <v>0.0</v>
      </c>
      <c r="R404" s="8">
        <v>0.0</v>
      </c>
      <c r="S404" s="8">
        <v>0.0</v>
      </c>
      <c r="T404" s="8">
        <v>0.0</v>
      </c>
      <c r="U404" s="8">
        <v>0.0</v>
      </c>
      <c r="V404" s="8">
        <v>0.0</v>
      </c>
      <c r="W404" s="8">
        <v>0.0</v>
      </c>
      <c r="X404" s="8">
        <v>0.0</v>
      </c>
      <c r="Y404" s="8">
        <v>0.0</v>
      </c>
      <c r="Z404" s="8">
        <v>0.0</v>
      </c>
      <c r="AA404" s="8">
        <v>1.0</v>
      </c>
      <c r="AB404" s="8">
        <v>0.0</v>
      </c>
      <c r="AC404" s="8">
        <v>0.0</v>
      </c>
      <c r="AD404" s="9" t="s">
        <v>44</v>
      </c>
      <c r="AE404" s="9" t="s">
        <v>40</v>
      </c>
      <c r="AF404" s="9" t="s">
        <v>40</v>
      </c>
    </row>
    <row r="405">
      <c r="A405" s="13" t="s">
        <v>794</v>
      </c>
      <c r="B405" s="8">
        <v>5317.0</v>
      </c>
      <c r="C405" s="8">
        <v>5142052.0</v>
      </c>
      <c r="D405" s="8">
        <v>5151192.0</v>
      </c>
      <c r="E405" s="9" t="s">
        <v>1000</v>
      </c>
      <c r="F405" s="9"/>
      <c r="G405" s="9" t="s">
        <v>1001</v>
      </c>
      <c r="H405" s="9"/>
      <c r="I405" s="8">
        <v>1932.0</v>
      </c>
      <c r="J405" s="9" t="s">
        <v>389</v>
      </c>
      <c r="K405" s="9"/>
      <c r="L405" s="9"/>
      <c r="M405" s="9" t="s">
        <v>1083</v>
      </c>
      <c r="N405" s="9" t="s">
        <v>35</v>
      </c>
      <c r="O405" s="9" t="s">
        <v>1084</v>
      </c>
      <c r="P405" s="9" t="s">
        <v>37</v>
      </c>
      <c r="Q405" s="8">
        <v>0.0</v>
      </c>
      <c r="R405" s="8">
        <v>1.0</v>
      </c>
      <c r="S405" s="8">
        <v>0.0</v>
      </c>
      <c r="T405" s="8">
        <v>0.0</v>
      </c>
      <c r="U405" s="8">
        <v>0.0</v>
      </c>
      <c r="V405" s="8">
        <v>0.0</v>
      </c>
      <c r="W405" s="8">
        <v>0.0</v>
      </c>
      <c r="X405" s="8">
        <v>0.0</v>
      </c>
      <c r="Y405" s="8">
        <v>0.0</v>
      </c>
      <c r="Z405" s="8">
        <v>0.0</v>
      </c>
      <c r="AA405" s="8">
        <v>0.0</v>
      </c>
      <c r="AB405" s="8">
        <v>0.0</v>
      </c>
      <c r="AC405" s="8">
        <v>0.0</v>
      </c>
      <c r="AD405" s="10" t="s">
        <v>44</v>
      </c>
      <c r="AE405" s="9" t="s">
        <v>40</v>
      </c>
      <c r="AF405" s="9" t="s">
        <v>40</v>
      </c>
    </row>
    <row r="406">
      <c r="A406" s="13" t="s">
        <v>794</v>
      </c>
      <c r="B406" s="8">
        <v>5854.0</v>
      </c>
      <c r="C406" s="8">
        <v>893255.0</v>
      </c>
      <c r="D406" s="8">
        <v>896844.0</v>
      </c>
      <c r="E406" s="9" t="s">
        <v>1030</v>
      </c>
      <c r="F406" s="9"/>
      <c r="G406" s="9" t="s">
        <v>1031</v>
      </c>
      <c r="H406" s="9"/>
      <c r="I406" s="8">
        <v>1930.0</v>
      </c>
      <c r="J406" s="9" t="s">
        <v>881</v>
      </c>
      <c r="K406" s="9"/>
      <c r="L406" s="9"/>
      <c r="M406" s="9" t="s">
        <v>1085</v>
      </c>
      <c r="N406" s="9" t="s">
        <v>35</v>
      </c>
      <c r="O406" s="9" t="s">
        <v>1086</v>
      </c>
      <c r="P406" s="9" t="s">
        <v>1087</v>
      </c>
      <c r="Q406" s="8">
        <v>0.0</v>
      </c>
      <c r="R406" s="8">
        <v>0.0</v>
      </c>
      <c r="S406" s="8">
        <v>0.0</v>
      </c>
      <c r="T406" s="8">
        <v>0.0</v>
      </c>
      <c r="U406" s="8">
        <v>0.0</v>
      </c>
      <c r="V406" s="8">
        <v>0.0</v>
      </c>
      <c r="W406" s="8">
        <v>0.0</v>
      </c>
      <c r="X406" s="8">
        <v>0.0</v>
      </c>
      <c r="Y406" s="8">
        <v>1.0</v>
      </c>
      <c r="Z406" s="8">
        <v>0.0</v>
      </c>
      <c r="AA406" s="8">
        <v>0.0</v>
      </c>
      <c r="AB406" s="8">
        <v>0.0</v>
      </c>
      <c r="AC406" s="8">
        <v>0.0</v>
      </c>
      <c r="AD406" s="9" t="s">
        <v>92</v>
      </c>
      <c r="AE406" s="9" t="s">
        <v>39</v>
      </c>
      <c r="AF406" s="9" t="s">
        <v>40</v>
      </c>
    </row>
    <row r="407">
      <c r="A407" s="13" t="s">
        <v>794</v>
      </c>
      <c r="B407" s="8">
        <v>225.0</v>
      </c>
      <c r="C407" s="8">
        <v>964768.0</v>
      </c>
      <c r="D407" s="8">
        <v>970882.0</v>
      </c>
      <c r="E407" s="9" t="s">
        <v>795</v>
      </c>
      <c r="F407" s="9"/>
      <c r="G407" s="9" t="s">
        <v>796</v>
      </c>
      <c r="H407" s="9"/>
      <c r="I407" s="8">
        <v>1980.0</v>
      </c>
      <c r="J407" s="9" t="s">
        <v>797</v>
      </c>
      <c r="K407" s="9"/>
      <c r="L407" s="9"/>
      <c r="M407" s="9" t="s">
        <v>1088</v>
      </c>
      <c r="N407" s="9" t="s">
        <v>89</v>
      </c>
      <c r="O407" s="9" t="s">
        <v>1089</v>
      </c>
      <c r="P407" s="9"/>
      <c r="Q407" s="8">
        <v>0.0</v>
      </c>
      <c r="R407" s="8">
        <v>0.0</v>
      </c>
      <c r="S407" s="8">
        <v>0.0</v>
      </c>
      <c r="T407" s="8">
        <v>0.0</v>
      </c>
      <c r="U407" s="8">
        <v>0.0</v>
      </c>
      <c r="V407" s="8">
        <v>0.0</v>
      </c>
      <c r="W407" s="8">
        <v>0.0</v>
      </c>
      <c r="X407" s="8">
        <v>1.0</v>
      </c>
      <c r="Y407" s="8">
        <v>0.0</v>
      </c>
      <c r="Z407" s="8">
        <v>0.0</v>
      </c>
      <c r="AA407" s="8">
        <v>0.0</v>
      </c>
      <c r="AB407" s="8">
        <v>0.0</v>
      </c>
      <c r="AC407" s="8">
        <v>0.0</v>
      </c>
      <c r="AD407" s="10" t="s">
        <v>44</v>
      </c>
      <c r="AE407" s="9" t="s">
        <v>40</v>
      </c>
      <c r="AF407" s="9" t="s">
        <v>40</v>
      </c>
    </row>
    <row r="408">
      <c r="A408" s="13" t="s">
        <v>794</v>
      </c>
      <c r="B408" s="8">
        <v>550.0</v>
      </c>
      <c r="C408" s="8">
        <v>416820.0</v>
      </c>
      <c r="D408" s="8">
        <v>423720.0</v>
      </c>
      <c r="E408" s="9" t="s">
        <v>804</v>
      </c>
      <c r="F408" s="9"/>
      <c r="G408" s="9" t="s">
        <v>805</v>
      </c>
      <c r="H408" s="9"/>
      <c r="I408" s="8">
        <v>1958.0</v>
      </c>
      <c r="J408" s="9" t="s">
        <v>806</v>
      </c>
      <c r="K408" s="9"/>
      <c r="L408" s="9"/>
      <c r="M408" s="9" t="s">
        <v>1090</v>
      </c>
      <c r="N408" s="9" t="s">
        <v>89</v>
      </c>
      <c r="O408" s="9" t="s">
        <v>1091</v>
      </c>
      <c r="P408" s="9"/>
      <c r="Q408" s="8">
        <v>1.0</v>
      </c>
      <c r="R408" s="8">
        <v>0.0</v>
      </c>
      <c r="S408" s="8">
        <v>0.0</v>
      </c>
      <c r="T408" s="8">
        <v>0.0</v>
      </c>
      <c r="U408" s="8">
        <v>0.0</v>
      </c>
      <c r="V408" s="8">
        <v>0.0</v>
      </c>
      <c r="W408" s="8">
        <v>0.0</v>
      </c>
      <c r="X408" s="8">
        <v>0.0</v>
      </c>
      <c r="Y408" s="8">
        <v>0.0</v>
      </c>
      <c r="Z408" s="8">
        <v>0.0</v>
      </c>
      <c r="AA408" s="8">
        <v>0.0</v>
      </c>
      <c r="AB408" s="8">
        <v>0.0</v>
      </c>
      <c r="AC408" s="8">
        <v>0.0</v>
      </c>
      <c r="AD408" s="9" t="s">
        <v>38</v>
      </c>
      <c r="AE408" s="9" t="s">
        <v>39</v>
      </c>
      <c r="AF408" s="9" t="s">
        <v>40</v>
      </c>
    </row>
    <row r="409">
      <c r="A409" s="13" t="s">
        <v>794</v>
      </c>
      <c r="B409" s="8">
        <v>918.0</v>
      </c>
      <c r="C409" s="8">
        <v>2415354.0</v>
      </c>
      <c r="D409" s="8">
        <v>2419423.0</v>
      </c>
      <c r="E409" s="9" t="s">
        <v>804</v>
      </c>
      <c r="F409" s="9"/>
      <c r="G409" s="9" t="s">
        <v>805</v>
      </c>
      <c r="H409" s="9"/>
      <c r="I409" s="8">
        <v>1958.0</v>
      </c>
      <c r="J409" s="9" t="s">
        <v>806</v>
      </c>
      <c r="K409" s="9"/>
      <c r="L409" s="9"/>
      <c r="M409" s="9" t="s">
        <v>249</v>
      </c>
      <c r="N409" s="9" t="s">
        <v>89</v>
      </c>
      <c r="O409" s="9" t="s">
        <v>1092</v>
      </c>
      <c r="P409" s="9"/>
      <c r="Q409" s="8">
        <v>0.0</v>
      </c>
      <c r="R409" s="8">
        <v>0.0</v>
      </c>
      <c r="S409" s="8">
        <v>0.0</v>
      </c>
      <c r="T409" s="8">
        <v>0.0</v>
      </c>
      <c r="U409" s="8">
        <v>0.0</v>
      </c>
      <c r="V409" s="8">
        <v>0.0</v>
      </c>
      <c r="W409" s="11">
        <v>1.0</v>
      </c>
      <c r="X409" s="8">
        <v>0.0</v>
      </c>
      <c r="Y409" s="8">
        <v>0.0</v>
      </c>
      <c r="Z409" s="8">
        <v>0.0</v>
      </c>
      <c r="AA409" s="8">
        <v>0.0</v>
      </c>
      <c r="AB409" s="8">
        <v>0.0</v>
      </c>
      <c r="AC409" s="8">
        <v>0.0</v>
      </c>
      <c r="AD409" s="9" t="s">
        <v>92</v>
      </c>
      <c r="AE409" s="10" t="s">
        <v>39</v>
      </c>
      <c r="AF409" s="9" t="s">
        <v>40</v>
      </c>
    </row>
    <row r="410">
      <c r="A410" s="13" t="s">
        <v>794</v>
      </c>
      <c r="B410" s="8">
        <v>1048.0</v>
      </c>
      <c r="C410" s="8">
        <v>3209383.0</v>
      </c>
      <c r="D410" s="8">
        <v>3215494.0</v>
      </c>
      <c r="E410" s="9" t="s">
        <v>804</v>
      </c>
      <c r="F410" s="9"/>
      <c r="G410" s="9" t="s">
        <v>805</v>
      </c>
      <c r="H410" s="9"/>
      <c r="I410" s="8">
        <v>1958.0</v>
      </c>
      <c r="J410" s="9" t="s">
        <v>806</v>
      </c>
      <c r="K410" s="9"/>
      <c r="L410" s="9"/>
      <c r="M410" s="9" t="s">
        <v>1093</v>
      </c>
      <c r="N410" s="9" t="s">
        <v>89</v>
      </c>
      <c r="O410" s="9" t="s">
        <v>1094</v>
      </c>
      <c r="P410" s="9"/>
      <c r="Q410" s="8">
        <v>0.0</v>
      </c>
      <c r="R410" s="8">
        <v>0.0</v>
      </c>
      <c r="S410" s="8">
        <v>0.0</v>
      </c>
      <c r="T410" s="8">
        <v>0.0</v>
      </c>
      <c r="U410" s="8">
        <v>0.0</v>
      </c>
      <c r="V410" s="8">
        <v>0.0</v>
      </c>
      <c r="W410" s="8">
        <v>0.0</v>
      </c>
      <c r="X410" s="8">
        <v>0.0</v>
      </c>
      <c r="Y410" s="8">
        <v>1.0</v>
      </c>
      <c r="Z410" s="8">
        <v>0.0</v>
      </c>
      <c r="AA410" s="8">
        <v>0.0</v>
      </c>
      <c r="AB410" s="8">
        <v>0.0</v>
      </c>
      <c r="AC410" s="8">
        <v>0.0</v>
      </c>
      <c r="AD410" s="9" t="s">
        <v>92</v>
      </c>
      <c r="AE410" s="9" t="s">
        <v>39</v>
      </c>
      <c r="AF410" s="9" t="s">
        <v>40</v>
      </c>
    </row>
    <row r="411">
      <c r="A411" s="13" t="s">
        <v>794</v>
      </c>
      <c r="B411" s="8">
        <v>1519.0</v>
      </c>
      <c r="C411" s="8">
        <v>237910.0</v>
      </c>
      <c r="D411" s="8">
        <v>241190.0</v>
      </c>
      <c r="E411" s="9" t="s">
        <v>864</v>
      </c>
      <c r="F411" s="9"/>
      <c r="G411" s="9" t="s">
        <v>865</v>
      </c>
      <c r="H411" s="9"/>
      <c r="I411" s="8">
        <v>1949.0</v>
      </c>
      <c r="J411" s="9" t="s">
        <v>797</v>
      </c>
      <c r="K411" s="9"/>
      <c r="L411" s="9"/>
      <c r="M411" s="9" t="s">
        <v>1095</v>
      </c>
      <c r="N411" s="9" t="s">
        <v>89</v>
      </c>
      <c r="O411" s="9" t="s">
        <v>1096</v>
      </c>
      <c r="P411" s="9"/>
      <c r="Q411" s="8">
        <v>0.0</v>
      </c>
      <c r="R411" s="8">
        <v>1.0</v>
      </c>
      <c r="S411" s="8">
        <v>0.0</v>
      </c>
      <c r="T411" s="8">
        <v>0.0</v>
      </c>
      <c r="U411" s="8">
        <v>0.0</v>
      </c>
      <c r="V411" s="8">
        <v>0.0</v>
      </c>
      <c r="W411" s="8">
        <v>0.0</v>
      </c>
      <c r="X411" s="8">
        <v>0.0</v>
      </c>
      <c r="Y411" s="8">
        <v>0.0</v>
      </c>
      <c r="Z411" s="8">
        <v>0.0</v>
      </c>
      <c r="AA411" s="8">
        <v>0.0</v>
      </c>
      <c r="AB411" s="8">
        <v>0.0</v>
      </c>
      <c r="AC411" s="8">
        <v>0.0</v>
      </c>
      <c r="AD411" s="9" t="s">
        <v>38</v>
      </c>
      <c r="AE411" s="9" t="s">
        <v>39</v>
      </c>
      <c r="AF411" s="9" t="s">
        <v>40</v>
      </c>
    </row>
    <row r="412">
      <c r="A412" s="13" t="s">
        <v>794</v>
      </c>
      <c r="B412" s="8">
        <v>1836.0</v>
      </c>
      <c r="C412" s="8">
        <v>448800.0</v>
      </c>
      <c r="D412" s="8">
        <v>453670.0</v>
      </c>
      <c r="E412" s="9" t="s">
        <v>879</v>
      </c>
      <c r="F412" s="9"/>
      <c r="G412" s="9" t="s">
        <v>880</v>
      </c>
      <c r="H412" s="9"/>
      <c r="I412" s="8">
        <v>1933.0</v>
      </c>
      <c r="J412" s="9" t="s">
        <v>881</v>
      </c>
      <c r="K412" s="9"/>
      <c r="L412" s="9"/>
      <c r="M412" s="9" t="s">
        <v>1097</v>
      </c>
      <c r="N412" s="9" t="s">
        <v>89</v>
      </c>
      <c r="O412" s="9" t="s">
        <v>1098</v>
      </c>
      <c r="P412" s="9"/>
      <c r="Q412" s="8">
        <v>0.0</v>
      </c>
      <c r="R412" s="8">
        <v>0.0</v>
      </c>
      <c r="S412" s="8">
        <v>0.0</v>
      </c>
      <c r="T412" s="8">
        <v>0.0</v>
      </c>
      <c r="U412" s="8">
        <v>0.0</v>
      </c>
      <c r="V412" s="8">
        <v>0.0</v>
      </c>
      <c r="W412" s="8">
        <v>0.0</v>
      </c>
      <c r="X412" s="8">
        <v>0.0</v>
      </c>
      <c r="Y412" s="8">
        <v>0.0</v>
      </c>
      <c r="Z412" s="8">
        <v>0.0</v>
      </c>
      <c r="AA412" s="8">
        <v>1.0</v>
      </c>
      <c r="AB412" s="8">
        <v>0.0</v>
      </c>
      <c r="AC412" s="8">
        <v>0.0</v>
      </c>
      <c r="AD412" s="9" t="s">
        <v>44</v>
      </c>
      <c r="AE412" s="9" t="s">
        <v>40</v>
      </c>
      <c r="AF412" s="9" t="s">
        <v>40</v>
      </c>
    </row>
    <row r="413">
      <c r="A413" s="13" t="s">
        <v>794</v>
      </c>
      <c r="B413" s="8">
        <v>6281.0</v>
      </c>
      <c r="C413" s="8">
        <v>7272315.0</v>
      </c>
      <c r="D413" s="8">
        <v>7279557.0</v>
      </c>
      <c r="E413" s="9" t="s">
        <v>1045</v>
      </c>
      <c r="F413" s="9"/>
      <c r="G413" s="9" t="s">
        <v>1046</v>
      </c>
      <c r="H413" s="9"/>
      <c r="I413" s="8">
        <v>1955.0</v>
      </c>
      <c r="J413" s="9" t="s">
        <v>797</v>
      </c>
      <c r="K413" s="9"/>
      <c r="L413" s="9"/>
      <c r="M413" s="9" t="s">
        <v>1099</v>
      </c>
      <c r="N413" s="9" t="s">
        <v>89</v>
      </c>
      <c r="O413" s="9" t="s">
        <v>1100</v>
      </c>
      <c r="P413" s="9"/>
      <c r="Q413" s="8">
        <v>0.0</v>
      </c>
      <c r="R413" s="8">
        <v>1.0</v>
      </c>
      <c r="S413" s="8">
        <v>0.0</v>
      </c>
      <c r="T413" s="8">
        <v>0.0</v>
      </c>
      <c r="U413" s="8">
        <v>0.0</v>
      </c>
      <c r="V413" s="8">
        <v>0.0</v>
      </c>
      <c r="W413" s="8">
        <v>0.0</v>
      </c>
      <c r="X413" s="8">
        <v>0.0</v>
      </c>
      <c r="Y413" s="8">
        <v>0.0</v>
      </c>
      <c r="Z413" s="8">
        <v>0.0</v>
      </c>
      <c r="AA413" s="8">
        <v>0.0</v>
      </c>
      <c r="AB413" s="8">
        <v>0.0</v>
      </c>
      <c r="AC413" s="8">
        <v>0.0</v>
      </c>
      <c r="AD413" s="10" t="s">
        <v>44</v>
      </c>
      <c r="AE413" s="9" t="s">
        <v>40</v>
      </c>
      <c r="AF413" s="9" t="s">
        <v>40</v>
      </c>
    </row>
    <row r="414">
      <c r="A414" s="13" t="s">
        <v>794</v>
      </c>
      <c r="B414" s="8">
        <v>3600.0</v>
      </c>
      <c r="C414" s="8">
        <v>2447464.0</v>
      </c>
      <c r="D414" s="8">
        <v>2453508.0</v>
      </c>
      <c r="E414" s="9" t="s">
        <v>944</v>
      </c>
      <c r="F414" s="9"/>
      <c r="G414" s="9" t="s">
        <v>945</v>
      </c>
      <c r="H414" s="9"/>
      <c r="I414" s="8">
        <v>1973.0</v>
      </c>
      <c r="J414" s="9" t="s">
        <v>946</v>
      </c>
      <c r="K414" s="9"/>
      <c r="L414" s="9"/>
      <c r="M414" s="9" t="s">
        <v>1101</v>
      </c>
      <c r="N414" s="9" t="s">
        <v>89</v>
      </c>
      <c r="O414" s="9" t="s">
        <v>1102</v>
      </c>
      <c r="P414" s="9"/>
      <c r="Q414" s="8">
        <v>0.0</v>
      </c>
      <c r="R414" s="8">
        <v>0.0</v>
      </c>
      <c r="S414" s="8">
        <v>0.0</v>
      </c>
      <c r="T414" s="8">
        <v>0.0</v>
      </c>
      <c r="U414" s="8">
        <v>0.0</v>
      </c>
      <c r="V414" s="8">
        <v>0.0</v>
      </c>
      <c r="W414" s="8">
        <v>0.0</v>
      </c>
      <c r="X414" s="8">
        <v>0.0</v>
      </c>
      <c r="Y414" s="8">
        <v>1.0</v>
      </c>
      <c r="Z414" s="8">
        <v>0.0</v>
      </c>
      <c r="AA414" s="8">
        <v>0.0</v>
      </c>
      <c r="AB414" s="8">
        <v>0.0</v>
      </c>
      <c r="AC414" s="8">
        <v>0.0</v>
      </c>
      <c r="AD414" s="9" t="s">
        <v>92</v>
      </c>
      <c r="AE414" s="9" t="s">
        <v>39</v>
      </c>
      <c r="AF414" s="9" t="s">
        <v>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1" t="s">
        <v>5</v>
      </c>
      <c r="G1" s="2" t="s">
        <v>6</v>
      </c>
      <c r="H1" s="1"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1" t="s">
        <v>22</v>
      </c>
      <c r="X1" s="2" t="s">
        <v>23</v>
      </c>
      <c r="Y1" s="2" t="s">
        <v>24</v>
      </c>
      <c r="Z1" s="2" t="s">
        <v>1103</v>
      </c>
      <c r="AA1" s="2" t="s">
        <v>26</v>
      </c>
      <c r="AB1" s="2" t="s">
        <v>27</v>
      </c>
      <c r="AC1" s="2" t="s">
        <v>28</v>
      </c>
      <c r="AD1" s="3" t="s">
        <v>29</v>
      </c>
      <c r="AE1" s="3" t="s">
        <v>30</v>
      </c>
      <c r="AF1" s="3" t="s">
        <v>31</v>
      </c>
    </row>
    <row r="2">
      <c r="A2" s="4" t="s">
        <v>1104</v>
      </c>
      <c r="B2" s="5">
        <v>329.0</v>
      </c>
      <c r="C2" s="5">
        <v>525500.0</v>
      </c>
      <c r="D2" s="5">
        <v>529400.0</v>
      </c>
      <c r="E2" s="2" t="s">
        <v>61</v>
      </c>
      <c r="F2" s="2"/>
      <c r="G2" s="2" t="s">
        <v>62</v>
      </c>
      <c r="H2" s="2"/>
      <c r="I2" s="5">
        <v>1937.0</v>
      </c>
      <c r="J2" s="2" t="s">
        <v>63</v>
      </c>
      <c r="K2" s="2" t="s">
        <v>64</v>
      </c>
      <c r="L2" s="2" t="s">
        <v>65</v>
      </c>
      <c r="M2" s="2"/>
      <c r="N2" s="2" t="s">
        <v>1105</v>
      </c>
      <c r="O2" s="2" t="s">
        <v>1106</v>
      </c>
      <c r="P2" s="2" t="s">
        <v>1107</v>
      </c>
      <c r="Q2" s="5">
        <v>1.0</v>
      </c>
      <c r="R2" s="5">
        <v>0.0</v>
      </c>
      <c r="S2" s="5">
        <v>0.0</v>
      </c>
      <c r="T2" s="5">
        <v>0.0</v>
      </c>
      <c r="U2" s="5">
        <v>0.0</v>
      </c>
      <c r="V2" s="5">
        <v>0.0</v>
      </c>
      <c r="W2" s="5">
        <v>0.0</v>
      </c>
      <c r="X2" s="5">
        <v>0.0</v>
      </c>
      <c r="Y2" s="5">
        <v>0.0</v>
      </c>
      <c r="Z2" s="5">
        <v>0.0</v>
      </c>
      <c r="AA2" s="5">
        <v>0.0</v>
      </c>
      <c r="AB2" s="5">
        <v>0.0</v>
      </c>
      <c r="AC2" s="5">
        <v>0.0</v>
      </c>
      <c r="AD2" s="2" t="s">
        <v>38</v>
      </c>
      <c r="AE2" s="2" t="s">
        <v>39</v>
      </c>
      <c r="AF2" s="2" t="s">
        <v>166</v>
      </c>
    </row>
    <row r="3">
      <c r="A3" s="4" t="s">
        <v>1104</v>
      </c>
      <c r="B3" s="5">
        <v>618.0</v>
      </c>
      <c r="C3" s="5">
        <v>2143520.0</v>
      </c>
      <c r="D3" s="5">
        <v>2145180.0</v>
      </c>
      <c r="E3" s="2" t="s">
        <v>61</v>
      </c>
      <c r="F3" s="2"/>
      <c r="G3" s="2" t="s">
        <v>62</v>
      </c>
      <c r="H3" s="2"/>
      <c r="I3" s="5">
        <v>1937.0</v>
      </c>
      <c r="J3" s="2" t="s">
        <v>63</v>
      </c>
      <c r="K3" s="2" t="s">
        <v>64</v>
      </c>
      <c r="L3" s="2" t="s">
        <v>65</v>
      </c>
      <c r="M3" s="2"/>
      <c r="N3" s="2" t="s">
        <v>1105</v>
      </c>
      <c r="O3" s="2" t="s">
        <v>1108</v>
      </c>
      <c r="P3" s="2" t="s">
        <v>191</v>
      </c>
      <c r="Q3" s="5">
        <v>1.0</v>
      </c>
      <c r="R3" s="5">
        <v>0.0</v>
      </c>
      <c r="S3" s="5">
        <v>0.0</v>
      </c>
      <c r="T3" s="5">
        <v>0.0</v>
      </c>
      <c r="U3" s="5">
        <v>0.0</v>
      </c>
      <c r="V3" s="5">
        <v>0.0</v>
      </c>
      <c r="W3" s="5">
        <v>0.0</v>
      </c>
      <c r="X3" s="5">
        <v>0.0</v>
      </c>
      <c r="Y3" s="5">
        <v>0.0</v>
      </c>
      <c r="Z3" s="5">
        <v>0.0</v>
      </c>
      <c r="AA3" s="5">
        <v>0.0</v>
      </c>
      <c r="AB3" s="5">
        <v>0.0</v>
      </c>
      <c r="AC3" s="5">
        <v>0.0</v>
      </c>
      <c r="AD3" s="2" t="s">
        <v>38</v>
      </c>
      <c r="AE3" s="2" t="s">
        <v>39</v>
      </c>
      <c r="AF3" s="2" t="s">
        <v>166</v>
      </c>
    </row>
    <row r="4">
      <c r="A4" s="4" t="s">
        <v>1104</v>
      </c>
      <c r="B4" s="5">
        <v>732.0</v>
      </c>
      <c r="C4" s="5">
        <v>2758059.0</v>
      </c>
      <c r="D4" s="5">
        <v>2762881.0</v>
      </c>
      <c r="E4" s="2" t="s">
        <v>61</v>
      </c>
      <c r="F4" s="2"/>
      <c r="G4" s="2" t="s">
        <v>62</v>
      </c>
      <c r="H4" s="2"/>
      <c r="I4" s="5">
        <v>1937.0</v>
      </c>
      <c r="J4" s="2" t="s">
        <v>63</v>
      </c>
      <c r="K4" s="2" t="s">
        <v>64</v>
      </c>
      <c r="L4" s="2" t="s">
        <v>65</v>
      </c>
      <c r="M4" s="2" t="s">
        <v>1109</v>
      </c>
      <c r="N4" s="2" t="s">
        <v>1110</v>
      </c>
      <c r="O4" s="2" t="s">
        <v>1111</v>
      </c>
      <c r="P4" s="2" t="s">
        <v>1112</v>
      </c>
      <c r="Q4" s="5">
        <v>0.0</v>
      </c>
      <c r="R4" s="5">
        <v>0.0</v>
      </c>
      <c r="S4" s="5">
        <v>0.0</v>
      </c>
      <c r="T4" s="5">
        <v>0.0</v>
      </c>
      <c r="U4" s="5">
        <v>0.0</v>
      </c>
      <c r="V4" s="5">
        <v>0.0</v>
      </c>
      <c r="W4" s="5">
        <v>0.0</v>
      </c>
      <c r="X4" s="5">
        <v>0.0</v>
      </c>
      <c r="Y4" s="5">
        <v>1.0</v>
      </c>
      <c r="Z4" s="5">
        <v>0.0</v>
      </c>
      <c r="AA4" s="5">
        <v>0.0</v>
      </c>
      <c r="AB4" s="5">
        <v>0.0</v>
      </c>
      <c r="AC4" s="5">
        <v>0.0</v>
      </c>
      <c r="AD4" s="2" t="s">
        <v>92</v>
      </c>
      <c r="AE4" s="2" t="s">
        <v>39</v>
      </c>
      <c r="AF4" s="2" t="s">
        <v>166</v>
      </c>
    </row>
    <row r="5">
      <c r="A5" s="4" t="s">
        <v>1104</v>
      </c>
      <c r="B5" s="5">
        <v>801.0</v>
      </c>
      <c r="C5" s="5">
        <v>3054494.0</v>
      </c>
      <c r="D5" s="5">
        <v>3058020.0</v>
      </c>
      <c r="E5" s="2" t="s">
        <v>61</v>
      </c>
      <c r="F5" s="2"/>
      <c r="G5" s="2" t="s">
        <v>62</v>
      </c>
      <c r="H5" s="2"/>
      <c r="I5" s="5">
        <v>1937.0</v>
      </c>
      <c r="J5" s="2" t="s">
        <v>63</v>
      </c>
      <c r="K5" s="2" t="s">
        <v>64</v>
      </c>
      <c r="L5" s="2" t="s">
        <v>65</v>
      </c>
      <c r="M5" s="2" t="s">
        <v>1113</v>
      </c>
      <c r="N5" s="2" t="s">
        <v>1110</v>
      </c>
      <c r="O5" s="2" t="s">
        <v>1114</v>
      </c>
      <c r="P5" s="2" t="s">
        <v>1115</v>
      </c>
      <c r="Q5" s="5">
        <v>0.0</v>
      </c>
      <c r="R5" s="5">
        <v>0.0</v>
      </c>
      <c r="S5" s="5">
        <v>0.0</v>
      </c>
      <c r="T5" s="5">
        <v>1.0</v>
      </c>
      <c r="U5" s="5">
        <v>0.0</v>
      </c>
      <c r="V5" s="5">
        <v>0.0</v>
      </c>
      <c r="W5" s="5">
        <v>0.0</v>
      </c>
      <c r="X5" s="5">
        <v>0.0</v>
      </c>
      <c r="Y5" s="5">
        <v>0.0</v>
      </c>
      <c r="Z5" s="5">
        <v>0.0</v>
      </c>
      <c r="AA5" s="5">
        <v>0.0</v>
      </c>
      <c r="AB5" s="5">
        <v>0.0</v>
      </c>
      <c r="AC5" s="5">
        <v>0.0</v>
      </c>
      <c r="AD5" s="2" t="s">
        <v>38</v>
      </c>
      <c r="AE5" s="2" t="s">
        <v>39</v>
      </c>
      <c r="AF5" s="2" t="s">
        <v>166</v>
      </c>
    </row>
    <row r="6">
      <c r="A6" s="4" t="s">
        <v>1104</v>
      </c>
      <c r="B6" s="5">
        <v>822.0</v>
      </c>
      <c r="C6" s="5">
        <v>3133206.0</v>
      </c>
      <c r="D6" s="5">
        <v>3138618.0</v>
      </c>
      <c r="E6" s="2" t="s">
        <v>61</v>
      </c>
      <c r="F6" s="2"/>
      <c r="G6" s="2" t="s">
        <v>62</v>
      </c>
      <c r="H6" s="2"/>
      <c r="I6" s="5">
        <v>1937.0</v>
      </c>
      <c r="J6" s="2" t="s">
        <v>63</v>
      </c>
      <c r="K6" s="2" t="s">
        <v>64</v>
      </c>
      <c r="L6" s="2" t="s">
        <v>65</v>
      </c>
      <c r="M6" s="2"/>
      <c r="N6" s="2" t="s">
        <v>1105</v>
      </c>
      <c r="O6" s="2" t="s">
        <v>1116</v>
      </c>
      <c r="P6" s="2" t="s">
        <v>1117</v>
      </c>
      <c r="Q6" s="5">
        <v>0.0</v>
      </c>
      <c r="R6" s="5">
        <v>0.0</v>
      </c>
      <c r="S6" s="5">
        <v>0.0</v>
      </c>
      <c r="T6" s="5">
        <v>0.0</v>
      </c>
      <c r="U6" s="5">
        <v>0.0</v>
      </c>
      <c r="V6" s="5">
        <v>0.0</v>
      </c>
      <c r="W6" s="5">
        <v>0.0</v>
      </c>
      <c r="X6" s="5">
        <v>0.0</v>
      </c>
      <c r="Y6" s="5">
        <v>1.0</v>
      </c>
      <c r="Z6" s="5">
        <v>0.0</v>
      </c>
      <c r="AA6" s="5">
        <v>0.0</v>
      </c>
      <c r="AB6" s="5">
        <v>0.0</v>
      </c>
      <c r="AC6" s="5">
        <v>0.0</v>
      </c>
      <c r="AD6" s="2" t="s">
        <v>92</v>
      </c>
      <c r="AE6" s="2" t="s">
        <v>39</v>
      </c>
      <c r="AF6" s="2" t="s">
        <v>166</v>
      </c>
    </row>
    <row r="7">
      <c r="A7" s="4" t="s">
        <v>1104</v>
      </c>
      <c r="B7" s="5">
        <v>822.0</v>
      </c>
      <c r="C7" s="5">
        <v>3133206.0</v>
      </c>
      <c r="D7" s="5">
        <v>3138618.0</v>
      </c>
      <c r="E7" s="2" t="s">
        <v>61</v>
      </c>
      <c r="F7" s="2"/>
      <c r="G7" s="2" t="s">
        <v>62</v>
      </c>
      <c r="H7" s="2"/>
      <c r="I7" s="5">
        <v>1937.0</v>
      </c>
      <c r="J7" s="2" t="s">
        <v>63</v>
      </c>
      <c r="K7" s="2" t="s">
        <v>64</v>
      </c>
      <c r="L7" s="2" t="s">
        <v>65</v>
      </c>
      <c r="M7" s="2" t="s">
        <v>1118</v>
      </c>
      <c r="N7" s="2" t="s">
        <v>1110</v>
      </c>
      <c r="O7" s="2" t="s">
        <v>1119</v>
      </c>
      <c r="P7" s="2" t="s">
        <v>1120</v>
      </c>
      <c r="Q7" s="5">
        <v>0.0</v>
      </c>
      <c r="R7" s="5">
        <v>0.0</v>
      </c>
      <c r="S7" s="5">
        <v>0.0</v>
      </c>
      <c r="T7" s="5">
        <v>0.0</v>
      </c>
      <c r="U7" s="5">
        <v>0.0</v>
      </c>
      <c r="V7" s="5">
        <v>0.0</v>
      </c>
      <c r="W7" s="5">
        <v>0.0</v>
      </c>
      <c r="X7" s="5">
        <v>0.0</v>
      </c>
      <c r="Y7" s="5">
        <v>1.0</v>
      </c>
      <c r="Z7" s="5">
        <v>0.0</v>
      </c>
      <c r="AA7" s="5">
        <v>0.0</v>
      </c>
      <c r="AB7" s="5">
        <v>0.0</v>
      </c>
      <c r="AC7" s="5">
        <v>0.0</v>
      </c>
      <c r="AD7" s="2" t="s">
        <v>92</v>
      </c>
      <c r="AE7" s="2" t="s">
        <v>39</v>
      </c>
      <c r="AF7" s="2" t="s">
        <v>166</v>
      </c>
    </row>
    <row r="8">
      <c r="A8" s="6" t="s">
        <v>1104</v>
      </c>
      <c r="B8" s="5">
        <v>930.0</v>
      </c>
      <c r="C8" s="5">
        <v>47119.0</v>
      </c>
      <c r="D8" s="5">
        <v>53919.0</v>
      </c>
      <c r="E8" s="2" t="s">
        <v>110</v>
      </c>
      <c r="F8" s="2"/>
      <c r="G8" s="2" t="s">
        <v>111</v>
      </c>
      <c r="H8" s="2"/>
      <c r="I8" s="5">
        <v>1954.0</v>
      </c>
      <c r="J8" s="2" t="s">
        <v>112</v>
      </c>
      <c r="K8" s="2" t="s">
        <v>65</v>
      </c>
      <c r="L8" s="2" t="s">
        <v>65</v>
      </c>
      <c r="M8" s="2" t="s">
        <v>1121</v>
      </c>
      <c r="N8" s="2" t="s">
        <v>1110</v>
      </c>
      <c r="O8" s="2" t="s">
        <v>1122</v>
      </c>
      <c r="P8" s="2" t="s">
        <v>1123</v>
      </c>
      <c r="Q8" s="5">
        <v>0.0</v>
      </c>
      <c r="R8" s="5">
        <v>0.0</v>
      </c>
      <c r="S8" s="5">
        <v>0.0</v>
      </c>
      <c r="T8" s="5">
        <v>0.0</v>
      </c>
      <c r="U8" s="5">
        <v>0.0</v>
      </c>
      <c r="V8" s="5">
        <v>0.0</v>
      </c>
      <c r="W8" s="5">
        <v>1.0</v>
      </c>
      <c r="X8" s="5">
        <v>0.0</v>
      </c>
      <c r="Y8" s="5">
        <v>0.0</v>
      </c>
      <c r="Z8" s="5">
        <v>0.0</v>
      </c>
      <c r="AA8" s="5">
        <v>0.0</v>
      </c>
      <c r="AB8" s="5">
        <v>0.0</v>
      </c>
      <c r="AC8" s="5">
        <v>0.0</v>
      </c>
      <c r="AD8" s="2" t="s">
        <v>92</v>
      </c>
      <c r="AE8" s="2" t="s">
        <v>39</v>
      </c>
      <c r="AF8" s="2" t="s">
        <v>166</v>
      </c>
    </row>
    <row r="9">
      <c r="A9" s="4" t="s">
        <v>1104</v>
      </c>
      <c r="B9" s="5">
        <v>1017.0</v>
      </c>
      <c r="C9" s="5">
        <v>636012.0</v>
      </c>
      <c r="D9" s="5">
        <v>640652.0</v>
      </c>
      <c r="E9" s="2" t="s">
        <v>110</v>
      </c>
      <c r="F9" s="2"/>
      <c r="G9" s="2" t="s">
        <v>111</v>
      </c>
      <c r="H9" s="2"/>
      <c r="I9" s="5">
        <v>1954.0</v>
      </c>
      <c r="J9" s="2" t="s">
        <v>112</v>
      </c>
      <c r="K9" s="2" t="s">
        <v>65</v>
      </c>
      <c r="L9" s="2" t="s">
        <v>65</v>
      </c>
      <c r="M9" s="2" t="s">
        <v>1124</v>
      </c>
      <c r="N9" s="2" t="s">
        <v>1110</v>
      </c>
      <c r="O9" s="2" t="s">
        <v>1125</v>
      </c>
      <c r="P9" s="2" t="s">
        <v>1126</v>
      </c>
      <c r="Q9" s="5">
        <v>0.0</v>
      </c>
      <c r="R9" s="5">
        <v>0.0</v>
      </c>
      <c r="S9" s="5">
        <v>0.0</v>
      </c>
      <c r="T9" s="5">
        <v>0.0</v>
      </c>
      <c r="U9" s="5">
        <v>0.0</v>
      </c>
      <c r="V9" s="5">
        <v>0.0</v>
      </c>
      <c r="W9" s="5">
        <v>0.0</v>
      </c>
      <c r="X9" s="5">
        <v>0.0</v>
      </c>
      <c r="Y9" s="5">
        <v>0.0</v>
      </c>
      <c r="Z9" s="5">
        <v>0.0</v>
      </c>
      <c r="AA9" s="5">
        <v>1.0</v>
      </c>
      <c r="AB9" s="5">
        <v>0.0</v>
      </c>
      <c r="AC9" s="5">
        <v>0.0</v>
      </c>
      <c r="AD9" s="2" t="s">
        <v>44</v>
      </c>
      <c r="AE9" s="2" t="s">
        <v>40</v>
      </c>
      <c r="AF9" s="2" t="s">
        <v>166</v>
      </c>
    </row>
    <row r="10">
      <c r="A10" s="4" t="s">
        <v>1104</v>
      </c>
      <c r="B10" s="5">
        <v>1199.0</v>
      </c>
      <c r="C10" s="5">
        <v>68627.0</v>
      </c>
      <c r="D10" s="5">
        <v>72812.0</v>
      </c>
      <c r="E10" s="2" t="s">
        <v>125</v>
      </c>
      <c r="F10" s="2"/>
      <c r="G10" s="2" t="s">
        <v>126</v>
      </c>
      <c r="H10" s="2"/>
      <c r="I10" s="5">
        <v>1935.0</v>
      </c>
      <c r="J10" s="2" t="s">
        <v>63</v>
      </c>
      <c r="K10" s="2" t="s">
        <v>65</v>
      </c>
      <c r="L10" s="2" t="s">
        <v>65</v>
      </c>
      <c r="M10" s="2" t="s">
        <v>1127</v>
      </c>
      <c r="N10" s="2" t="s">
        <v>1110</v>
      </c>
      <c r="O10" s="2" t="s">
        <v>1128</v>
      </c>
      <c r="P10" s="2" t="s">
        <v>1129</v>
      </c>
      <c r="Q10" s="5">
        <v>0.0</v>
      </c>
      <c r="R10" s="5">
        <v>0.0</v>
      </c>
      <c r="S10" s="5">
        <v>0.0</v>
      </c>
      <c r="T10" s="5">
        <v>0.0</v>
      </c>
      <c r="U10" s="5">
        <v>0.0</v>
      </c>
      <c r="V10" s="5">
        <v>0.0</v>
      </c>
      <c r="W10" s="5">
        <v>0.0</v>
      </c>
      <c r="X10" s="5">
        <v>0.0</v>
      </c>
      <c r="Y10" s="5">
        <v>0.0</v>
      </c>
      <c r="Z10" s="5">
        <v>0.0</v>
      </c>
      <c r="AA10" s="5">
        <v>1.0</v>
      </c>
      <c r="AB10" s="5">
        <v>0.0</v>
      </c>
      <c r="AC10" s="5">
        <v>0.0</v>
      </c>
      <c r="AD10" s="2" t="s">
        <v>44</v>
      </c>
      <c r="AE10" s="2" t="s">
        <v>40</v>
      </c>
      <c r="AF10" s="2" t="s">
        <v>166</v>
      </c>
    </row>
    <row r="11">
      <c r="A11" s="4" t="s">
        <v>1104</v>
      </c>
      <c r="B11" s="5">
        <v>1417.0</v>
      </c>
      <c r="C11" s="5">
        <v>1998214.0</v>
      </c>
      <c r="D11" s="5">
        <v>2006294.0</v>
      </c>
      <c r="E11" s="2" t="s">
        <v>125</v>
      </c>
      <c r="F11" s="2"/>
      <c r="G11" s="2" t="s">
        <v>126</v>
      </c>
      <c r="H11" s="2"/>
      <c r="I11" s="5">
        <v>1935.0</v>
      </c>
      <c r="J11" s="2" t="s">
        <v>63</v>
      </c>
      <c r="K11" s="2" t="s">
        <v>65</v>
      </c>
      <c r="L11" s="2" t="s">
        <v>65</v>
      </c>
      <c r="M11" s="2" t="s">
        <v>1130</v>
      </c>
      <c r="N11" s="2" t="s">
        <v>1110</v>
      </c>
      <c r="O11" s="2" t="s">
        <v>1131</v>
      </c>
      <c r="P11" s="2" t="s">
        <v>1072</v>
      </c>
      <c r="Q11" s="5">
        <v>0.0</v>
      </c>
      <c r="R11" s="5">
        <v>0.0</v>
      </c>
      <c r="S11" s="5">
        <v>0.0</v>
      </c>
      <c r="T11" s="5">
        <v>0.0</v>
      </c>
      <c r="U11" s="5">
        <v>1.0</v>
      </c>
      <c r="V11" s="5">
        <v>0.0</v>
      </c>
      <c r="W11" s="6">
        <v>0.0</v>
      </c>
      <c r="X11" s="5">
        <v>0.0</v>
      </c>
      <c r="Y11" s="5">
        <v>0.0</v>
      </c>
      <c r="Z11" s="5">
        <v>0.0</v>
      </c>
      <c r="AA11" s="5">
        <v>0.0</v>
      </c>
      <c r="AB11" s="5">
        <v>0.0</v>
      </c>
      <c r="AC11" s="5">
        <v>0.0</v>
      </c>
      <c r="AD11" s="2" t="s">
        <v>38</v>
      </c>
      <c r="AE11" s="2" t="s">
        <v>39</v>
      </c>
      <c r="AF11" s="2" t="s">
        <v>166</v>
      </c>
    </row>
    <row r="12">
      <c r="A12" s="4" t="s">
        <v>1104</v>
      </c>
      <c r="B12" s="5">
        <v>1647.0</v>
      </c>
      <c r="C12" s="5">
        <v>939680.0</v>
      </c>
      <c r="D12" s="5">
        <v>942160.0</v>
      </c>
      <c r="E12" s="2" t="s">
        <v>167</v>
      </c>
      <c r="F12" s="2"/>
      <c r="G12" s="2"/>
      <c r="H12" s="2"/>
      <c r="I12" s="2"/>
      <c r="J12" s="2"/>
      <c r="K12" s="2"/>
      <c r="L12" s="2"/>
      <c r="M12" s="2"/>
      <c r="N12" s="2" t="s">
        <v>1105</v>
      </c>
      <c r="O12" s="2" t="s">
        <v>1132</v>
      </c>
      <c r="P12" s="2" t="s">
        <v>1133</v>
      </c>
      <c r="Q12" s="5">
        <v>0.0</v>
      </c>
      <c r="R12" s="5">
        <v>0.0</v>
      </c>
      <c r="S12" s="5">
        <v>0.0</v>
      </c>
      <c r="T12" s="5">
        <v>0.0</v>
      </c>
      <c r="U12" s="5">
        <v>0.0</v>
      </c>
      <c r="V12" s="5">
        <v>0.0</v>
      </c>
      <c r="W12" s="5">
        <v>0.0</v>
      </c>
      <c r="X12" s="5">
        <v>0.0</v>
      </c>
      <c r="Y12" s="5">
        <v>0.0</v>
      </c>
      <c r="Z12" s="5">
        <v>0.0</v>
      </c>
      <c r="AA12" s="5">
        <v>1.0</v>
      </c>
      <c r="AB12" s="5">
        <v>0.0</v>
      </c>
      <c r="AC12" s="5">
        <v>0.0</v>
      </c>
      <c r="AD12" s="2" t="s">
        <v>92</v>
      </c>
      <c r="AE12" s="2" t="s">
        <v>40</v>
      </c>
      <c r="AF12" s="2" t="s">
        <v>166</v>
      </c>
    </row>
    <row r="13">
      <c r="A13" s="4" t="s">
        <v>1104</v>
      </c>
      <c r="B13" s="5">
        <v>1673.0</v>
      </c>
      <c r="C13" s="5">
        <v>1071510.0</v>
      </c>
      <c r="D13" s="5">
        <v>1077040.0</v>
      </c>
      <c r="E13" s="2" t="s">
        <v>167</v>
      </c>
      <c r="F13" s="2"/>
      <c r="G13" s="2"/>
      <c r="H13" s="2"/>
      <c r="I13" s="2"/>
      <c r="J13" s="2"/>
      <c r="K13" s="2"/>
      <c r="L13" s="2"/>
      <c r="M13" s="2" t="s">
        <v>1134</v>
      </c>
      <c r="N13" s="2" t="s">
        <v>1110</v>
      </c>
      <c r="O13" s="2" t="s">
        <v>1135</v>
      </c>
      <c r="P13" s="2" t="s">
        <v>1136</v>
      </c>
      <c r="Q13" s="5">
        <v>0.0</v>
      </c>
      <c r="R13" s="5">
        <v>0.0</v>
      </c>
      <c r="S13" s="5">
        <v>0.0</v>
      </c>
      <c r="T13" s="5">
        <v>0.0</v>
      </c>
      <c r="U13" s="5">
        <v>0.0</v>
      </c>
      <c r="V13" s="5">
        <v>0.0</v>
      </c>
      <c r="W13" s="5">
        <v>0.0</v>
      </c>
      <c r="X13" s="5">
        <v>0.0</v>
      </c>
      <c r="Y13" s="5">
        <v>0.0</v>
      </c>
      <c r="Z13" s="5">
        <v>0.0</v>
      </c>
      <c r="AA13" s="5">
        <v>1.0</v>
      </c>
      <c r="AB13" s="5">
        <v>0.0</v>
      </c>
      <c r="AC13" s="5">
        <v>0.0</v>
      </c>
      <c r="AD13" s="2" t="s">
        <v>44</v>
      </c>
      <c r="AE13" s="2" t="s">
        <v>40</v>
      </c>
      <c r="AF13" s="2" t="s">
        <v>40</v>
      </c>
    </row>
    <row r="14">
      <c r="A14" s="4" t="s">
        <v>1104</v>
      </c>
      <c r="B14" s="5">
        <v>1673.0</v>
      </c>
      <c r="C14" s="5">
        <v>1071510.0</v>
      </c>
      <c r="D14" s="5">
        <v>1077040.0</v>
      </c>
      <c r="E14" s="2" t="s">
        <v>167</v>
      </c>
      <c r="F14" s="2"/>
      <c r="G14" s="2"/>
      <c r="H14" s="2"/>
      <c r="I14" s="2"/>
      <c r="J14" s="2"/>
      <c r="K14" s="2"/>
      <c r="L14" s="2"/>
      <c r="M14" s="2" t="s">
        <v>1137</v>
      </c>
      <c r="N14" s="2" t="s">
        <v>1110</v>
      </c>
      <c r="O14" s="2" t="s">
        <v>1138</v>
      </c>
      <c r="P14" s="2" t="s">
        <v>1139</v>
      </c>
      <c r="Q14" s="5">
        <v>0.0</v>
      </c>
      <c r="R14" s="5">
        <v>0.0</v>
      </c>
      <c r="S14" s="5">
        <v>0.0</v>
      </c>
      <c r="T14" s="5">
        <v>0.0</v>
      </c>
      <c r="U14" s="5">
        <v>0.0</v>
      </c>
      <c r="V14" s="5">
        <v>0.0</v>
      </c>
      <c r="W14" s="5">
        <v>0.0</v>
      </c>
      <c r="X14" s="5">
        <v>0.0</v>
      </c>
      <c r="Y14" s="5">
        <v>0.0</v>
      </c>
      <c r="Z14" s="5">
        <v>0.0</v>
      </c>
      <c r="AA14" s="5">
        <v>1.0</v>
      </c>
      <c r="AB14" s="5">
        <v>0.0</v>
      </c>
      <c r="AC14" s="5">
        <v>0.0</v>
      </c>
      <c r="AD14" s="2" t="s">
        <v>44</v>
      </c>
      <c r="AE14" s="2" t="s">
        <v>40</v>
      </c>
      <c r="AF14" s="2" t="s">
        <v>40</v>
      </c>
    </row>
    <row r="15">
      <c r="A15" s="4" t="s">
        <v>1104</v>
      </c>
      <c r="B15" s="5">
        <v>1755.0</v>
      </c>
      <c r="C15" s="5">
        <v>1478630.0</v>
      </c>
      <c r="D15" s="5">
        <v>1484530.0</v>
      </c>
      <c r="E15" s="2" t="s">
        <v>167</v>
      </c>
      <c r="F15" s="2"/>
      <c r="G15" s="2"/>
      <c r="H15" s="2"/>
      <c r="I15" s="2"/>
      <c r="J15" s="2"/>
      <c r="K15" s="2"/>
      <c r="L15" s="2"/>
      <c r="M15" s="2" t="s">
        <v>1140</v>
      </c>
      <c r="N15" s="2" t="s">
        <v>1110</v>
      </c>
      <c r="O15" s="2" t="s">
        <v>1141</v>
      </c>
      <c r="P15" s="2" t="s">
        <v>1142</v>
      </c>
      <c r="Q15" s="5">
        <v>1.0</v>
      </c>
      <c r="R15" s="5">
        <v>0.0</v>
      </c>
      <c r="S15" s="5">
        <v>0.0</v>
      </c>
      <c r="T15" s="5">
        <v>0.0</v>
      </c>
      <c r="U15" s="5">
        <v>0.0</v>
      </c>
      <c r="V15" s="5">
        <v>0.0</v>
      </c>
      <c r="W15" s="5">
        <v>0.0</v>
      </c>
      <c r="X15" s="5">
        <v>0.0</v>
      </c>
      <c r="Y15" s="5">
        <v>0.0</v>
      </c>
      <c r="Z15" s="5">
        <v>0.0</v>
      </c>
      <c r="AA15" s="5">
        <v>0.0</v>
      </c>
      <c r="AB15" s="5">
        <v>0.0</v>
      </c>
      <c r="AC15" s="5">
        <v>0.0</v>
      </c>
      <c r="AD15" s="1" t="s">
        <v>44</v>
      </c>
      <c r="AE15" s="2" t="s">
        <v>40</v>
      </c>
      <c r="AF15" s="2" t="s">
        <v>166</v>
      </c>
    </row>
    <row r="16">
      <c r="A16" s="4" t="s">
        <v>1104</v>
      </c>
      <c r="B16" s="5">
        <v>2004.0</v>
      </c>
      <c r="C16" s="5">
        <v>2564470.0</v>
      </c>
      <c r="D16" s="5">
        <v>2568880.0</v>
      </c>
      <c r="E16" s="2" t="s">
        <v>167</v>
      </c>
      <c r="F16" s="2"/>
      <c r="G16" s="2"/>
      <c r="H16" s="2"/>
      <c r="I16" s="2"/>
      <c r="J16" s="2"/>
      <c r="K16" s="2"/>
      <c r="L16" s="2"/>
      <c r="M16" s="2" t="s">
        <v>1143</v>
      </c>
      <c r="N16" s="2" t="s">
        <v>1110</v>
      </c>
      <c r="O16" s="2" t="s">
        <v>1144</v>
      </c>
      <c r="P16" s="2" t="s">
        <v>1145</v>
      </c>
      <c r="Q16" s="5">
        <v>0.0</v>
      </c>
      <c r="R16" s="5">
        <v>0.0</v>
      </c>
      <c r="S16" s="5">
        <v>0.0</v>
      </c>
      <c r="T16" s="5">
        <v>0.0</v>
      </c>
      <c r="U16" s="5">
        <v>0.0</v>
      </c>
      <c r="V16" s="5">
        <v>0.0</v>
      </c>
      <c r="W16" s="5">
        <v>0.0</v>
      </c>
      <c r="X16" s="5">
        <v>0.0</v>
      </c>
      <c r="Y16" s="5">
        <v>0.0</v>
      </c>
      <c r="Z16" s="5">
        <v>0.0</v>
      </c>
      <c r="AA16" s="5">
        <v>1.0</v>
      </c>
      <c r="AB16" s="5">
        <v>0.0</v>
      </c>
      <c r="AC16" s="5">
        <v>0.0</v>
      </c>
      <c r="AD16" s="2" t="s">
        <v>92</v>
      </c>
      <c r="AE16" s="2" t="s">
        <v>39</v>
      </c>
      <c r="AF16" s="2" t="s">
        <v>166</v>
      </c>
    </row>
    <row r="17">
      <c r="A17" s="4" t="s">
        <v>1104</v>
      </c>
      <c r="B17" s="5">
        <v>2373.0</v>
      </c>
      <c r="C17" s="5">
        <v>4066084.0</v>
      </c>
      <c r="D17" s="5">
        <v>4072863.0</v>
      </c>
      <c r="E17" s="2" t="s">
        <v>167</v>
      </c>
      <c r="F17" s="2"/>
      <c r="G17" s="2"/>
      <c r="H17" s="2"/>
      <c r="I17" s="2"/>
      <c r="J17" s="2"/>
      <c r="K17" s="2"/>
      <c r="L17" s="2"/>
      <c r="M17" s="2" t="s">
        <v>1146</v>
      </c>
      <c r="N17" s="2" t="s">
        <v>1110</v>
      </c>
      <c r="O17" s="2" t="s">
        <v>1147</v>
      </c>
      <c r="P17" s="2" t="s">
        <v>1148</v>
      </c>
      <c r="Q17" s="5">
        <v>0.0</v>
      </c>
      <c r="R17" s="5">
        <v>0.0</v>
      </c>
      <c r="S17" s="5">
        <v>0.0</v>
      </c>
      <c r="T17" s="5">
        <v>0.0</v>
      </c>
      <c r="U17" s="5">
        <v>0.0</v>
      </c>
      <c r="V17" s="5">
        <v>0.0</v>
      </c>
      <c r="W17" s="5">
        <v>0.0</v>
      </c>
      <c r="X17" s="5">
        <v>0.0</v>
      </c>
      <c r="Y17" s="5">
        <v>0.0</v>
      </c>
      <c r="Z17" s="5">
        <v>0.0</v>
      </c>
      <c r="AA17" s="5">
        <v>1.0</v>
      </c>
      <c r="AB17" s="5">
        <v>0.0</v>
      </c>
      <c r="AC17" s="5">
        <v>0.0</v>
      </c>
      <c r="AD17" s="1" t="s">
        <v>92</v>
      </c>
      <c r="AE17" s="2" t="s">
        <v>40</v>
      </c>
      <c r="AF17" s="2" t="s">
        <v>166</v>
      </c>
    </row>
    <row r="18">
      <c r="A18" s="4" t="s">
        <v>1104</v>
      </c>
      <c r="B18" s="5">
        <v>2377.0</v>
      </c>
      <c r="C18" s="5">
        <v>4090069.0</v>
      </c>
      <c r="D18" s="5">
        <v>4093879.0</v>
      </c>
      <c r="E18" s="2" t="s">
        <v>167</v>
      </c>
      <c r="F18" s="2"/>
      <c r="G18" s="2"/>
      <c r="H18" s="2"/>
      <c r="I18" s="2"/>
      <c r="J18" s="2"/>
      <c r="K18" s="2"/>
      <c r="L18" s="2"/>
      <c r="M18" s="2" t="s">
        <v>1149</v>
      </c>
      <c r="N18" s="2" t="s">
        <v>1110</v>
      </c>
      <c r="O18" s="2" t="s">
        <v>1150</v>
      </c>
      <c r="P18" s="2" t="s">
        <v>1151</v>
      </c>
      <c r="Q18" s="5">
        <v>0.0</v>
      </c>
      <c r="R18" s="5">
        <v>0.0</v>
      </c>
      <c r="S18" s="5">
        <v>1.0</v>
      </c>
      <c r="T18" s="5">
        <v>0.0</v>
      </c>
      <c r="U18" s="5">
        <v>0.0</v>
      </c>
      <c r="V18" s="5">
        <v>0.0</v>
      </c>
      <c r="W18" s="5">
        <v>0.0</v>
      </c>
      <c r="X18" s="5">
        <v>0.0</v>
      </c>
      <c r="Y18" s="5">
        <v>0.0</v>
      </c>
      <c r="Z18" s="5">
        <v>0.0</v>
      </c>
      <c r="AA18" s="5">
        <v>0.0</v>
      </c>
      <c r="AB18" s="5">
        <v>0.0</v>
      </c>
      <c r="AC18" s="5">
        <v>0.0</v>
      </c>
      <c r="AD18" s="2" t="s">
        <v>38</v>
      </c>
      <c r="AE18" s="2" t="s">
        <v>39</v>
      </c>
      <c r="AF18" s="2" t="s">
        <v>166</v>
      </c>
    </row>
    <row r="19">
      <c r="A19" s="4" t="s">
        <v>1104</v>
      </c>
      <c r="B19" s="5">
        <v>2496.0</v>
      </c>
      <c r="C19" s="5">
        <v>343620.0</v>
      </c>
      <c r="D19" s="5">
        <v>351360.0</v>
      </c>
      <c r="E19" s="2" t="s">
        <v>204</v>
      </c>
      <c r="F19" s="2"/>
      <c r="G19" s="2"/>
      <c r="H19" s="2"/>
      <c r="I19" s="2"/>
      <c r="J19" s="2"/>
      <c r="K19" s="2"/>
      <c r="L19" s="2"/>
      <c r="M19" s="2" t="s">
        <v>1152</v>
      </c>
      <c r="N19" s="2" t="s">
        <v>1110</v>
      </c>
      <c r="O19" s="2" t="s">
        <v>1153</v>
      </c>
      <c r="P19" s="2" t="s">
        <v>1154</v>
      </c>
      <c r="Q19" s="5">
        <v>0.0</v>
      </c>
      <c r="R19" s="5">
        <v>0.0</v>
      </c>
      <c r="S19" s="5">
        <v>0.0</v>
      </c>
      <c r="T19" s="5">
        <v>0.0</v>
      </c>
      <c r="U19" s="5">
        <v>0.0</v>
      </c>
      <c r="V19" s="5">
        <v>0.0</v>
      </c>
      <c r="W19" s="5">
        <v>0.0</v>
      </c>
      <c r="X19" s="5">
        <v>0.0</v>
      </c>
      <c r="Y19" s="5">
        <v>0.0</v>
      </c>
      <c r="Z19" s="5">
        <v>0.0</v>
      </c>
      <c r="AA19" s="5">
        <v>1.0</v>
      </c>
      <c r="AB19" s="5">
        <v>0.0</v>
      </c>
      <c r="AC19" s="5">
        <v>0.0</v>
      </c>
      <c r="AD19" s="2" t="s">
        <v>92</v>
      </c>
      <c r="AE19" s="2" t="s">
        <v>39</v>
      </c>
      <c r="AF19" s="2" t="s">
        <v>166</v>
      </c>
    </row>
    <row r="20">
      <c r="A20" s="4" t="s">
        <v>1104</v>
      </c>
      <c r="B20" s="5">
        <v>2788.0</v>
      </c>
      <c r="C20" s="5">
        <v>1590666.0</v>
      </c>
      <c r="D20" s="5">
        <v>1597152.0</v>
      </c>
      <c r="E20" s="2" t="s">
        <v>204</v>
      </c>
      <c r="F20" s="2"/>
      <c r="G20" s="2"/>
      <c r="H20" s="2"/>
      <c r="I20" s="2"/>
      <c r="J20" s="2"/>
      <c r="K20" s="2"/>
      <c r="L20" s="2"/>
      <c r="M20" s="2" t="s">
        <v>1155</v>
      </c>
      <c r="N20" s="2" t="s">
        <v>1110</v>
      </c>
      <c r="O20" s="2" t="s">
        <v>1156</v>
      </c>
      <c r="P20" s="2" t="s">
        <v>1157</v>
      </c>
      <c r="Q20" s="5">
        <v>0.0</v>
      </c>
      <c r="R20" s="5">
        <v>0.0</v>
      </c>
      <c r="S20" s="5">
        <v>0.0</v>
      </c>
      <c r="T20" s="5">
        <v>0.0</v>
      </c>
      <c r="U20" s="5">
        <v>0.0</v>
      </c>
      <c r="V20" s="5">
        <v>0.0</v>
      </c>
      <c r="W20" s="5">
        <v>0.0</v>
      </c>
      <c r="X20" s="5">
        <v>0.0</v>
      </c>
      <c r="Y20" s="5">
        <v>0.0</v>
      </c>
      <c r="Z20" s="5">
        <v>0.0</v>
      </c>
      <c r="AA20" s="5">
        <v>1.0</v>
      </c>
      <c r="AB20" s="5">
        <v>0.0</v>
      </c>
      <c r="AC20" s="5">
        <v>0.0</v>
      </c>
      <c r="AD20" s="2" t="s">
        <v>44</v>
      </c>
      <c r="AE20" s="1" t="s">
        <v>40</v>
      </c>
      <c r="AF20" s="2" t="s">
        <v>166</v>
      </c>
    </row>
    <row r="21">
      <c r="A21" s="4" t="s">
        <v>1104</v>
      </c>
      <c r="B21" s="5">
        <v>2896.0</v>
      </c>
      <c r="C21" s="5">
        <v>2024652.0</v>
      </c>
      <c r="D21" s="5">
        <v>2033130.0</v>
      </c>
      <c r="E21" s="2" t="s">
        <v>204</v>
      </c>
      <c r="F21" s="2"/>
      <c r="G21" s="2"/>
      <c r="H21" s="2"/>
      <c r="I21" s="2"/>
      <c r="J21" s="2"/>
      <c r="K21" s="2"/>
      <c r="L21" s="2"/>
      <c r="M21" s="2" t="s">
        <v>1158</v>
      </c>
      <c r="N21" s="2" t="s">
        <v>1110</v>
      </c>
      <c r="O21" s="2" t="s">
        <v>1159</v>
      </c>
      <c r="P21" s="2" t="s">
        <v>1160</v>
      </c>
      <c r="Q21" s="5">
        <v>0.0</v>
      </c>
      <c r="R21" s="5">
        <v>0.0</v>
      </c>
      <c r="S21" s="5">
        <v>0.0</v>
      </c>
      <c r="T21" s="5">
        <v>0.0</v>
      </c>
      <c r="U21" s="5">
        <v>0.0</v>
      </c>
      <c r="V21" s="5">
        <v>0.0</v>
      </c>
      <c r="W21" s="5">
        <v>0.0</v>
      </c>
      <c r="X21" s="5">
        <v>0.0</v>
      </c>
      <c r="Y21" s="5">
        <v>1.0</v>
      </c>
      <c r="Z21" s="5">
        <v>0.0</v>
      </c>
      <c r="AA21" s="5">
        <v>0.0</v>
      </c>
      <c r="AB21" s="5">
        <v>0.0</v>
      </c>
      <c r="AC21" s="5">
        <v>0.0</v>
      </c>
      <c r="AD21" s="2" t="s">
        <v>44</v>
      </c>
      <c r="AE21" s="2" t="s">
        <v>40</v>
      </c>
      <c r="AF21" s="2" t="s">
        <v>166</v>
      </c>
    </row>
    <row r="22">
      <c r="A22" s="4" t="s">
        <v>1104</v>
      </c>
      <c r="B22" s="5">
        <v>2896.0</v>
      </c>
      <c r="C22" s="5">
        <v>2024652.0</v>
      </c>
      <c r="D22" s="5">
        <v>2033130.0</v>
      </c>
      <c r="E22" s="2" t="s">
        <v>204</v>
      </c>
      <c r="F22" s="2"/>
      <c r="G22" s="2"/>
      <c r="H22" s="2"/>
      <c r="I22" s="2"/>
      <c r="J22" s="2"/>
      <c r="K22" s="2"/>
      <c r="L22" s="2"/>
      <c r="M22" s="2" t="s">
        <v>1161</v>
      </c>
      <c r="N22" s="2" t="s">
        <v>1110</v>
      </c>
      <c r="O22" s="2" t="s">
        <v>1162</v>
      </c>
      <c r="P22" s="2" t="s">
        <v>1163</v>
      </c>
      <c r="Q22" s="5">
        <v>0.0</v>
      </c>
      <c r="R22" s="5">
        <v>0.0</v>
      </c>
      <c r="S22" s="5">
        <v>0.0</v>
      </c>
      <c r="T22" s="5">
        <v>0.0</v>
      </c>
      <c r="U22" s="5">
        <v>0.0</v>
      </c>
      <c r="V22" s="5">
        <v>0.0</v>
      </c>
      <c r="W22" s="5">
        <v>0.0</v>
      </c>
      <c r="X22" s="5">
        <v>0.0</v>
      </c>
      <c r="Y22" s="5">
        <v>1.0</v>
      </c>
      <c r="Z22" s="5">
        <v>0.0</v>
      </c>
      <c r="AA22" s="5">
        <v>0.0</v>
      </c>
      <c r="AB22" s="5">
        <v>0.0</v>
      </c>
      <c r="AC22" s="5">
        <v>0.0</v>
      </c>
      <c r="AD22" s="2" t="s">
        <v>92</v>
      </c>
      <c r="AE22" s="2" t="s">
        <v>39</v>
      </c>
      <c r="AF22" s="2" t="s">
        <v>166</v>
      </c>
    </row>
    <row r="23">
      <c r="A23" s="4" t="s">
        <v>1104</v>
      </c>
      <c r="B23" s="5">
        <v>3133.0</v>
      </c>
      <c r="C23" s="5">
        <v>3278776.0</v>
      </c>
      <c r="D23" s="5">
        <v>3281644.0</v>
      </c>
      <c r="E23" s="2" t="s">
        <v>204</v>
      </c>
      <c r="F23" s="2"/>
      <c r="G23" s="2"/>
      <c r="H23" s="2"/>
      <c r="I23" s="2"/>
      <c r="J23" s="2"/>
      <c r="K23" s="2"/>
      <c r="L23" s="2"/>
      <c r="M23" s="2"/>
      <c r="N23" s="2" t="s">
        <v>1105</v>
      </c>
      <c r="O23" s="2" t="s">
        <v>1164</v>
      </c>
      <c r="P23" s="2" t="s">
        <v>196</v>
      </c>
      <c r="Q23" s="5">
        <v>0.0</v>
      </c>
      <c r="R23" s="5">
        <v>1.0</v>
      </c>
      <c r="S23" s="5">
        <v>0.0</v>
      </c>
      <c r="T23" s="5">
        <v>0.0</v>
      </c>
      <c r="U23" s="5">
        <v>0.0</v>
      </c>
      <c r="V23" s="5">
        <v>0.0</v>
      </c>
      <c r="W23" s="5">
        <v>0.0</v>
      </c>
      <c r="X23" s="5">
        <v>0.0</v>
      </c>
      <c r="Y23" s="5">
        <v>0.0</v>
      </c>
      <c r="Z23" s="5">
        <v>0.0</v>
      </c>
      <c r="AA23" s="5">
        <v>0.0</v>
      </c>
      <c r="AB23" s="5">
        <v>0.0</v>
      </c>
      <c r="AC23" s="5">
        <v>0.0</v>
      </c>
      <c r="AD23" s="2" t="s">
        <v>92</v>
      </c>
      <c r="AE23" s="2" t="s">
        <v>40</v>
      </c>
      <c r="AF23" s="2" t="s">
        <v>166</v>
      </c>
    </row>
    <row r="24">
      <c r="A24" s="4" t="s">
        <v>1104</v>
      </c>
      <c r="B24" s="5">
        <v>3299.0</v>
      </c>
      <c r="C24" s="5">
        <v>4384932.0</v>
      </c>
      <c r="D24" s="5">
        <v>4391489.0</v>
      </c>
      <c r="E24" s="2" t="s">
        <v>204</v>
      </c>
      <c r="F24" s="2"/>
      <c r="G24" s="2"/>
      <c r="H24" s="2"/>
      <c r="I24" s="2"/>
      <c r="J24" s="2"/>
      <c r="K24" s="2"/>
      <c r="L24" s="2"/>
      <c r="M24" s="2" t="s">
        <v>1165</v>
      </c>
      <c r="N24" s="2" t="s">
        <v>1110</v>
      </c>
      <c r="O24" s="2" t="s">
        <v>1166</v>
      </c>
      <c r="P24" s="2" t="s">
        <v>1154</v>
      </c>
      <c r="Q24" s="5">
        <v>0.0</v>
      </c>
      <c r="R24" s="5">
        <v>0.0</v>
      </c>
      <c r="S24" s="5">
        <v>0.0</v>
      </c>
      <c r="T24" s="5">
        <v>0.0</v>
      </c>
      <c r="U24" s="5">
        <v>0.0</v>
      </c>
      <c r="V24" s="5">
        <v>0.0</v>
      </c>
      <c r="W24" s="5">
        <v>0.0</v>
      </c>
      <c r="X24" s="5">
        <v>0.0</v>
      </c>
      <c r="Y24" s="5">
        <v>0.0</v>
      </c>
      <c r="Z24" s="5">
        <v>0.0</v>
      </c>
      <c r="AA24" s="5">
        <v>1.0</v>
      </c>
      <c r="AB24" s="5">
        <v>0.0</v>
      </c>
      <c r="AC24" s="5">
        <v>0.0</v>
      </c>
      <c r="AD24" s="2" t="s">
        <v>92</v>
      </c>
      <c r="AE24" s="2" t="s">
        <v>40</v>
      </c>
      <c r="AF24" s="2" t="s">
        <v>166</v>
      </c>
    </row>
    <row r="25">
      <c r="A25" s="4" t="s">
        <v>1104</v>
      </c>
      <c r="B25" s="5">
        <v>3869.0</v>
      </c>
      <c r="C25" s="5">
        <v>1466970.0</v>
      </c>
      <c r="D25" s="5">
        <v>1474310.0</v>
      </c>
      <c r="E25" s="2" t="s">
        <v>248</v>
      </c>
      <c r="F25" s="2"/>
      <c r="G25" s="2"/>
      <c r="H25" s="2"/>
      <c r="I25" s="2"/>
      <c r="J25" s="2"/>
      <c r="K25" s="2"/>
      <c r="L25" s="2"/>
      <c r="M25" s="2" t="s">
        <v>1167</v>
      </c>
      <c r="N25" s="2" t="s">
        <v>1110</v>
      </c>
      <c r="O25" s="2" t="s">
        <v>1168</v>
      </c>
      <c r="P25" s="2" t="s">
        <v>1169</v>
      </c>
      <c r="Q25" s="5">
        <v>0.0</v>
      </c>
      <c r="R25" s="5">
        <v>0.0</v>
      </c>
      <c r="S25" s="5">
        <v>0.0</v>
      </c>
      <c r="T25" s="5">
        <v>0.0</v>
      </c>
      <c r="U25" s="5">
        <v>0.0</v>
      </c>
      <c r="V25" s="5">
        <v>0.0</v>
      </c>
      <c r="W25" s="5">
        <v>0.0</v>
      </c>
      <c r="X25" s="5">
        <v>0.0</v>
      </c>
      <c r="Y25" s="5">
        <v>0.0</v>
      </c>
      <c r="Z25" s="5">
        <v>0.0</v>
      </c>
      <c r="AA25" s="5">
        <v>1.0</v>
      </c>
      <c r="AB25" s="5">
        <v>0.0</v>
      </c>
      <c r="AC25" s="5">
        <v>0.0</v>
      </c>
      <c r="AD25" s="2" t="s">
        <v>44</v>
      </c>
      <c r="AE25" s="2" t="s">
        <v>40</v>
      </c>
      <c r="AF25" s="2" t="s">
        <v>166</v>
      </c>
    </row>
    <row r="26">
      <c r="A26" s="4" t="s">
        <v>1104</v>
      </c>
      <c r="B26" s="5">
        <v>3885.0</v>
      </c>
      <c r="C26" s="5">
        <v>1498310.0</v>
      </c>
      <c r="D26" s="5">
        <v>1501090.0</v>
      </c>
      <c r="E26" s="2" t="s">
        <v>248</v>
      </c>
      <c r="F26" s="2"/>
      <c r="G26" s="2"/>
      <c r="H26" s="2"/>
      <c r="I26" s="2"/>
      <c r="J26" s="2"/>
      <c r="K26" s="2"/>
      <c r="L26" s="2"/>
      <c r="M26" s="2" t="s">
        <v>1170</v>
      </c>
      <c r="N26" s="2" t="s">
        <v>1110</v>
      </c>
      <c r="O26" s="2" t="s">
        <v>1171</v>
      </c>
      <c r="P26" s="2" t="s">
        <v>81</v>
      </c>
      <c r="Q26" s="5">
        <v>1.0</v>
      </c>
      <c r="R26" s="5">
        <v>0.0</v>
      </c>
      <c r="S26" s="5">
        <v>0.0</v>
      </c>
      <c r="T26" s="5">
        <v>0.0</v>
      </c>
      <c r="U26" s="5">
        <v>0.0</v>
      </c>
      <c r="V26" s="5">
        <v>0.0</v>
      </c>
      <c r="W26" s="5">
        <v>0.0</v>
      </c>
      <c r="X26" s="5">
        <v>0.0</v>
      </c>
      <c r="Y26" s="5">
        <v>0.0</v>
      </c>
      <c r="Z26" s="5">
        <v>0.0</v>
      </c>
      <c r="AA26" s="5">
        <v>0.0</v>
      </c>
      <c r="AB26" s="5">
        <v>0.0</v>
      </c>
      <c r="AC26" s="5">
        <v>1.0</v>
      </c>
      <c r="AD26" s="1" t="s">
        <v>44</v>
      </c>
      <c r="AE26" s="2" t="s">
        <v>40</v>
      </c>
      <c r="AF26" s="2" t="s">
        <v>166</v>
      </c>
    </row>
    <row r="27">
      <c r="A27" s="4" t="s">
        <v>1104</v>
      </c>
      <c r="B27" s="5">
        <v>732.0</v>
      </c>
      <c r="C27" s="5">
        <v>2758059.0</v>
      </c>
      <c r="D27" s="5">
        <v>2762881.0</v>
      </c>
      <c r="E27" s="2" t="s">
        <v>61</v>
      </c>
      <c r="F27" s="2"/>
      <c r="G27" s="2" t="s">
        <v>62</v>
      </c>
      <c r="H27" s="2"/>
      <c r="I27" s="5">
        <v>1937.0</v>
      </c>
      <c r="J27" s="2" t="s">
        <v>63</v>
      </c>
      <c r="K27" s="2" t="s">
        <v>64</v>
      </c>
      <c r="L27" s="2" t="s">
        <v>65</v>
      </c>
      <c r="M27" s="2" t="s">
        <v>1172</v>
      </c>
      <c r="N27" s="2" t="s">
        <v>1110</v>
      </c>
      <c r="O27" s="2" t="s">
        <v>1173</v>
      </c>
      <c r="P27" s="2" t="s">
        <v>497</v>
      </c>
      <c r="Q27" s="5">
        <v>0.0</v>
      </c>
      <c r="R27" s="5">
        <v>0.0</v>
      </c>
      <c r="S27" s="5">
        <v>0.0</v>
      </c>
      <c r="T27" s="5">
        <v>0.0</v>
      </c>
      <c r="U27" s="5">
        <v>0.0</v>
      </c>
      <c r="V27" s="5">
        <v>0.0</v>
      </c>
      <c r="W27" s="5">
        <v>0.0</v>
      </c>
      <c r="X27" s="5">
        <v>0.0</v>
      </c>
      <c r="Y27" s="5">
        <v>1.0</v>
      </c>
      <c r="Z27" s="5">
        <v>0.0</v>
      </c>
      <c r="AA27" s="5">
        <v>0.0</v>
      </c>
      <c r="AB27" s="5">
        <v>0.0</v>
      </c>
      <c r="AC27" s="5">
        <v>0.0</v>
      </c>
      <c r="AD27" s="2" t="s">
        <v>92</v>
      </c>
      <c r="AE27" s="2" t="s">
        <v>39</v>
      </c>
      <c r="AF27" s="2" t="s">
        <v>166</v>
      </c>
    </row>
    <row r="28">
      <c r="A28" s="4" t="s">
        <v>1104</v>
      </c>
      <c r="B28" s="5">
        <v>3869.0</v>
      </c>
      <c r="C28" s="5">
        <v>1466970.0</v>
      </c>
      <c r="D28" s="5">
        <v>1474310.0</v>
      </c>
      <c r="E28" s="2" t="s">
        <v>248</v>
      </c>
      <c r="F28" s="2"/>
      <c r="G28" s="2"/>
      <c r="H28" s="2"/>
      <c r="I28" s="2"/>
      <c r="J28" s="2"/>
      <c r="K28" s="2"/>
      <c r="L28" s="2"/>
      <c r="M28" s="2" t="s">
        <v>1167</v>
      </c>
      <c r="N28" s="2" t="s">
        <v>1110</v>
      </c>
      <c r="O28" s="2" t="s">
        <v>1168</v>
      </c>
      <c r="P28" s="2" t="s">
        <v>1174</v>
      </c>
      <c r="Q28" s="5">
        <v>0.0</v>
      </c>
      <c r="R28" s="5">
        <v>0.0</v>
      </c>
      <c r="S28" s="5">
        <v>0.0</v>
      </c>
      <c r="T28" s="5">
        <v>0.0</v>
      </c>
      <c r="U28" s="5">
        <v>0.0</v>
      </c>
      <c r="V28" s="5">
        <v>0.0</v>
      </c>
      <c r="W28" s="5">
        <v>0.0</v>
      </c>
      <c r="X28" s="5">
        <v>0.0</v>
      </c>
      <c r="Y28" s="5">
        <v>0.0</v>
      </c>
      <c r="Z28" s="5">
        <v>0.0</v>
      </c>
      <c r="AA28" s="5">
        <v>1.0</v>
      </c>
      <c r="AB28" s="5">
        <v>0.0</v>
      </c>
      <c r="AC28" s="5">
        <v>0.0</v>
      </c>
      <c r="AD28" s="2" t="s">
        <v>44</v>
      </c>
      <c r="AE28" s="2" t="s">
        <v>40</v>
      </c>
      <c r="AF28" s="2" t="s">
        <v>166</v>
      </c>
    </row>
    <row r="29">
      <c r="A29" s="4" t="s">
        <v>1104</v>
      </c>
      <c r="B29" s="5">
        <v>3976.0</v>
      </c>
      <c r="C29" s="5">
        <v>1802650.0</v>
      </c>
      <c r="D29" s="5">
        <v>1808240.0</v>
      </c>
      <c r="E29" s="2" t="s">
        <v>248</v>
      </c>
      <c r="F29" s="2"/>
      <c r="G29" s="2"/>
      <c r="H29" s="2"/>
      <c r="I29" s="2"/>
      <c r="J29" s="2"/>
      <c r="K29" s="2"/>
      <c r="L29" s="2"/>
      <c r="M29" s="2" t="s">
        <v>1175</v>
      </c>
      <c r="N29" s="2" t="s">
        <v>1110</v>
      </c>
      <c r="O29" s="2" t="s">
        <v>1176</v>
      </c>
      <c r="P29" s="2" t="s">
        <v>1163</v>
      </c>
      <c r="Q29" s="5">
        <v>0.0</v>
      </c>
      <c r="R29" s="5">
        <v>0.0</v>
      </c>
      <c r="S29" s="5">
        <v>0.0</v>
      </c>
      <c r="T29" s="5">
        <v>0.0</v>
      </c>
      <c r="U29" s="5">
        <v>0.0</v>
      </c>
      <c r="V29" s="5">
        <v>0.0</v>
      </c>
      <c r="W29" s="5">
        <v>0.0</v>
      </c>
      <c r="X29" s="5">
        <v>0.0</v>
      </c>
      <c r="Y29" s="5">
        <v>1.0</v>
      </c>
      <c r="Z29" s="5">
        <v>0.0</v>
      </c>
      <c r="AA29" s="5">
        <v>0.0</v>
      </c>
      <c r="AB29" s="5">
        <v>0.0</v>
      </c>
      <c r="AC29" s="5">
        <v>0.0</v>
      </c>
      <c r="AD29" s="2" t="s">
        <v>92</v>
      </c>
      <c r="AE29" s="2" t="s">
        <v>39</v>
      </c>
      <c r="AF29" s="2" t="s">
        <v>166</v>
      </c>
    </row>
    <row r="30">
      <c r="A30" s="4" t="s">
        <v>1104</v>
      </c>
      <c r="B30" s="5">
        <v>3978.0</v>
      </c>
      <c r="C30" s="5">
        <v>1808950.0</v>
      </c>
      <c r="D30" s="5">
        <v>1814380.0</v>
      </c>
      <c r="E30" s="2" t="s">
        <v>248</v>
      </c>
      <c r="F30" s="2"/>
      <c r="G30" s="2"/>
      <c r="H30" s="2"/>
      <c r="I30" s="2"/>
      <c r="J30" s="2"/>
      <c r="K30" s="2"/>
      <c r="L30" s="2"/>
      <c r="M30" s="2" t="s">
        <v>1177</v>
      </c>
      <c r="N30" s="2" t="s">
        <v>1110</v>
      </c>
      <c r="O30" s="2" t="s">
        <v>1178</v>
      </c>
      <c r="P30" s="2" t="s">
        <v>1179</v>
      </c>
      <c r="Q30" s="5">
        <v>0.0</v>
      </c>
      <c r="R30" s="5">
        <v>0.0</v>
      </c>
      <c r="S30" s="5">
        <v>0.0</v>
      </c>
      <c r="T30" s="5">
        <v>0.0</v>
      </c>
      <c r="U30" s="5">
        <v>0.0</v>
      </c>
      <c r="V30" s="5">
        <v>0.0</v>
      </c>
      <c r="W30" s="5">
        <v>0.0</v>
      </c>
      <c r="X30" s="5">
        <v>0.0</v>
      </c>
      <c r="Y30" s="5">
        <v>1.0</v>
      </c>
      <c r="Z30" s="5">
        <v>0.0</v>
      </c>
      <c r="AA30" s="5">
        <v>0.0</v>
      </c>
      <c r="AB30" s="5">
        <v>0.0</v>
      </c>
      <c r="AC30" s="5">
        <v>0.0</v>
      </c>
      <c r="AD30" s="2" t="s">
        <v>92</v>
      </c>
      <c r="AE30" s="2" t="s">
        <v>39</v>
      </c>
      <c r="AF30" s="2" t="s">
        <v>166</v>
      </c>
    </row>
    <row r="31">
      <c r="A31" s="4" t="s">
        <v>1104</v>
      </c>
      <c r="B31" s="5">
        <v>4351.0</v>
      </c>
      <c r="C31" s="5">
        <v>3002840.0</v>
      </c>
      <c r="D31" s="5">
        <v>3009670.0</v>
      </c>
      <c r="E31" s="2" t="s">
        <v>248</v>
      </c>
      <c r="F31" s="2"/>
      <c r="G31" s="2"/>
      <c r="H31" s="2"/>
      <c r="I31" s="2"/>
      <c r="J31" s="2"/>
      <c r="K31" s="2"/>
      <c r="L31" s="2"/>
      <c r="M31" s="2" t="s">
        <v>1180</v>
      </c>
      <c r="N31" s="2" t="s">
        <v>1110</v>
      </c>
      <c r="O31" s="2" t="s">
        <v>1181</v>
      </c>
      <c r="P31" s="2" t="s">
        <v>1163</v>
      </c>
      <c r="Q31" s="5">
        <v>0.0</v>
      </c>
      <c r="R31" s="5">
        <v>0.0</v>
      </c>
      <c r="S31" s="5">
        <v>0.0</v>
      </c>
      <c r="T31" s="5">
        <v>0.0</v>
      </c>
      <c r="U31" s="5">
        <v>0.0</v>
      </c>
      <c r="V31" s="5">
        <v>0.0</v>
      </c>
      <c r="W31" s="5">
        <v>0.0</v>
      </c>
      <c r="X31" s="5">
        <v>0.0</v>
      </c>
      <c r="Y31" s="5">
        <v>1.0</v>
      </c>
      <c r="Z31" s="5">
        <v>0.0</v>
      </c>
      <c r="AA31" s="5">
        <v>0.0</v>
      </c>
      <c r="AB31" s="5">
        <v>0.0</v>
      </c>
      <c r="AC31" s="5">
        <v>0.0</v>
      </c>
      <c r="AD31" s="2" t="s">
        <v>92</v>
      </c>
      <c r="AE31" s="2" t="s">
        <v>39</v>
      </c>
      <c r="AF31" s="2" t="s">
        <v>166</v>
      </c>
    </row>
    <row r="32">
      <c r="A32" s="4" t="s">
        <v>1104</v>
      </c>
      <c r="B32" s="5">
        <v>4371.0</v>
      </c>
      <c r="C32" s="5">
        <v>3068330.0</v>
      </c>
      <c r="D32" s="5">
        <v>3075760.0</v>
      </c>
      <c r="E32" s="2" t="s">
        <v>248</v>
      </c>
      <c r="F32" s="2"/>
      <c r="G32" s="2"/>
      <c r="H32" s="2"/>
      <c r="I32" s="2"/>
      <c r="J32" s="2"/>
      <c r="K32" s="2"/>
      <c r="L32" s="2"/>
      <c r="M32" s="2" t="s">
        <v>1182</v>
      </c>
      <c r="N32" s="2" t="s">
        <v>1110</v>
      </c>
      <c r="O32" s="2" t="s">
        <v>1183</v>
      </c>
      <c r="P32" s="2" t="s">
        <v>1184</v>
      </c>
      <c r="Q32" s="5">
        <v>0.0</v>
      </c>
      <c r="R32" s="5">
        <v>0.0</v>
      </c>
      <c r="S32" s="5">
        <v>0.0</v>
      </c>
      <c r="T32" s="5">
        <v>0.0</v>
      </c>
      <c r="U32" s="5">
        <v>0.0</v>
      </c>
      <c r="V32" s="5">
        <v>0.0</v>
      </c>
      <c r="W32" s="5">
        <v>0.0</v>
      </c>
      <c r="X32" s="5">
        <v>0.0</v>
      </c>
      <c r="Y32" s="5">
        <v>1.0</v>
      </c>
      <c r="Z32" s="5">
        <v>0.0</v>
      </c>
      <c r="AA32" s="5">
        <v>0.0</v>
      </c>
      <c r="AB32" s="5">
        <v>0.0</v>
      </c>
      <c r="AC32" s="5">
        <v>0.0</v>
      </c>
      <c r="AD32" s="2" t="s">
        <v>92</v>
      </c>
      <c r="AE32" s="2" t="s">
        <v>39</v>
      </c>
      <c r="AF32" s="2" t="s">
        <v>166</v>
      </c>
    </row>
    <row r="33">
      <c r="A33" s="4" t="s">
        <v>1104</v>
      </c>
      <c r="B33" s="5">
        <v>4412.0</v>
      </c>
      <c r="C33" s="5">
        <v>3191170.0</v>
      </c>
      <c r="D33" s="5">
        <v>3198320.0</v>
      </c>
      <c r="E33" s="2" t="s">
        <v>248</v>
      </c>
      <c r="F33" s="2"/>
      <c r="G33" s="2"/>
      <c r="H33" s="2"/>
      <c r="I33" s="2"/>
      <c r="J33" s="2"/>
      <c r="K33" s="2"/>
      <c r="L33" s="2"/>
      <c r="M33" s="2" t="s">
        <v>1185</v>
      </c>
      <c r="N33" s="2" t="s">
        <v>1110</v>
      </c>
      <c r="O33" s="2" t="s">
        <v>1186</v>
      </c>
      <c r="P33" s="2" t="s">
        <v>1160</v>
      </c>
      <c r="Q33" s="5">
        <v>0.0</v>
      </c>
      <c r="R33" s="5">
        <v>0.0</v>
      </c>
      <c r="S33" s="5">
        <v>0.0</v>
      </c>
      <c r="T33" s="5">
        <v>0.0</v>
      </c>
      <c r="U33" s="5">
        <v>0.0</v>
      </c>
      <c r="V33" s="5">
        <v>0.0</v>
      </c>
      <c r="W33" s="5">
        <v>0.0</v>
      </c>
      <c r="X33" s="5">
        <v>0.0</v>
      </c>
      <c r="Y33" s="5">
        <v>1.0</v>
      </c>
      <c r="Z33" s="5">
        <v>0.0</v>
      </c>
      <c r="AA33" s="5">
        <v>0.0</v>
      </c>
      <c r="AB33" s="5">
        <v>0.0</v>
      </c>
      <c r="AC33" s="5">
        <v>0.0</v>
      </c>
      <c r="AD33" s="2" t="s">
        <v>92</v>
      </c>
      <c r="AE33" s="2" t="s">
        <v>39</v>
      </c>
      <c r="AF33" s="2" t="s">
        <v>166</v>
      </c>
    </row>
    <row r="34">
      <c r="A34" s="4" t="s">
        <v>1104</v>
      </c>
      <c r="B34" s="5">
        <v>4412.0</v>
      </c>
      <c r="C34" s="5">
        <v>3191170.0</v>
      </c>
      <c r="D34" s="5">
        <v>3198320.0</v>
      </c>
      <c r="E34" s="2" t="s">
        <v>248</v>
      </c>
      <c r="F34" s="2"/>
      <c r="G34" s="2"/>
      <c r="H34" s="2"/>
      <c r="I34" s="2"/>
      <c r="J34" s="2"/>
      <c r="K34" s="2"/>
      <c r="L34" s="2"/>
      <c r="M34" s="2" t="s">
        <v>1187</v>
      </c>
      <c r="N34" s="2" t="s">
        <v>1110</v>
      </c>
      <c r="O34" s="2" t="s">
        <v>1188</v>
      </c>
      <c r="P34" s="2" t="s">
        <v>1163</v>
      </c>
      <c r="Q34" s="5">
        <v>0.0</v>
      </c>
      <c r="R34" s="5">
        <v>0.0</v>
      </c>
      <c r="S34" s="5">
        <v>0.0</v>
      </c>
      <c r="T34" s="5">
        <v>0.0</v>
      </c>
      <c r="U34" s="5">
        <v>0.0</v>
      </c>
      <c r="V34" s="5">
        <v>0.0</v>
      </c>
      <c r="W34" s="5">
        <v>0.0</v>
      </c>
      <c r="X34" s="5">
        <v>0.0</v>
      </c>
      <c r="Y34" s="5">
        <v>1.0</v>
      </c>
      <c r="Z34" s="5">
        <v>0.0</v>
      </c>
      <c r="AA34" s="5">
        <v>0.0</v>
      </c>
      <c r="AB34" s="5">
        <v>0.0</v>
      </c>
      <c r="AC34" s="5">
        <v>0.0</v>
      </c>
      <c r="AD34" s="2" t="s">
        <v>92</v>
      </c>
      <c r="AE34" s="2" t="s">
        <v>39</v>
      </c>
      <c r="AF34" s="2" t="s">
        <v>166</v>
      </c>
    </row>
    <row r="35">
      <c r="A35" s="4" t="s">
        <v>1104</v>
      </c>
      <c r="B35" s="5">
        <v>4412.0</v>
      </c>
      <c r="C35" s="5">
        <v>3191170.0</v>
      </c>
      <c r="D35" s="5">
        <v>3198320.0</v>
      </c>
      <c r="E35" s="2" t="s">
        <v>248</v>
      </c>
      <c r="F35" s="2"/>
      <c r="G35" s="2"/>
      <c r="H35" s="2"/>
      <c r="I35" s="2"/>
      <c r="J35" s="2"/>
      <c r="K35" s="2"/>
      <c r="L35" s="2"/>
      <c r="M35" s="2" t="s">
        <v>1189</v>
      </c>
      <c r="N35" s="2" t="s">
        <v>1110</v>
      </c>
      <c r="O35" s="2" t="s">
        <v>1190</v>
      </c>
      <c r="P35" s="2" t="s">
        <v>1163</v>
      </c>
      <c r="Q35" s="5">
        <v>0.0</v>
      </c>
      <c r="R35" s="5">
        <v>0.0</v>
      </c>
      <c r="S35" s="5">
        <v>0.0</v>
      </c>
      <c r="T35" s="5">
        <v>0.0</v>
      </c>
      <c r="U35" s="5">
        <v>0.0</v>
      </c>
      <c r="V35" s="5">
        <v>0.0</v>
      </c>
      <c r="W35" s="5">
        <v>0.0</v>
      </c>
      <c r="X35" s="5">
        <v>0.0</v>
      </c>
      <c r="Y35" s="5">
        <v>1.0</v>
      </c>
      <c r="Z35" s="5">
        <v>0.0</v>
      </c>
      <c r="AA35" s="5">
        <v>0.0</v>
      </c>
      <c r="AB35" s="5">
        <v>0.0</v>
      </c>
      <c r="AC35" s="5">
        <v>0.0</v>
      </c>
      <c r="AD35" s="2" t="s">
        <v>92</v>
      </c>
      <c r="AE35" s="2" t="s">
        <v>39</v>
      </c>
      <c r="AF35" s="2" t="s">
        <v>166</v>
      </c>
    </row>
    <row r="36">
      <c r="A36" s="4" t="s">
        <v>1104</v>
      </c>
      <c r="B36" s="5">
        <v>4784.0</v>
      </c>
      <c r="C36" s="5">
        <v>4274800.0</v>
      </c>
      <c r="D36" s="5">
        <v>4285570.0</v>
      </c>
      <c r="E36" s="2" t="s">
        <v>248</v>
      </c>
      <c r="F36" s="2"/>
      <c r="G36" s="2"/>
      <c r="H36" s="2"/>
      <c r="I36" s="2"/>
      <c r="J36" s="2"/>
      <c r="K36" s="2"/>
      <c r="L36" s="2"/>
      <c r="M36" s="2" t="s">
        <v>1191</v>
      </c>
      <c r="N36" s="2" t="s">
        <v>1110</v>
      </c>
      <c r="O36" s="2" t="s">
        <v>1192</v>
      </c>
      <c r="P36" s="2" t="s">
        <v>1193</v>
      </c>
      <c r="Q36" s="5">
        <v>0.0</v>
      </c>
      <c r="R36" s="5">
        <v>0.0</v>
      </c>
      <c r="S36" s="5">
        <v>0.0</v>
      </c>
      <c r="T36" s="5">
        <v>0.0</v>
      </c>
      <c r="U36" s="5">
        <v>0.0</v>
      </c>
      <c r="V36" s="5">
        <v>0.0</v>
      </c>
      <c r="W36" s="5">
        <v>0.0</v>
      </c>
      <c r="X36" s="5">
        <v>0.0</v>
      </c>
      <c r="Y36" s="5">
        <v>1.0</v>
      </c>
      <c r="Z36" s="5">
        <v>0.0</v>
      </c>
      <c r="AA36" s="5">
        <v>0.0</v>
      </c>
      <c r="AB36" s="5">
        <v>0.0</v>
      </c>
      <c r="AC36" s="5">
        <v>0.0</v>
      </c>
      <c r="AD36" s="2" t="s">
        <v>92</v>
      </c>
      <c r="AE36" s="2" t="s">
        <v>39</v>
      </c>
      <c r="AF36" s="2" t="s">
        <v>166</v>
      </c>
    </row>
    <row r="37">
      <c r="A37" s="4" t="s">
        <v>1104</v>
      </c>
      <c r="B37" s="5">
        <v>5180.0</v>
      </c>
      <c r="C37" s="5">
        <v>739190.0</v>
      </c>
      <c r="D37" s="5">
        <v>764381.0</v>
      </c>
      <c r="E37" s="2" t="s">
        <v>284</v>
      </c>
      <c r="F37" s="2"/>
      <c r="G37" s="2"/>
      <c r="H37" s="2"/>
      <c r="I37" s="2"/>
      <c r="J37" s="2"/>
      <c r="K37" s="2"/>
      <c r="L37" s="2"/>
      <c r="M37" s="2" t="s">
        <v>1194</v>
      </c>
      <c r="N37" s="2" t="s">
        <v>1110</v>
      </c>
      <c r="O37" s="2" t="s">
        <v>1195</v>
      </c>
      <c r="P37" s="2" t="s">
        <v>1196</v>
      </c>
      <c r="Q37" s="5">
        <v>0.0</v>
      </c>
      <c r="R37" s="5">
        <v>0.0</v>
      </c>
      <c r="S37" s="5">
        <v>0.0</v>
      </c>
      <c r="T37" s="5">
        <v>0.0</v>
      </c>
      <c r="U37" s="5">
        <v>0.0</v>
      </c>
      <c r="V37" s="5">
        <v>0.0</v>
      </c>
      <c r="W37" s="5">
        <v>0.0</v>
      </c>
      <c r="X37" s="5">
        <v>0.0</v>
      </c>
      <c r="Y37" s="5">
        <v>1.0</v>
      </c>
      <c r="Z37" s="5">
        <v>0.0</v>
      </c>
      <c r="AA37" s="5">
        <v>0.0</v>
      </c>
      <c r="AB37" s="5">
        <v>0.0</v>
      </c>
      <c r="AC37" s="5">
        <v>0.0</v>
      </c>
      <c r="AD37" s="2" t="s">
        <v>44</v>
      </c>
      <c r="AE37" s="2" t="s">
        <v>40</v>
      </c>
      <c r="AF37" s="2" t="s">
        <v>166</v>
      </c>
    </row>
    <row r="38">
      <c r="A38" s="4" t="s">
        <v>1104</v>
      </c>
      <c r="B38" s="5">
        <v>5180.0</v>
      </c>
      <c r="C38" s="5">
        <v>739190.0</v>
      </c>
      <c r="D38" s="5">
        <v>764381.0</v>
      </c>
      <c r="E38" s="2" t="s">
        <v>284</v>
      </c>
      <c r="F38" s="2"/>
      <c r="G38" s="2"/>
      <c r="H38" s="2"/>
      <c r="I38" s="2"/>
      <c r="J38" s="2"/>
      <c r="K38" s="2"/>
      <c r="L38" s="2"/>
      <c r="M38" s="2" t="s">
        <v>1197</v>
      </c>
      <c r="N38" s="2" t="s">
        <v>1110</v>
      </c>
      <c r="O38" s="2" t="s">
        <v>1198</v>
      </c>
      <c r="P38" s="2" t="s">
        <v>1199</v>
      </c>
      <c r="Q38" s="5">
        <v>0.0</v>
      </c>
      <c r="R38" s="5">
        <v>0.0</v>
      </c>
      <c r="S38" s="5">
        <v>0.0</v>
      </c>
      <c r="T38" s="5">
        <v>0.0</v>
      </c>
      <c r="U38" s="5">
        <v>0.0</v>
      </c>
      <c r="V38" s="5">
        <v>0.0</v>
      </c>
      <c r="W38" s="5">
        <v>0.0</v>
      </c>
      <c r="X38" s="5">
        <v>0.0</v>
      </c>
      <c r="Y38" s="5">
        <v>1.0</v>
      </c>
      <c r="Z38" s="5">
        <v>0.0</v>
      </c>
      <c r="AA38" s="5">
        <v>0.0</v>
      </c>
      <c r="AB38" s="5">
        <v>0.0</v>
      </c>
      <c r="AC38" s="5">
        <v>0.0</v>
      </c>
      <c r="AD38" s="2" t="s">
        <v>92</v>
      </c>
      <c r="AE38" s="2" t="s">
        <v>39</v>
      </c>
      <c r="AF38" s="2" t="s">
        <v>166</v>
      </c>
    </row>
    <row r="39">
      <c r="A39" s="4" t="s">
        <v>1104</v>
      </c>
      <c r="B39" s="5">
        <v>5189.0</v>
      </c>
      <c r="C39" s="5">
        <v>915667.0</v>
      </c>
      <c r="D39" s="5">
        <v>951571.0</v>
      </c>
      <c r="E39" s="2" t="s">
        <v>284</v>
      </c>
      <c r="F39" s="2"/>
      <c r="G39" s="2"/>
      <c r="H39" s="2"/>
      <c r="I39" s="2"/>
      <c r="J39" s="2"/>
      <c r="K39" s="2"/>
      <c r="L39" s="2"/>
      <c r="M39" s="2"/>
      <c r="N39" s="2" t="s">
        <v>1105</v>
      </c>
      <c r="O39" s="2" t="s">
        <v>1200</v>
      </c>
      <c r="P39" s="2" t="s">
        <v>1201</v>
      </c>
      <c r="Q39" s="5">
        <v>0.0</v>
      </c>
      <c r="R39" s="5">
        <v>0.0</v>
      </c>
      <c r="S39" s="5">
        <v>0.0</v>
      </c>
      <c r="T39" s="5">
        <v>0.0</v>
      </c>
      <c r="U39" s="5">
        <v>0.0</v>
      </c>
      <c r="V39" s="5">
        <v>0.0</v>
      </c>
      <c r="W39" s="5">
        <v>0.0</v>
      </c>
      <c r="X39" s="5">
        <v>0.0</v>
      </c>
      <c r="Y39" s="5">
        <v>1.0</v>
      </c>
      <c r="Z39" s="5">
        <v>0.0</v>
      </c>
      <c r="AA39" s="5">
        <v>0.0</v>
      </c>
      <c r="AB39" s="5">
        <v>0.0</v>
      </c>
      <c r="AC39" s="5">
        <v>1.0</v>
      </c>
      <c r="AD39" s="2" t="s">
        <v>92</v>
      </c>
      <c r="AE39" s="2" t="s">
        <v>39</v>
      </c>
      <c r="AF39" s="2" t="s">
        <v>166</v>
      </c>
    </row>
    <row r="40">
      <c r="A40" s="4" t="s">
        <v>1104</v>
      </c>
      <c r="B40" s="5">
        <v>5202.0</v>
      </c>
      <c r="C40" s="5">
        <v>1384500.0</v>
      </c>
      <c r="D40" s="5">
        <v>1402500.0</v>
      </c>
      <c r="E40" s="2" t="s">
        <v>284</v>
      </c>
      <c r="F40" s="2"/>
      <c r="G40" s="2"/>
      <c r="H40" s="2"/>
      <c r="I40" s="2"/>
      <c r="J40" s="2"/>
      <c r="K40" s="2"/>
      <c r="L40" s="2"/>
      <c r="M40" s="2" t="s">
        <v>1202</v>
      </c>
      <c r="N40" s="2" t="s">
        <v>1110</v>
      </c>
      <c r="O40" s="2" t="s">
        <v>1203</v>
      </c>
      <c r="P40" s="2" t="s">
        <v>1204</v>
      </c>
      <c r="Q40" s="5">
        <v>0.0</v>
      </c>
      <c r="R40" s="5">
        <v>0.0</v>
      </c>
      <c r="S40" s="5">
        <v>1.0</v>
      </c>
      <c r="T40" s="5">
        <v>0.0</v>
      </c>
      <c r="U40" s="5">
        <v>0.0</v>
      </c>
      <c r="V40" s="5">
        <v>0.0</v>
      </c>
      <c r="W40" s="5">
        <v>0.0</v>
      </c>
      <c r="X40" s="5">
        <v>0.0</v>
      </c>
      <c r="Y40" s="5">
        <v>0.0</v>
      </c>
      <c r="Z40" s="5">
        <v>0.0</v>
      </c>
      <c r="AA40" s="5">
        <v>0.0</v>
      </c>
      <c r="AB40" s="5">
        <v>0.0</v>
      </c>
      <c r="AC40" s="5">
        <v>0.0</v>
      </c>
      <c r="AD40" s="2" t="s">
        <v>38</v>
      </c>
      <c r="AE40" s="2" t="s">
        <v>39</v>
      </c>
      <c r="AF40" s="2" t="s">
        <v>166</v>
      </c>
    </row>
    <row r="41">
      <c r="A41" s="4" t="s">
        <v>1104</v>
      </c>
      <c r="B41" s="5">
        <v>5254.0</v>
      </c>
      <c r="C41" s="5">
        <v>1988900.0</v>
      </c>
      <c r="D41" s="5">
        <v>2130100.0</v>
      </c>
      <c r="E41" s="2" t="s">
        <v>284</v>
      </c>
      <c r="F41" s="2"/>
      <c r="G41" s="2"/>
      <c r="H41" s="2"/>
      <c r="I41" s="2"/>
      <c r="J41" s="2"/>
      <c r="K41" s="2"/>
      <c r="L41" s="2"/>
      <c r="M41" s="2" t="s">
        <v>1205</v>
      </c>
      <c r="N41" s="2" t="s">
        <v>1110</v>
      </c>
      <c r="O41" s="2" t="s">
        <v>1206</v>
      </c>
      <c r="P41" s="2" t="s">
        <v>99</v>
      </c>
      <c r="Q41" s="5">
        <v>0.0</v>
      </c>
      <c r="R41" s="6">
        <v>1.0</v>
      </c>
      <c r="S41" s="5">
        <v>0.0</v>
      </c>
      <c r="T41" s="5">
        <v>0.0</v>
      </c>
      <c r="U41" s="5">
        <v>0.0</v>
      </c>
      <c r="V41" s="5">
        <v>0.0</v>
      </c>
      <c r="W41" s="5">
        <v>0.0</v>
      </c>
      <c r="X41" s="5">
        <v>0.0</v>
      </c>
      <c r="Y41" s="5">
        <v>0.0</v>
      </c>
      <c r="Z41" s="5">
        <v>0.0</v>
      </c>
      <c r="AA41" s="5">
        <v>0.0</v>
      </c>
      <c r="AB41" s="5">
        <v>0.0</v>
      </c>
      <c r="AC41" s="5">
        <v>0.0</v>
      </c>
      <c r="AD41" s="2" t="s">
        <v>92</v>
      </c>
      <c r="AE41" s="2" t="s">
        <v>39</v>
      </c>
      <c r="AF41" s="2" t="s">
        <v>166</v>
      </c>
    </row>
    <row r="42">
      <c r="A42" s="4" t="s">
        <v>1104</v>
      </c>
      <c r="B42" s="5">
        <v>5254.0</v>
      </c>
      <c r="C42" s="5">
        <v>1988900.0</v>
      </c>
      <c r="D42" s="5">
        <v>2130100.0</v>
      </c>
      <c r="E42" s="2" t="s">
        <v>284</v>
      </c>
      <c r="F42" s="2"/>
      <c r="G42" s="2"/>
      <c r="H42" s="2"/>
      <c r="I42" s="2"/>
      <c r="J42" s="2"/>
      <c r="K42" s="2"/>
      <c r="L42" s="2"/>
      <c r="M42" s="2" t="s">
        <v>1207</v>
      </c>
      <c r="N42" s="2" t="s">
        <v>1110</v>
      </c>
      <c r="O42" s="2" t="s">
        <v>1208</v>
      </c>
      <c r="P42" s="2" t="s">
        <v>1209</v>
      </c>
      <c r="Q42" s="5">
        <v>0.0</v>
      </c>
      <c r="R42" s="5">
        <v>0.0</v>
      </c>
      <c r="S42" s="5">
        <v>0.0</v>
      </c>
      <c r="T42" s="5">
        <v>0.0</v>
      </c>
      <c r="U42" s="5">
        <v>0.0</v>
      </c>
      <c r="V42" s="5">
        <v>0.0</v>
      </c>
      <c r="W42" s="5">
        <v>1.0</v>
      </c>
      <c r="X42" s="5">
        <v>0.0</v>
      </c>
      <c r="Y42" s="5">
        <v>0.0</v>
      </c>
      <c r="Z42" s="5">
        <v>0.0</v>
      </c>
      <c r="AA42" s="5">
        <v>0.0</v>
      </c>
      <c r="AB42" s="5">
        <v>0.0</v>
      </c>
      <c r="AC42" s="5">
        <v>0.0</v>
      </c>
      <c r="AD42" s="1" t="s">
        <v>44</v>
      </c>
      <c r="AE42" s="1" t="s">
        <v>40</v>
      </c>
      <c r="AF42" s="2" t="s">
        <v>166</v>
      </c>
    </row>
    <row r="43">
      <c r="A43" s="4" t="s">
        <v>1104</v>
      </c>
      <c r="B43" s="5">
        <v>5255.0</v>
      </c>
      <c r="C43" s="5">
        <v>2130900.0</v>
      </c>
      <c r="D43" s="5">
        <v>2138000.0</v>
      </c>
      <c r="E43" s="2" t="s">
        <v>284</v>
      </c>
      <c r="F43" s="2"/>
      <c r="G43" s="2"/>
      <c r="H43" s="2"/>
      <c r="I43" s="2"/>
      <c r="J43" s="2"/>
      <c r="K43" s="2"/>
      <c r="L43" s="2"/>
      <c r="M43" s="2" t="s">
        <v>1210</v>
      </c>
      <c r="N43" s="2" t="s">
        <v>1110</v>
      </c>
      <c r="O43" s="2" t="s">
        <v>1211</v>
      </c>
      <c r="P43" s="2" t="s">
        <v>1212</v>
      </c>
      <c r="Q43" s="5">
        <v>0.0</v>
      </c>
      <c r="R43" s="5">
        <v>0.0</v>
      </c>
      <c r="S43" s="5">
        <v>0.0</v>
      </c>
      <c r="T43" s="5">
        <v>0.0</v>
      </c>
      <c r="U43" s="5">
        <v>0.0</v>
      </c>
      <c r="V43" s="5">
        <v>0.0</v>
      </c>
      <c r="W43" s="5">
        <v>1.0</v>
      </c>
      <c r="X43" s="5">
        <v>0.0</v>
      </c>
      <c r="Y43" s="5">
        <v>0.0</v>
      </c>
      <c r="Z43" s="5">
        <v>0.0</v>
      </c>
      <c r="AA43" s="5">
        <v>0.0</v>
      </c>
      <c r="AB43" s="5">
        <v>0.0</v>
      </c>
      <c r="AC43" s="5">
        <v>0.0</v>
      </c>
      <c r="AD43" s="1" t="s">
        <v>44</v>
      </c>
      <c r="AE43" s="1" t="s">
        <v>40</v>
      </c>
      <c r="AF43" s="2" t="s">
        <v>166</v>
      </c>
    </row>
    <row r="44">
      <c r="A44" s="4" t="s">
        <v>1104</v>
      </c>
      <c r="B44" s="5">
        <v>5283.0</v>
      </c>
      <c r="C44" s="5">
        <v>3389940.0</v>
      </c>
      <c r="D44" s="5">
        <v>3405940.0</v>
      </c>
      <c r="E44" s="2" t="s">
        <v>284</v>
      </c>
      <c r="F44" s="2"/>
      <c r="G44" s="2"/>
      <c r="H44" s="2"/>
      <c r="I44" s="2"/>
      <c r="J44" s="2"/>
      <c r="K44" s="2"/>
      <c r="L44" s="2"/>
      <c r="M44" s="2" t="s">
        <v>1213</v>
      </c>
      <c r="N44" s="2" t="s">
        <v>1110</v>
      </c>
      <c r="O44" s="2" t="s">
        <v>1214</v>
      </c>
      <c r="P44" s="2" t="s">
        <v>919</v>
      </c>
      <c r="Q44" s="5">
        <v>0.0</v>
      </c>
      <c r="R44" s="5">
        <v>0.0</v>
      </c>
      <c r="S44" s="5">
        <v>0.0</v>
      </c>
      <c r="T44" s="5">
        <v>0.0</v>
      </c>
      <c r="U44" s="5">
        <v>0.0</v>
      </c>
      <c r="V44" s="5">
        <v>0.0</v>
      </c>
      <c r="W44" s="5">
        <v>0.0</v>
      </c>
      <c r="X44" s="5">
        <v>0.0</v>
      </c>
      <c r="Y44" s="6">
        <v>1.0</v>
      </c>
      <c r="Z44" s="5">
        <v>0.0</v>
      </c>
      <c r="AA44" s="5">
        <v>0.0</v>
      </c>
      <c r="AB44" s="5">
        <v>0.0</v>
      </c>
      <c r="AC44" s="5">
        <v>0.0</v>
      </c>
      <c r="AD44" s="2" t="s">
        <v>92</v>
      </c>
      <c r="AE44" s="2" t="s">
        <v>39</v>
      </c>
      <c r="AF44" s="2" t="s">
        <v>166</v>
      </c>
    </row>
    <row r="45">
      <c r="A45" s="4" t="s">
        <v>1104</v>
      </c>
      <c r="B45" s="5">
        <v>5294.0</v>
      </c>
      <c r="C45" s="5">
        <v>3765200.0</v>
      </c>
      <c r="D45" s="5">
        <v>3767240.0</v>
      </c>
      <c r="E45" s="2" t="s">
        <v>284</v>
      </c>
      <c r="F45" s="2"/>
      <c r="G45" s="2"/>
      <c r="H45" s="2"/>
      <c r="I45" s="2"/>
      <c r="J45" s="2"/>
      <c r="K45" s="2"/>
      <c r="L45" s="2"/>
      <c r="M45" s="2" t="s">
        <v>322</v>
      </c>
      <c r="N45" s="2" t="s">
        <v>1105</v>
      </c>
      <c r="O45" s="2" t="s">
        <v>323</v>
      </c>
      <c r="P45" s="2" t="s">
        <v>1215</v>
      </c>
      <c r="Q45" s="5">
        <v>0.0</v>
      </c>
      <c r="R45" s="5">
        <v>0.0</v>
      </c>
      <c r="S45" s="5">
        <v>0.0</v>
      </c>
      <c r="T45" s="5">
        <v>0.0</v>
      </c>
      <c r="U45" s="5">
        <v>0.0</v>
      </c>
      <c r="V45" s="5">
        <v>1.0</v>
      </c>
      <c r="W45" s="5">
        <v>0.0</v>
      </c>
      <c r="X45" s="5">
        <v>0.0</v>
      </c>
      <c r="Y45" s="5">
        <v>0.0</v>
      </c>
      <c r="Z45" s="5">
        <v>0.0</v>
      </c>
      <c r="AA45" s="5">
        <v>0.0</v>
      </c>
      <c r="AB45" s="5">
        <v>0.0</v>
      </c>
      <c r="AC45" s="5">
        <v>0.0</v>
      </c>
      <c r="AD45" s="2" t="s">
        <v>38</v>
      </c>
      <c r="AE45" s="2" t="s">
        <v>39</v>
      </c>
      <c r="AF45" s="2" t="s">
        <v>166</v>
      </c>
    </row>
    <row r="46">
      <c r="A46" s="4" t="s">
        <v>1104</v>
      </c>
      <c r="B46" s="5">
        <v>5295.0</v>
      </c>
      <c r="C46" s="5">
        <v>3767240.0</v>
      </c>
      <c r="D46" s="5">
        <v>3812000.0</v>
      </c>
      <c r="E46" s="2" t="s">
        <v>284</v>
      </c>
      <c r="F46" s="2"/>
      <c r="G46" s="2"/>
      <c r="H46" s="2"/>
      <c r="I46" s="2"/>
      <c r="J46" s="2"/>
      <c r="K46" s="2"/>
      <c r="L46" s="2"/>
      <c r="M46" s="2"/>
      <c r="N46" s="2" t="s">
        <v>1105</v>
      </c>
      <c r="O46" s="2" t="s">
        <v>325</v>
      </c>
      <c r="P46" s="2" t="s">
        <v>1215</v>
      </c>
      <c r="Q46" s="5">
        <v>0.0</v>
      </c>
      <c r="R46" s="5">
        <v>0.0</v>
      </c>
      <c r="S46" s="5">
        <v>0.0</v>
      </c>
      <c r="T46" s="5">
        <v>0.0</v>
      </c>
      <c r="U46" s="5">
        <v>0.0</v>
      </c>
      <c r="V46" s="5">
        <v>1.0</v>
      </c>
      <c r="W46" s="5">
        <v>0.0</v>
      </c>
      <c r="X46" s="5">
        <v>0.0</v>
      </c>
      <c r="Y46" s="5">
        <v>0.0</v>
      </c>
      <c r="Z46" s="5">
        <v>0.0</v>
      </c>
      <c r="AA46" s="5">
        <v>0.0</v>
      </c>
      <c r="AB46" s="5">
        <v>0.0</v>
      </c>
      <c r="AC46" s="5">
        <v>0.0</v>
      </c>
      <c r="AD46" s="2" t="s">
        <v>38</v>
      </c>
      <c r="AE46" s="2" t="s">
        <v>39</v>
      </c>
      <c r="AF46" s="2" t="s">
        <v>166</v>
      </c>
    </row>
    <row r="47">
      <c r="A47" s="4" t="s">
        <v>1104</v>
      </c>
      <c r="B47" s="5">
        <v>5307.0</v>
      </c>
      <c r="C47" s="5">
        <v>4186800.0</v>
      </c>
      <c r="D47" s="5">
        <v>4277560.0</v>
      </c>
      <c r="E47" s="2" t="s">
        <v>284</v>
      </c>
      <c r="F47" s="2"/>
      <c r="G47" s="2"/>
      <c r="H47" s="2"/>
      <c r="I47" s="2"/>
      <c r="J47" s="2"/>
      <c r="K47" s="2"/>
      <c r="L47" s="2"/>
      <c r="M47" s="2" t="s">
        <v>326</v>
      </c>
      <c r="N47" s="2" t="s">
        <v>1110</v>
      </c>
      <c r="O47" s="2" t="s">
        <v>327</v>
      </c>
      <c r="P47" s="2" t="s">
        <v>1216</v>
      </c>
      <c r="Q47" s="5">
        <v>0.0</v>
      </c>
      <c r="R47" s="5">
        <v>0.0</v>
      </c>
      <c r="S47" s="5">
        <v>0.0</v>
      </c>
      <c r="T47" s="5">
        <v>0.0</v>
      </c>
      <c r="U47" s="5">
        <v>0.0</v>
      </c>
      <c r="V47" s="5">
        <v>0.0</v>
      </c>
      <c r="W47" s="5">
        <v>0.0</v>
      </c>
      <c r="X47" s="5">
        <v>0.0</v>
      </c>
      <c r="Y47" s="5">
        <v>1.0</v>
      </c>
      <c r="Z47" s="5">
        <v>0.0</v>
      </c>
      <c r="AA47" s="5">
        <v>0.0</v>
      </c>
      <c r="AB47" s="5">
        <v>0.0</v>
      </c>
      <c r="AC47" s="5">
        <v>0.0</v>
      </c>
      <c r="AD47" s="2" t="s">
        <v>92</v>
      </c>
      <c r="AE47" s="2" t="s">
        <v>39</v>
      </c>
      <c r="AF47" s="2" t="s">
        <v>166</v>
      </c>
    </row>
    <row r="48">
      <c r="A48" s="4" t="s">
        <v>1104</v>
      </c>
      <c r="B48" s="5">
        <v>5310.0</v>
      </c>
      <c r="C48" s="5">
        <v>4338600.0</v>
      </c>
      <c r="D48" s="5">
        <v>4340440.0</v>
      </c>
      <c r="E48" s="2" t="s">
        <v>284</v>
      </c>
      <c r="F48" s="2"/>
      <c r="G48" s="2"/>
      <c r="H48" s="2"/>
      <c r="I48" s="2"/>
      <c r="J48" s="2"/>
      <c r="K48" s="2"/>
      <c r="L48" s="2"/>
      <c r="M48" s="2"/>
      <c r="N48" s="2" t="s">
        <v>1105</v>
      </c>
      <c r="O48" s="2" t="s">
        <v>329</v>
      </c>
      <c r="P48" s="2" t="s">
        <v>1217</v>
      </c>
      <c r="Q48" s="5">
        <v>0.0</v>
      </c>
      <c r="R48" s="5">
        <v>0.0</v>
      </c>
      <c r="S48" s="5">
        <v>0.0</v>
      </c>
      <c r="T48" s="5">
        <v>0.0</v>
      </c>
      <c r="U48" s="5">
        <v>0.0</v>
      </c>
      <c r="V48" s="5">
        <v>0.0</v>
      </c>
      <c r="W48" s="5">
        <v>0.0</v>
      </c>
      <c r="X48" s="5">
        <v>0.0</v>
      </c>
      <c r="Y48" s="5">
        <v>1.0</v>
      </c>
      <c r="Z48" s="5">
        <v>0.0</v>
      </c>
      <c r="AA48" s="5">
        <v>0.0</v>
      </c>
      <c r="AB48" s="5">
        <v>0.0</v>
      </c>
      <c r="AC48" s="5">
        <v>0.0</v>
      </c>
      <c r="AD48" s="2" t="s">
        <v>92</v>
      </c>
      <c r="AE48" s="2" t="s">
        <v>39</v>
      </c>
      <c r="AF48" s="2" t="s">
        <v>166</v>
      </c>
    </row>
    <row r="49">
      <c r="A49" s="4" t="s">
        <v>1104</v>
      </c>
      <c r="B49" s="5">
        <v>5386.0</v>
      </c>
      <c r="C49" s="5">
        <v>632250.0</v>
      </c>
      <c r="D49" s="5">
        <v>702900.0</v>
      </c>
      <c r="E49" s="2" t="s">
        <v>304</v>
      </c>
      <c r="F49" s="2"/>
      <c r="G49" s="2" t="s">
        <v>305</v>
      </c>
      <c r="H49" s="2"/>
      <c r="I49" s="5">
        <v>1934.0</v>
      </c>
      <c r="J49" s="2" t="s">
        <v>63</v>
      </c>
      <c r="K49" s="2" t="s">
        <v>306</v>
      </c>
      <c r="L49" s="2" t="s">
        <v>65</v>
      </c>
      <c r="M49" s="2" t="s">
        <v>1218</v>
      </c>
      <c r="N49" s="2" t="s">
        <v>1110</v>
      </c>
      <c r="O49" s="2" t="s">
        <v>1219</v>
      </c>
      <c r="P49" s="2" t="s">
        <v>141</v>
      </c>
      <c r="Q49" s="5">
        <v>1.0</v>
      </c>
      <c r="R49" s="5">
        <v>0.0</v>
      </c>
      <c r="S49" s="5">
        <v>0.0</v>
      </c>
      <c r="T49" s="5">
        <v>0.0</v>
      </c>
      <c r="U49" s="5">
        <v>0.0</v>
      </c>
      <c r="V49" s="5">
        <v>0.0</v>
      </c>
      <c r="W49" s="5">
        <v>0.0</v>
      </c>
      <c r="X49" s="5">
        <v>0.0</v>
      </c>
      <c r="Y49" s="5">
        <v>0.0</v>
      </c>
      <c r="Z49" s="5">
        <v>0.0</v>
      </c>
      <c r="AA49" s="5">
        <v>0.0</v>
      </c>
      <c r="AB49" s="5">
        <v>0.0</v>
      </c>
      <c r="AC49" s="5">
        <v>0.0</v>
      </c>
      <c r="AD49" s="2" t="s">
        <v>38</v>
      </c>
      <c r="AE49" s="2" t="s">
        <v>39</v>
      </c>
      <c r="AF49" s="2" t="s">
        <v>166</v>
      </c>
    </row>
    <row r="50">
      <c r="A50" s="7" t="s">
        <v>342</v>
      </c>
      <c r="B50" s="8">
        <v>6.0</v>
      </c>
      <c r="C50" s="8">
        <v>30040.0</v>
      </c>
      <c r="D50" s="8">
        <v>35970.0</v>
      </c>
      <c r="E50" s="9" t="s">
        <v>343</v>
      </c>
      <c r="F50" s="9"/>
      <c r="G50" s="9" t="s">
        <v>344</v>
      </c>
      <c r="H50" s="9" t="s">
        <v>345</v>
      </c>
      <c r="I50" s="8">
        <v>1940.0</v>
      </c>
      <c r="J50" s="9" t="s">
        <v>346</v>
      </c>
      <c r="K50" s="9" t="s">
        <v>347</v>
      </c>
      <c r="L50" s="9" t="s">
        <v>43</v>
      </c>
      <c r="M50" s="9" t="s">
        <v>1220</v>
      </c>
      <c r="N50" s="9" t="s">
        <v>1110</v>
      </c>
      <c r="O50" s="9" t="s">
        <v>1221</v>
      </c>
      <c r="P50" s="9" t="s">
        <v>587</v>
      </c>
      <c r="Q50" s="8">
        <v>0.0</v>
      </c>
      <c r="R50" s="8">
        <v>0.0</v>
      </c>
      <c r="S50" s="8">
        <v>0.0</v>
      </c>
      <c r="T50" s="8">
        <v>0.0</v>
      </c>
      <c r="U50" s="8">
        <v>1.0</v>
      </c>
      <c r="V50" s="8">
        <v>0.0</v>
      </c>
      <c r="W50" s="8">
        <v>0.0</v>
      </c>
      <c r="X50" s="8">
        <v>0.0</v>
      </c>
      <c r="Y50" s="8">
        <v>0.0</v>
      </c>
      <c r="Z50" s="8">
        <v>0.0</v>
      </c>
      <c r="AA50" s="8">
        <v>0.0</v>
      </c>
      <c r="AB50" s="8">
        <v>0.0</v>
      </c>
      <c r="AC50" s="8">
        <v>0.0</v>
      </c>
      <c r="AD50" s="9" t="s">
        <v>38</v>
      </c>
      <c r="AE50" s="9" t="s">
        <v>39</v>
      </c>
      <c r="AF50" s="9" t="s">
        <v>166</v>
      </c>
    </row>
    <row r="51">
      <c r="A51" s="7" t="s">
        <v>342</v>
      </c>
      <c r="B51" s="8">
        <v>171.0</v>
      </c>
      <c r="C51" s="8">
        <v>1369620.0</v>
      </c>
      <c r="D51" s="8">
        <v>1373280.0</v>
      </c>
      <c r="E51" s="9" t="s">
        <v>343</v>
      </c>
      <c r="F51" s="9"/>
      <c r="G51" s="9" t="s">
        <v>344</v>
      </c>
      <c r="H51" s="9" t="s">
        <v>345</v>
      </c>
      <c r="I51" s="8">
        <v>1940.0</v>
      </c>
      <c r="J51" s="9" t="s">
        <v>346</v>
      </c>
      <c r="K51" s="9" t="s">
        <v>347</v>
      </c>
      <c r="L51" s="9" t="s">
        <v>43</v>
      </c>
      <c r="M51" s="9" t="s">
        <v>1222</v>
      </c>
      <c r="N51" s="9" t="s">
        <v>1110</v>
      </c>
      <c r="O51" s="9" t="s">
        <v>1223</v>
      </c>
      <c r="P51" s="9" t="s">
        <v>1224</v>
      </c>
      <c r="Q51" s="8">
        <v>1.0</v>
      </c>
      <c r="R51" s="8">
        <v>0.0</v>
      </c>
      <c r="S51" s="8">
        <v>0.0</v>
      </c>
      <c r="T51" s="8">
        <v>0.0</v>
      </c>
      <c r="U51" s="8">
        <v>0.0</v>
      </c>
      <c r="V51" s="8">
        <v>0.0</v>
      </c>
      <c r="W51" s="8">
        <v>0.0</v>
      </c>
      <c r="X51" s="8">
        <v>0.0</v>
      </c>
      <c r="Y51" s="8">
        <v>0.0</v>
      </c>
      <c r="Z51" s="8">
        <v>0.0</v>
      </c>
      <c r="AA51" s="8">
        <v>0.0</v>
      </c>
      <c r="AB51" s="8">
        <v>0.0</v>
      </c>
      <c r="AC51" s="8">
        <v>0.0</v>
      </c>
      <c r="AD51" s="9" t="s">
        <v>38</v>
      </c>
      <c r="AE51" s="9" t="s">
        <v>39</v>
      </c>
      <c r="AF51" s="9" t="s">
        <v>166</v>
      </c>
    </row>
    <row r="52">
      <c r="A52" s="7" t="s">
        <v>342</v>
      </c>
      <c r="B52" s="8">
        <v>222.0</v>
      </c>
      <c r="C52" s="8">
        <v>1773560.0</v>
      </c>
      <c r="D52" s="8">
        <v>1782720.0</v>
      </c>
      <c r="E52" s="9" t="s">
        <v>343</v>
      </c>
      <c r="F52" s="9"/>
      <c r="G52" s="9" t="s">
        <v>344</v>
      </c>
      <c r="H52" s="9" t="s">
        <v>345</v>
      </c>
      <c r="I52" s="8">
        <v>1940.0</v>
      </c>
      <c r="J52" s="9" t="s">
        <v>346</v>
      </c>
      <c r="K52" s="9" t="s">
        <v>347</v>
      </c>
      <c r="L52" s="9" t="s">
        <v>43</v>
      </c>
      <c r="M52" s="9" t="s">
        <v>1225</v>
      </c>
      <c r="N52" s="9" t="s">
        <v>1110</v>
      </c>
      <c r="O52" s="9" t="s">
        <v>1226</v>
      </c>
      <c r="P52" s="9" t="s">
        <v>1227</v>
      </c>
      <c r="Q52" s="8">
        <v>1.0</v>
      </c>
      <c r="R52" s="8">
        <v>0.0</v>
      </c>
      <c r="S52" s="8">
        <v>0.0</v>
      </c>
      <c r="T52" s="8">
        <v>0.0</v>
      </c>
      <c r="U52" s="8">
        <v>0.0</v>
      </c>
      <c r="V52" s="8">
        <v>0.0</v>
      </c>
      <c r="W52" s="8">
        <v>0.0</v>
      </c>
      <c r="X52" s="8">
        <v>0.0</v>
      </c>
      <c r="Y52" s="8">
        <v>0.0</v>
      </c>
      <c r="Z52" s="8">
        <v>0.0</v>
      </c>
      <c r="AA52" s="8">
        <v>0.0</v>
      </c>
      <c r="AB52" s="8">
        <v>0.0</v>
      </c>
      <c r="AC52" s="8">
        <v>0.0</v>
      </c>
      <c r="AD52" s="9" t="s">
        <v>38</v>
      </c>
      <c r="AE52" s="9" t="s">
        <v>39</v>
      </c>
      <c r="AF52" s="9" t="s">
        <v>166</v>
      </c>
    </row>
    <row r="53">
      <c r="A53" s="7" t="s">
        <v>342</v>
      </c>
      <c r="B53" s="8">
        <v>275.0</v>
      </c>
      <c r="C53" s="8">
        <v>2260100.0</v>
      </c>
      <c r="D53" s="8">
        <v>2268940.0</v>
      </c>
      <c r="E53" s="9" t="s">
        <v>343</v>
      </c>
      <c r="F53" s="9"/>
      <c r="G53" s="9" t="s">
        <v>344</v>
      </c>
      <c r="H53" s="9" t="s">
        <v>345</v>
      </c>
      <c r="I53" s="8">
        <v>1940.0</v>
      </c>
      <c r="J53" s="9" t="s">
        <v>346</v>
      </c>
      <c r="K53" s="9" t="s">
        <v>347</v>
      </c>
      <c r="L53" s="9" t="s">
        <v>43</v>
      </c>
      <c r="M53" s="9" t="s">
        <v>1228</v>
      </c>
      <c r="N53" s="9" t="s">
        <v>1110</v>
      </c>
      <c r="O53" s="9" t="s">
        <v>1229</v>
      </c>
      <c r="P53" s="9" t="s">
        <v>1230</v>
      </c>
      <c r="Q53" s="8">
        <v>1.0</v>
      </c>
      <c r="R53" s="8">
        <v>0.0</v>
      </c>
      <c r="S53" s="8">
        <v>0.0</v>
      </c>
      <c r="T53" s="8">
        <v>0.0</v>
      </c>
      <c r="U53" s="8">
        <v>0.0</v>
      </c>
      <c r="V53" s="8">
        <v>0.0</v>
      </c>
      <c r="W53" s="8">
        <v>0.0</v>
      </c>
      <c r="X53" s="8">
        <v>0.0</v>
      </c>
      <c r="Y53" s="8">
        <v>0.0</v>
      </c>
      <c r="Z53" s="8">
        <v>0.0</v>
      </c>
      <c r="AA53" s="8">
        <v>0.0</v>
      </c>
      <c r="AB53" s="8">
        <v>0.0</v>
      </c>
      <c r="AC53" s="8">
        <v>0.0</v>
      </c>
      <c r="AD53" s="9" t="s">
        <v>38</v>
      </c>
      <c r="AE53" s="9" t="s">
        <v>39</v>
      </c>
      <c r="AF53" s="9" t="s">
        <v>166</v>
      </c>
    </row>
    <row r="54">
      <c r="A54" s="7" t="s">
        <v>342</v>
      </c>
      <c r="B54" s="8">
        <v>755.0</v>
      </c>
      <c r="C54" s="8">
        <v>899432.0</v>
      </c>
      <c r="D54" s="8">
        <v>904103.0</v>
      </c>
      <c r="E54" s="9" t="s">
        <v>387</v>
      </c>
      <c r="F54" s="9"/>
      <c r="G54" s="9" t="s">
        <v>388</v>
      </c>
      <c r="H54" s="9" t="s">
        <v>345</v>
      </c>
      <c r="I54" s="8">
        <v>1932.0</v>
      </c>
      <c r="J54" s="9" t="s">
        <v>389</v>
      </c>
      <c r="K54" s="9" t="s">
        <v>390</v>
      </c>
      <c r="L54" s="9" t="s">
        <v>391</v>
      </c>
      <c r="M54" s="9" t="s">
        <v>1231</v>
      </c>
      <c r="N54" s="9" t="s">
        <v>1110</v>
      </c>
      <c r="O54" s="9" t="s">
        <v>1232</v>
      </c>
      <c r="P54" s="9" t="s">
        <v>52</v>
      </c>
      <c r="Q54" s="8">
        <v>0.0</v>
      </c>
      <c r="R54" s="8">
        <v>0.0</v>
      </c>
      <c r="S54" s="8">
        <v>1.0</v>
      </c>
      <c r="T54" s="8">
        <v>0.0</v>
      </c>
      <c r="U54" s="8">
        <v>0.0</v>
      </c>
      <c r="V54" s="8">
        <v>0.0</v>
      </c>
      <c r="W54" s="8">
        <v>0.0</v>
      </c>
      <c r="X54" s="8">
        <v>0.0</v>
      </c>
      <c r="Y54" s="8">
        <v>0.0</v>
      </c>
      <c r="Z54" s="8">
        <v>0.0</v>
      </c>
      <c r="AA54" s="8">
        <v>0.0</v>
      </c>
      <c r="AB54" s="8">
        <v>0.0</v>
      </c>
      <c r="AC54" s="8">
        <v>0.0</v>
      </c>
      <c r="AD54" s="9" t="s">
        <v>38</v>
      </c>
      <c r="AE54" s="9" t="s">
        <v>39</v>
      </c>
      <c r="AF54" s="9" t="s">
        <v>166</v>
      </c>
    </row>
    <row r="55">
      <c r="A55" s="7" t="s">
        <v>342</v>
      </c>
      <c r="B55" s="8">
        <v>1666.0</v>
      </c>
      <c r="C55" s="8">
        <v>1273980.0</v>
      </c>
      <c r="D55" s="8">
        <v>1274760.0</v>
      </c>
      <c r="E55" s="9" t="s">
        <v>425</v>
      </c>
      <c r="F55" s="9"/>
      <c r="G55" s="9" t="s">
        <v>426</v>
      </c>
      <c r="H55" s="9" t="s">
        <v>345</v>
      </c>
      <c r="I55" s="8">
        <v>1953.0</v>
      </c>
      <c r="J55" s="9" t="s">
        <v>346</v>
      </c>
      <c r="K55" s="9" t="s">
        <v>43</v>
      </c>
      <c r="L55" s="9" t="s">
        <v>43</v>
      </c>
      <c r="M55" s="9"/>
      <c r="N55" s="9" t="s">
        <v>1105</v>
      </c>
      <c r="O55" s="9" t="s">
        <v>1233</v>
      </c>
      <c r="P55" s="9" t="s">
        <v>823</v>
      </c>
      <c r="Q55" s="8">
        <v>1.0</v>
      </c>
      <c r="R55" s="8">
        <v>0.0</v>
      </c>
      <c r="S55" s="8">
        <v>0.0</v>
      </c>
      <c r="T55" s="8">
        <v>0.0</v>
      </c>
      <c r="U55" s="8">
        <v>0.0</v>
      </c>
      <c r="V55" s="8">
        <v>0.0</v>
      </c>
      <c r="W55" s="8">
        <v>0.0</v>
      </c>
      <c r="X55" s="8">
        <v>0.0</v>
      </c>
      <c r="Y55" s="8">
        <v>0.0</v>
      </c>
      <c r="Z55" s="8">
        <v>0.0</v>
      </c>
      <c r="AA55" s="8">
        <v>0.0</v>
      </c>
      <c r="AB55" s="8">
        <v>0.0</v>
      </c>
      <c r="AC55" s="8">
        <v>1.0</v>
      </c>
      <c r="AD55" s="10" t="s">
        <v>44</v>
      </c>
      <c r="AE55" s="9" t="s">
        <v>40</v>
      </c>
      <c r="AF55" s="9" t="s">
        <v>166</v>
      </c>
    </row>
    <row r="56">
      <c r="A56" s="7" t="s">
        <v>342</v>
      </c>
      <c r="B56" s="8">
        <v>1933.0</v>
      </c>
      <c r="C56" s="8">
        <v>587925.0</v>
      </c>
      <c r="D56" s="8">
        <v>589295.0</v>
      </c>
      <c r="E56" s="9" t="s">
        <v>448</v>
      </c>
      <c r="F56" s="9"/>
      <c r="G56" s="9"/>
      <c r="H56" s="9"/>
      <c r="I56" s="9"/>
      <c r="J56" s="9"/>
      <c r="K56" s="9"/>
      <c r="L56" s="9"/>
      <c r="M56" s="9" t="s">
        <v>1234</v>
      </c>
      <c r="N56" s="9" t="s">
        <v>1110</v>
      </c>
      <c r="O56" s="9" t="s">
        <v>456</v>
      </c>
      <c r="P56" s="9" t="s">
        <v>52</v>
      </c>
      <c r="Q56" s="8">
        <v>0.0</v>
      </c>
      <c r="R56" s="8">
        <v>0.0</v>
      </c>
      <c r="S56" s="8">
        <v>1.0</v>
      </c>
      <c r="T56" s="8">
        <v>0.0</v>
      </c>
      <c r="U56" s="8">
        <v>0.0</v>
      </c>
      <c r="V56" s="8">
        <v>0.0</v>
      </c>
      <c r="W56" s="8">
        <v>0.0</v>
      </c>
      <c r="X56" s="8">
        <v>0.0</v>
      </c>
      <c r="Y56" s="8">
        <v>0.0</v>
      </c>
      <c r="Z56" s="8">
        <v>0.0</v>
      </c>
      <c r="AA56" s="8">
        <v>0.0</v>
      </c>
      <c r="AB56" s="8">
        <v>0.0</v>
      </c>
      <c r="AC56" s="8">
        <v>0.0</v>
      </c>
      <c r="AD56" s="9" t="s">
        <v>38</v>
      </c>
      <c r="AE56" s="9" t="s">
        <v>39</v>
      </c>
      <c r="AF56" s="9" t="s">
        <v>166</v>
      </c>
    </row>
    <row r="57">
      <c r="A57" s="7" t="s">
        <v>342</v>
      </c>
      <c r="B57" s="8">
        <v>2167.0</v>
      </c>
      <c r="C57" s="8">
        <v>1416741.0</v>
      </c>
      <c r="D57" s="8">
        <v>1417963.0</v>
      </c>
      <c r="E57" s="9" t="s">
        <v>448</v>
      </c>
      <c r="F57" s="9"/>
      <c r="G57" s="9"/>
      <c r="H57" s="9"/>
      <c r="I57" s="9"/>
      <c r="J57" s="9"/>
      <c r="K57" s="9"/>
      <c r="L57" s="9"/>
      <c r="M57" s="9"/>
      <c r="N57" s="9" t="s">
        <v>1105</v>
      </c>
      <c r="O57" s="9" t="s">
        <v>1235</v>
      </c>
      <c r="P57" s="9" t="s">
        <v>919</v>
      </c>
      <c r="Q57" s="8">
        <v>0.0</v>
      </c>
      <c r="R57" s="8">
        <v>0.0</v>
      </c>
      <c r="S57" s="8">
        <v>0.0</v>
      </c>
      <c r="T57" s="8">
        <v>0.0</v>
      </c>
      <c r="U57" s="8">
        <v>0.0</v>
      </c>
      <c r="V57" s="8">
        <v>0.0</v>
      </c>
      <c r="W57" s="8">
        <v>0.0</v>
      </c>
      <c r="X57" s="8">
        <v>0.0</v>
      </c>
      <c r="Y57" s="8">
        <v>1.0</v>
      </c>
      <c r="Z57" s="8">
        <v>0.0</v>
      </c>
      <c r="AA57" s="8">
        <v>0.0</v>
      </c>
      <c r="AB57" s="8">
        <v>0.0</v>
      </c>
      <c r="AC57" s="8">
        <v>0.0</v>
      </c>
      <c r="AD57" s="9" t="s">
        <v>44</v>
      </c>
      <c r="AE57" s="9" t="s">
        <v>40</v>
      </c>
      <c r="AF57" s="9" t="s">
        <v>166</v>
      </c>
    </row>
    <row r="58">
      <c r="A58" s="7" t="s">
        <v>342</v>
      </c>
      <c r="B58" s="8">
        <v>2643.0</v>
      </c>
      <c r="C58" s="8">
        <v>3033047.0</v>
      </c>
      <c r="D58" s="8">
        <v>3034147.0</v>
      </c>
      <c r="E58" s="9" t="s">
        <v>448</v>
      </c>
      <c r="F58" s="9"/>
      <c r="G58" s="9"/>
      <c r="H58" s="9"/>
      <c r="I58" s="9"/>
      <c r="J58" s="9"/>
      <c r="K58" s="9"/>
      <c r="L58" s="9"/>
      <c r="M58" s="9"/>
      <c r="N58" s="9" t="s">
        <v>1105</v>
      </c>
      <c r="O58" s="9" t="s">
        <v>1236</v>
      </c>
      <c r="P58" s="9" t="s">
        <v>1237</v>
      </c>
      <c r="Q58" s="8">
        <v>0.0</v>
      </c>
      <c r="R58" s="8">
        <v>0.0</v>
      </c>
      <c r="S58" s="8">
        <v>0.0</v>
      </c>
      <c r="T58" s="8">
        <v>0.0</v>
      </c>
      <c r="U58" s="8">
        <v>1.0</v>
      </c>
      <c r="V58" s="8">
        <v>0.0</v>
      </c>
      <c r="W58" s="8">
        <v>0.0</v>
      </c>
      <c r="X58" s="8">
        <v>0.0</v>
      </c>
      <c r="Y58" s="8">
        <v>0.0</v>
      </c>
      <c r="Z58" s="8">
        <v>0.0</v>
      </c>
      <c r="AA58" s="8">
        <v>0.0</v>
      </c>
      <c r="AB58" s="8">
        <v>0.0</v>
      </c>
      <c r="AC58" s="8">
        <v>0.0</v>
      </c>
      <c r="AD58" s="9" t="s">
        <v>38</v>
      </c>
      <c r="AE58" s="9" t="s">
        <v>39</v>
      </c>
      <c r="AF58" s="9" t="s">
        <v>166</v>
      </c>
    </row>
    <row r="59">
      <c r="A59" s="7" t="s">
        <v>342</v>
      </c>
      <c r="B59" s="8">
        <v>2930.0</v>
      </c>
      <c r="C59" s="8">
        <v>3027400.0</v>
      </c>
      <c r="D59" s="8">
        <v>3037066.0</v>
      </c>
      <c r="E59" s="9" t="s">
        <v>472</v>
      </c>
      <c r="F59" s="9"/>
      <c r="G59" s="9" t="s">
        <v>344</v>
      </c>
      <c r="H59" s="9" t="s">
        <v>345</v>
      </c>
      <c r="I59" s="8">
        <v>1940.0</v>
      </c>
      <c r="J59" s="9" t="s">
        <v>346</v>
      </c>
      <c r="K59" s="9" t="s">
        <v>347</v>
      </c>
      <c r="L59" s="9" t="s">
        <v>43</v>
      </c>
      <c r="M59" s="9" t="s">
        <v>1238</v>
      </c>
      <c r="N59" s="9" t="s">
        <v>1110</v>
      </c>
      <c r="O59" s="9" t="s">
        <v>1239</v>
      </c>
      <c r="P59" s="9" t="s">
        <v>593</v>
      </c>
      <c r="Q59" s="8">
        <v>0.0</v>
      </c>
      <c r="R59" s="8">
        <v>0.0</v>
      </c>
      <c r="S59" s="8">
        <v>0.0</v>
      </c>
      <c r="T59" s="8">
        <v>0.0</v>
      </c>
      <c r="U59" s="8">
        <v>1.0</v>
      </c>
      <c r="V59" s="8">
        <v>0.0</v>
      </c>
      <c r="W59" s="8">
        <v>0.0</v>
      </c>
      <c r="X59" s="8">
        <v>0.0</v>
      </c>
      <c r="Y59" s="8">
        <v>0.0</v>
      </c>
      <c r="Z59" s="8">
        <v>0.0</v>
      </c>
      <c r="AA59" s="8">
        <v>0.0</v>
      </c>
      <c r="AB59" s="8">
        <v>0.0</v>
      </c>
      <c r="AC59" s="8">
        <v>0.0</v>
      </c>
      <c r="AD59" s="9" t="s">
        <v>38</v>
      </c>
      <c r="AE59" s="9" t="s">
        <v>39</v>
      </c>
      <c r="AF59" s="9" t="s">
        <v>166</v>
      </c>
    </row>
    <row r="60">
      <c r="A60" s="7" t="s">
        <v>342</v>
      </c>
      <c r="B60" s="8">
        <v>3720.0</v>
      </c>
      <c r="C60" s="8">
        <v>6752607.0</v>
      </c>
      <c r="D60" s="8">
        <v>6753272.0</v>
      </c>
      <c r="E60" s="9" t="s">
        <v>483</v>
      </c>
      <c r="F60" s="9"/>
      <c r="G60" s="9" t="s">
        <v>426</v>
      </c>
      <c r="H60" s="9" t="s">
        <v>345</v>
      </c>
      <c r="I60" s="8">
        <v>1953.0</v>
      </c>
      <c r="J60" s="9" t="s">
        <v>346</v>
      </c>
      <c r="K60" s="9" t="s">
        <v>43</v>
      </c>
      <c r="L60" s="9" t="s">
        <v>43</v>
      </c>
      <c r="M60" s="9"/>
      <c r="N60" s="9" t="s">
        <v>1105</v>
      </c>
      <c r="O60" s="9" t="s">
        <v>1240</v>
      </c>
      <c r="P60" s="9" t="s">
        <v>1241</v>
      </c>
      <c r="Q60" s="8">
        <v>0.0</v>
      </c>
      <c r="R60" s="8">
        <v>0.0</v>
      </c>
      <c r="S60" s="8">
        <v>0.0</v>
      </c>
      <c r="T60" s="8">
        <v>0.0</v>
      </c>
      <c r="U60" s="8">
        <v>0.0</v>
      </c>
      <c r="V60" s="8">
        <v>0.0</v>
      </c>
      <c r="W60" s="8">
        <v>0.0</v>
      </c>
      <c r="X60" s="8">
        <v>0.0</v>
      </c>
      <c r="Y60" s="8">
        <v>1.0</v>
      </c>
      <c r="Z60" s="8">
        <v>0.0</v>
      </c>
      <c r="AA60" s="8">
        <v>0.0</v>
      </c>
      <c r="AB60" s="8">
        <v>0.0</v>
      </c>
      <c r="AC60" s="8">
        <v>0.0</v>
      </c>
      <c r="AD60" s="9" t="s">
        <v>44</v>
      </c>
      <c r="AE60" s="9" t="s">
        <v>40</v>
      </c>
      <c r="AF60" s="9" t="s">
        <v>166</v>
      </c>
    </row>
    <row r="61">
      <c r="A61" s="7" t="s">
        <v>342</v>
      </c>
      <c r="B61" s="8">
        <v>4048.0</v>
      </c>
      <c r="C61" s="8">
        <v>1368360.0</v>
      </c>
      <c r="D61" s="8">
        <v>1369157.0</v>
      </c>
      <c r="E61" s="9" t="s">
        <v>508</v>
      </c>
      <c r="F61" s="9"/>
      <c r="G61" s="9" t="s">
        <v>509</v>
      </c>
      <c r="H61" s="9" t="s">
        <v>345</v>
      </c>
      <c r="I61" s="8">
        <v>1939.0</v>
      </c>
      <c r="J61" s="9" t="s">
        <v>346</v>
      </c>
      <c r="K61" s="9" t="s">
        <v>43</v>
      </c>
      <c r="L61" s="9" t="s">
        <v>43</v>
      </c>
      <c r="M61" s="9"/>
      <c r="N61" s="9" t="s">
        <v>1105</v>
      </c>
      <c r="O61" s="9" t="s">
        <v>381</v>
      </c>
      <c r="P61" s="9" t="s">
        <v>359</v>
      </c>
      <c r="Q61" s="8">
        <v>1.0</v>
      </c>
      <c r="R61" s="8">
        <v>0.0</v>
      </c>
      <c r="S61" s="8">
        <v>0.0</v>
      </c>
      <c r="T61" s="8">
        <v>0.0</v>
      </c>
      <c r="U61" s="8">
        <v>0.0</v>
      </c>
      <c r="V61" s="8">
        <v>0.0</v>
      </c>
      <c r="W61" s="8">
        <v>0.0</v>
      </c>
      <c r="X61" s="8">
        <v>0.0</v>
      </c>
      <c r="Y61" s="8">
        <v>0.0</v>
      </c>
      <c r="Z61" s="8">
        <v>0.0</v>
      </c>
      <c r="AA61" s="8">
        <v>0.0</v>
      </c>
      <c r="AB61" s="8">
        <v>0.0</v>
      </c>
      <c r="AC61" s="8">
        <v>1.0</v>
      </c>
      <c r="AD61" s="10" t="s">
        <v>44</v>
      </c>
      <c r="AE61" s="9" t="s">
        <v>40</v>
      </c>
      <c r="AF61" s="9" t="s">
        <v>166</v>
      </c>
    </row>
    <row r="62">
      <c r="A62" s="7" t="s">
        <v>342</v>
      </c>
      <c r="B62" s="8">
        <v>4125.0</v>
      </c>
      <c r="C62" s="8">
        <v>3821240.0</v>
      </c>
      <c r="D62" s="8">
        <v>3823272.0</v>
      </c>
      <c r="E62" s="9" t="s">
        <v>511</v>
      </c>
      <c r="F62" s="9"/>
      <c r="G62" s="9" t="s">
        <v>512</v>
      </c>
      <c r="H62" s="9" t="s">
        <v>345</v>
      </c>
      <c r="I62" s="8">
        <v>1950.0</v>
      </c>
      <c r="J62" s="9" t="s">
        <v>346</v>
      </c>
      <c r="K62" s="9" t="s">
        <v>391</v>
      </c>
      <c r="L62" s="9" t="s">
        <v>391</v>
      </c>
      <c r="M62" s="9" t="s">
        <v>410</v>
      </c>
      <c r="N62" s="9" t="s">
        <v>1110</v>
      </c>
      <c r="O62" s="9" t="s">
        <v>1242</v>
      </c>
      <c r="P62" s="9" t="s">
        <v>534</v>
      </c>
      <c r="Q62" s="8">
        <v>0.0</v>
      </c>
      <c r="R62" s="8">
        <v>0.0</v>
      </c>
      <c r="S62" s="8">
        <v>0.0</v>
      </c>
      <c r="T62" s="8">
        <v>0.0</v>
      </c>
      <c r="U62" s="8">
        <v>0.0</v>
      </c>
      <c r="V62" s="8">
        <v>0.0</v>
      </c>
      <c r="W62" s="8">
        <v>0.0</v>
      </c>
      <c r="X62" s="8">
        <v>0.0</v>
      </c>
      <c r="Y62" s="8">
        <v>1.0</v>
      </c>
      <c r="Z62" s="8">
        <v>0.0</v>
      </c>
      <c r="AA62" s="8">
        <v>0.0</v>
      </c>
      <c r="AB62" s="8">
        <v>0.0</v>
      </c>
      <c r="AC62" s="8">
        <v>1.0</v>
      </c>
      <c r="AD62" s="9" t="s">
        <v>92</v>
      </c>
      <c r="AE62" s="9" t="s">
        <v>39</v>
      </c>
      <c r="AF62" s="9" t="s">
        <v>166</v>
      </c>
    </row>
    <row r="63">
      <c r="A63" s="7" t="s">
        <v>342</v>
      </c>
      <c r="B63" s="8">
        <v>5089.0</v>
      </c>
      <c r="C63" s="8">
        <v>831978.0</v>
      </c>
      <c r="D63" s="8">
        <v>835034.0</v>
      </c>
      <c r="E63" s="9" t="s">
        <v>577</v>
      </c>
      <c r="F63" s="9"/>
      <c r="G63" s="9" t="s">
        <v>578</v>
      </c>
      <c r="H63" s="9" t="s">
        <v>377</v>
      </c>
      <c r="I63" s="8">
        <v>1954.0</v>
      </c>
      <c r="J63" s="9" t="s">
        <v>346</v>
      </c>
      <c r="K63" s="9" t="s">
        <v>43</v>
      </c>
      <c r="L63" s="9" t="s">
        <v>43</v>
      </c>
      <c r="M63" s="9" t="s">
        <v>1243</v>
      </c>
      <c r="N63" s="9" t="s">
        <v>1110</v>
      </c>
      <c r="O63" s="9" t="s">
        <v>1244</v>
      </c>
      <c r="P63" s="9" t="s">
        <v>359</v>
      </c>
      <c r="Q63" s="8">
        <v>1.0</v>
      </c>
      <c r="R63" s="8">
        <v>0.0</v>
      </c>
      <c r="S63" s="8">
        <v>0.0</v>
      </c>
      <c r="T63" s="8">
        <v>0.0</v>
      </c>
      <c r="U63" s="8">
        <v>0.0</v>
      </c>
      <c r="V63" s="8">
        <v>0.0</v>
      </c>
      <c r="W63" s="8">
        <v>0.0</v>
      </c>
      <c r="X63" s="8">
        <v>0.0</v>
      </c>
      <c r="Y63" s="8">
        <v>0.0</v>
      </c>
      <c r="Z63" s="8">
        <v>0.0</v>
      </c>
      <c r="AA63" s="8">
        <v>0.0</v>
      </c>
      <c r="AB63" s="8">
        <v>0.0</v>
      </c>
      <c r="AC63" s="8">
        <v>0.0</v>
      </c>
      <c r="AD63" s="10" t="s">
        <v>44</v>
      </c>
      <c r="AE63" s="9" t="s">
        <v>40</v>
      </c>
      <c r="AF63" s="9" t="s">
        <v>166</v>
      </c>
    </row>
    <row r="64">
      <c r="A64" s="7" t="s">
        <v>342</v>
      </c>
      <c r="B64" s="8">
        <v>5464.0</v>
      </c>
      <c r="C64" s="8">
        <v>49645.0</v>
      </c>
      <c r="D64" s="8">
        <v>54600.0</v>
      </c>
      <c r="E64" s="9" t="s">
        <v>594</v>
      </c>
      <c r="F64" s="9"/>
      <c r="G64" s="9" t="s">
        <v>388</v>
      </c>
      <c r="H64" s="9" t="s">
        <v>345</v>
      </c>
      <c r="I64" s="8">
        <v>1932.0</v>
      </c>
      <c r="J64" s="9" t="s">
        <v>389</v>
      </c>
      <c r="K64" s="9" t="s">
        <v>390</v>
      </c>
      <c r="L64" s="9" t="s">
        <v>391</v>
      </c>
      <c r="M64" s="9" t="s">
        <v>1245</v>
      </c>
      <c r="N64" s="9" t="s">
        <v>1110</v>
      </c>
      <c r="O64" s="9" t="s">
        <v>1246</v>
      </c>
      <c r="P64" s="9" t="s">
        <v>587</v>
      </c>
      <c r="Q64" s="8">
        <v>0.0</v>
      </c>
      <c r="R64" s="8">
        <v>0.0</v>
      </c>
      <c r="S64" s="8">
        <v>0.0</v>
      </c>
      <c r="T64" s="8">
        <v>0.0</v>
      </c>
      <c r="U64" s="8">
        <v>1.0</v>
      </c>
      <c r="V64" s="8">
        <v>0.0</v>
      </c>
      <c r="W64" s="8">
        <v>0.0</v>
      </c>
      <c r="X64" s="8">
        <v>0.0</v>
      </c>
      <c r="Y64" s="8">
        <v>0.0</v>
      </c>
      <c r="Z64" s="8">
        <v>0.0</v>
      </c>
      <c r="AA64" s="8">
        <v>0.0</v>
      </c>
      <c r="AB64" s="8">
        <v>0.0</v>
      </c>
      <c r="AC64" s="8">
        <v>0.0</v>
      </c>
      <c r="AD64" s="9" t="s">
        <v>38</v>
      </c>
      <c r="AE64" s="9" t="s">
        <v>39</v>
      </c>
      <c r="AF64" s="9" t="s">
        <v>166</v>
      </c>
    </row>
    <row r="65">
      <c r="A65" s="7" t="s">
        <v>342</v>
      </c>
      <c r="B65" s="8">
        <v>6442.0</v>
      </c>
      <c r="C65" s="8">
        <v>2591456.0</v>
      </c>
      <c r="D65" s="8">
        <v>2594956.0</v>
      </c>
      <c r="E65" s="9" t="s">
        <v>625</v>
      </c>
      <c r="F65" s="9"/>
      <c r="G65" s="9" t="s">
        <v>509</v>
      </c>
      <c r="H65" s="9" t="s">
        <v>345</v>
      </c>
      <c r="I65" s="8">
        <v>1939.0</v>
      </c>
      <c r="J65" s="9" t="s">
        <v>346</v>
      </c>
      <c r="K65" s="9" t="s">
        <v>43</v>
      </c>
      <c r="L65" s="9" t="s">
        <v>43</v>
      </c>
      <c r="M65" s="9" t="s">
        <v>1247</v>
      </c>
      <c r="N65" s="9" t="s">
        <v>1110</v>
      </c>
      <c r="O65" s="9" t="s">
        <v>1248</v>
      </c>
      <c r="P65" s="9" t="s">
        <v>497</v>
      </c>
      <c r="Q65" s="8">
        <v>0.0</v>
      </c>
      <c r="R65" s="8">
        <v>0.0</v>
      </c>
      <c r="S65" s="8">
        <v>0.0</v>
      </c>
      <c r="T65" s="8">
        <v>0.0</v>
      </c>
      <c r="U65" s="8">
        <v>0.0</v>
      </c>
      <c r="V65" s="8">
        <v>0.0</v>
      </c>
      <c r="W65" s="8">
        <v>0.0</v>
      </c>
      <c r="X65" s="8">
        <v>0.0</v>
      </c>
      <c r="Y65" s="8">
        <v>1.0</v>
      </c>
      <c r="Z65" s="8">
        <v>0.0</v>
      </c>
      <c r="AA65" s="8">
        <v>0.0</v>
      </c>
      <c r="AB65" s="8">
        <v>0.0</v>
      </c>
      <c r="AC65" s="8">
        <v>1.0</v>
      </c>
      <c r="AD65" s="9" t="s">
        <v>44</v>
      </c>
      <c r="AE65" s="9" t="s">
        <v>40</v>
      </c>
      <c r="AF65" s="9" t="s">
        <v>166</v>
      </c>
    </row>
    <row r="66">
      <c r="A66" s="7" t="s">
        <v>342</v>
      </c>
      <c r="B66" s="8">
        <v>6651.0</v>
      </c>
      <c r="C66" s="8">
        <v>327790.0</v>
      </c>
      <c r="D66" s="8">
        <v>332530.0</v>
      </c>
      <c r="E66" s="9" t="s">
        <v>633</v>
      </c>
      <c r="F66" s="9"/>
      <c r="G66" s="9" t="s">
        <v>426</v>
      </c>
      <c r="H66" s="9" t="s">
        <v>345</v>
      </c>
      <c r="I66" s="8">
        <v>1953.0</v>
      </c>
      <c r="J66" s="9" t="s">
        <v>346</v>
      </c>
      <c r="K66" s="9" t="s">
        <v>43</v>
      </c>
      <c r="L66" s="9" t="s">
        <v>43</v>
      </c>
      <c r="M66" s="9" t="s">
        <v>1249</v>
      </c>
      <c r="N66" s="9" t="s">
        <v>1105</v>
      </c>
      <c r="O66" s="9" t="s">
        <v>1250</v>
      </c>
      <c r="P66" s="9" t="s">
        <v>637</v>
      </c>
      <c r="Q66" s="8">
        <v>0.0</v>
      </c>
      <c r="R66" s="8">
        <v>1.0</v>
      </c>
      <c r="S66" s="8">
        <v>0.0</v>
      </c>
      <c r="T66" s="8">
        <v>0.0</v>
      </c>
      <c r="U66" s="8">
        <v>0.0</v>
      </c>
      <c r="V66" s="8">
        <v>0.0</v>
      </c>
      <c r="W66" s="8">
        <v>0.0</v>
      </c>
      <c r="X66" s="8">
        <v>0.0</v>
      </c>
      <c r="Y66" s="8">
        <v>0.0</v>
      </c>
      <c r="Z66" s="8">
        <v>0.0</v>
      </c>
      <c r="AA66" s="8">
        <v>0.0</v>
      </c>
      <c r="AB66" s="8">
        <v>0.0</v>
      </c>
      <c r="AC66" s="8">
        <v>0.0</v>
      </c>
      <c r="AD66" s="10" t="s">
        <v>44</v>
      </c>
      <c r="AE66" s="9" t="s">
        <v>40</v>
      </c>
      <c r="AF66" s="9" t="s">
        <v>166</v>
      </c>
    </row>
    <row r="67">
      <c r="A67" s="7" t="s">
        <v>342</v>
      </c>
      <c r="B67" s="8">
        <v>6741.0</v>
      </c>
      <c r="C67" s="8">
        <v>1336449.0</v>
      </c>
      <c r="D67" s="8">
        <v>1339315.0</v>
      </c>
      <c r="E67" s="9" t="s">
        <v>633</v>
      </c>
      <c r="F67" s="9"/>
      <c r="G67" s="9" t="s">
        <v>426</v>
      </c>
      <c r="H67" s="9" t="s">
        <v>345</v>
      </c>
      <c r="I67" s="8">
        <v>1953.0</v>
      </c>
      <c r="J67" s="9" t="s">
        <v>346</v>
      </c>
      <c r="K67" s="9" t="s">
        <v>43</v>
      </c>
      <c r="L67" s="9" t="s">
        <v>43</v>
      </c>
      <c r="M67" s="9" t="s">
        <v>1251</v>
      </c>
      <c r="N67" s="9" t="s">
        <v>1110</v>
      </c>
      <c r="O67" s="9" t="s">
        <v>1252</v>
      </c>
      <c r="P67" s="9" t="s">
        <v>1253</v>
      </c>
      <c r="Q67" s="8">
        <v>0.0</v>
      </c>
      <c r="R67" s="8">
        <v>0.0</v>
      </c>
      <c r="S67" s="8">
        <v>0.0</v>
      </c>
      <c r="T67" s="8">
        <v>0.0</v>
      </c>
      <c r="U67" s="8">
        <v>0.0</v>
      </c>
      <c r="V67" s="8">
        <v>0.0</v>
      </c>
      <c r="W67" s="8">
        <v>0.0</v>
      </c>
      <c r="X67" s="8">
        <v>0.0</v>
      </c>
      <c r="Y67" s="8">
        <v>1.0</v>
      </c>
      <c r="Z67" s="8">
        <v>0.0</v>
      </c>
      <c r="AA67" s="8">
        <v>0.0</v>
      </c>
      <c r="AB67" s="8">
        <v>0.0</v>
      </c>
      <c r="AC67" s="8">
        <v>0.0</v>
      </c>
      <c r="AD67" s="9" t="s">
        <v>92</v>
      </c>
      <c r="AE67" s="9" t="s">
        <v>39</v>
      </c>
      <c r="AF67" s="9" t="s">
        <v>166</v>
      </c>
    </row>
    <row r="68">
      <c r="A68" s="7" t="s">
        <v>342</v>
      </c>
      <c r="B68" s="8">
        <v>7103.0</v>
      </c>
      <c r="C68" s="8">
        <v>3754835.0</v>
      </c>
      <c r="D68" s="8">
        <v>3759305.0</v>
      </c>
      <c r="E68" s="9" t="s">
        <v>633</v>
      </c>
      <c r="F68" s="9"/>
      <c r="G68" s="9" t="s">
        <v>426</v>
      </c>
      <c r="H68" s="9" t="s">
        <v>345</v>
      </c>
      <c r="I68" s="8">
        <v>1953.0</v>
      </c>
      <c r="J68" s="9" t="s">
        <v>346</v>
      </c>
      <c r="K68" s="9" t="s">
        <v>43</v>
      </c>
      <c r="L68" s="9" t="s">
        <v>43</v>
      </c>
      <c r="M68" s="9" t="s">
        <v>1254</v>
      </c>
      <c r="N68" s="9" t="s">
        <v>1110</v>
      </c>
      <c r="O68" s="9" t="s">
        <v>1255</v>
      </c>
      <c r="P68" s="9" t="s">
        <v>91</v>
      </c>
      <c r="Q68" s="8">
        <v>0.0</v>
      </c>
      <c r="R68" s="8">
        <v>0.0</v>
      </c>
      <c r="S68" s="8">
        <v>0.0</v>
      </c>
      <c r="T68" s="8">
        <v>0.0</v>
      </c>
      <c r="U68" s="8">
        <v>0.0</v>
      </c>
      <c r="V68" s="8">
        <v>0.0</v>
      </c>
      <c r="W68" s="8">
        <v>0.0</v>
      </c>
      <c r="X68" s="8">
        <v>0.0</v>
      </c>
      <c r="Y68" s="8">
        <v>1.0</v>
      </c>
      <c r="Z68" s="8">
        <v>0.0</v>
      </c>
      <c r="AA68" s="8">
        <v>0.0</v>
      </c>
      <c r="AB68" s="8">
        <v>0.0</v>
      </c>
      <c r="AC68" s="8">
        <v>1.0</v>
      </c>
      <c r="AD68" s="9" t="s">
        <v>92</v>
      </c>
      <c r="AE68" s="9" t="s">
        <v>39</v>
      </c>
      <c r="AF68" s="9" t="s">
        <v>166</v>
      </c>
    </row>
    <row r="69">
      <c r="A69" s="7" t="s">
        <v>342</v>
      </c>
      <c r="B69" s="8">
        <v>7453.0</v>
      </c>
      <c r="C69" s="8">
        <v>5467692.0</v>
      </c>
      <c r="D69" s="8">
        <v>5472259.0</v>
      </c>
      <c r="E69" s="9" t="s">
        <v>633</v>
      </c>
      <c r="F69" s="9"/>
      <c r="G69" s="9" t="s">
        <v>426</v>
      </c>
      <c r="H69" s="9" t="s">
        <v>345</v>
      </c>
      <c r="I69" s="8">
        <v>1953.0</v>
      </c>
      <c r="J69" s="9" t="s">
        <v>346</v>
      </c>
      <c r="K69" s="9" t="s">
        <v>43</v>
      </c>
      <c r="L69" s="9" t="s">
        <v>43</v>
      </c>
      <c r="M69" s="9" t="s">
        <v>1256</v>
      </c>
      <c r="N69" s="9" t="s">
        <v>1110</v>
      </c>
      <c r="O69" s="9" t="s">
        <v>1257</v>
      </c>
      <c r="P69" s="9" t="s">
        <v>1253</v>
      </c>
      <c r="Q69" s="8">
        <v>0.0</v>
      </c>
      <c r="R69" s="8">
        <v>0.0</v>
      </c>
      <c r="S69" s="8">
        <v>0.0</v>
      </c>
      <c r="T69" s="8">
        <v>0.0</v>
      </c>
      <c r="U69" s="8">
        <v>0.0</v>
      </c>
      <c r="V69" s="8">
        <v>0.0</v>
      </c>
      <c r="W69" s="8">
        <v>0.0</v>
      </c>
      <c r="X69" s="8">
        <v>0.0</v>
      </c>
      <c r="Y69" s="8">
        <v>1.0</v>
      </c>
      <c r="Z69" s="8">
        <v>0.0</v>
      </c>
      <c r="AA69" s="8">
        <v>0.0</v>
      </c>
      <c r="AB69" s="8">
        <v>0.0</v>
      </c>
      <c r="AC69" s="8">
        <v>0.0</v>
      </c>
      <c r="AD69" s="9" t="s">
        <v>44</v>
      </c>
      <c r="AE69" s="9" t="s">
        <v>40</v>
      </c>
      <c r="AF69" s="9" t="s">
        <v>166</v>
      </c>
    </row>
    <row r="70">
      <c r="A70" s="7" t="s">
        <v>342</v>
      </c>
      <c r="B70" s="8">
        <v>7943.0</v>
      </c>
      <c r="C70" s="8">
        <v>7712901.0</v>
      </c>
      <c r="D70" s="8">
        <v>7718402.0</v>
      </c>
      <c r="E70" s="9" t="s">
        <v>633</v>
      </c>
      <c r="F70" s="9"/>
      <c r="G70" s="9" t="s">
        <v>426</v>
      </c>
      <c r="H70" s="9" t="s">
        <v>345</v>
      </c>
      <c r="I70" s="8">
        <v>1953.0</v>
      </c>
      <c r="J70" s="9" t="s">
        <v>346</v>
      </c>
      <c r="K70" s="9" t="s">
        <v>43</v>
      </c>
      <c r="L70" s="9" t="s">
        <v>43</v>
      </c>
      <c r="M70" s="9"/>
      <c r="N70" s="9" t="s">
        <v>1105</v>
      </c>
      <c r="O70" s="9" t="s">
        <v>1258</v>
      </c>
      <c r="P70" s="9" t="s">
        <v>648</v>
      </c>
      <c r="Q70" s="8">
        <v>1.0</v>
      </c>
      <c r="R70" s="8">
        <v>0.0</v>
      </c>
      <c r="S70" s="8">
        <v>0.0</v>
      </c>
      <c r="T70" s="8">
        <v>0.0</v>
      </c>
      <c r="U70" s="8">
        <v>0.0</v>
      </c>
      <c r="V70" s="8">
        <v>0.0</v>
      </c>
      <c r="W70" s="8">
        <v>0.0</v>
      </c>
      <c r="X70" s="8">
        <v>0.0</v>
      </c>
      <c r="Y70" s="8">
        <v>0.0</v>
      </c>
      <c r="Z70" s="8">
        <v>0.0</v>
      </c>
      <c r="AA70" s="8">
        <v>0.0</v>
      </c>
      <c r="AB70" s="8">
        <v>0.0</v>
      </c>
      <c r="AC70" s="8">
        <v>1.0</v>
      </c>
      <c r="AD70" s="10" t="s">
        <v>44</v>
      </c>
      <c r="AE70" s="10" t="s">
        <v>40</v>
      </c>
      <c r="AF70" s="9" t="s">
        <v>166</v>
      </c>
    </row>
    <row r="71">
      <c r="A71" s="7" t="s">
        <v>342</v>
      </c>
      <c r="B71" s="8">
        <v>7660.0</v>
      </c>
      <c r="C71" s="8">
        <v>6334623.0</v>
      </c>
      <c r="D71" s="8">
        <v>6343773.0</v>
      </c>
      <c r="E71" s="9" t="s">
        <v>633</v>
      </c>
      <c r="F71" s="9"/>
      <c r="G71" s="9" t="s">
        <v>426</v>
      </c>
      <c r="H71" s="9" t="s">
        <v>345</v>
      </c>
      <c r="I71" s="8">
        <v>1953.0</v>
      </c>
      <c r="J71" s="9" t="s">
        <v>346</v>
      </c>
      <c r="K71" s="9" t="s">
        <v>43</v>
      </c>
      <c r="L71" s="9" t="s">
        <v>43</v>
      </c>
      <c r="M71" s="9" t="s">
        <v>1259</v>
      </c>
      <c r="N71" s="9" t="s">
        <v>1260</v>
      </c>
      <c r="O71" s="9" t="s">
        <v>1261</v>
      </c>
      <c r="P71" s="9" t="s">
        <v>1262</v>
      </c>
      <c r="Q71" s="8">
        <v>0.0</v>
      </c>
      <c r="R71" s="8">
        <v>0.0</v>
      </c>
      <c r="S71" s="8">
        <v>0.0</v>
      </c>
      <c r="T71" s="8">
        <v>0.0</v>
      </c>
      <c r="U71" s="8">
        <v>0.0</v>
      </c>
      <c r="V71" s="8">
        <v>0.0</v>
      </c>
      <c r="W71" s="8">
        <v>0.0</v>
      </c>
      <c r="X71" s="8">
        <v>0.0</v>
      </c>
      <c r="Y71" s="8">
        <v>1.0</v>
      </c>
      <c r="Z71" s="8">
        <v>0.0</v>
      </c>
      <c r="AA71" s="8">
        <v>0.0</v>
      </c>
      <c r="AB71" s="8">
        <v>0.0</v>
      </c>
      <c r="AC71" s="8">
        <v>0.0</v>
      </c>
      <c r="AD71" s="9" t="s">
        <v>92</v>
      </c>
      <c r="AE71" s="9" t="s">
        <v>39</v>
      </c>
      <c r="AF71" s="9" t="s">
        <v>40</v>
      </c>
    </row>
    <row r="72">
      <c r="A72" s="13" t="s">
        <v>794</v>
      </c>
      <c r="B72" s="8">
        <v>591.0</v>
      </c>
      <c r="C72" s="8">
        <v>613422.0</v>
      </c>
      <c r="D72" s="8">
        <v>620730.0</v>
      </c>
      <c r="E72" s="9" t="s">
        <v>804</v>
      </c>
      <c r="F72" s="9"/>
      <c r="G72" s="9" t="s">
        <v>805</v>
      </c>
      <c r="H72" s="9"/>
      <c r="I72" s="8">
        <v>1958.0</v>
      </c>
      <c r="J72" s="9" t="s">
        <v>806</v>
      </c>
      <c r="K72" s="9"/>
      <c r="L72" s="9"/>
      <c r="M72" s="9" t="s">
        <v>1263</v>
      </c>
      <c r="N72" s="9" t="s">
        <v>1110</v>
      </c>
      <c r="O72" s="9" t="s">
        <v>1264</v>
      </c>
      <c r="P72" s="9" t="s">
        <v>823</v>
      </c>
      <c r="Q72" s="8">
        <v>1.0</v>
      </c>
      <c r="R72" s="8">
        <v>0.0</v>
      </c>
      <c r="S72" s="8">
        <v>0.0</v>
      </c>
      <c r="T72" s="8">
        <v>0.0</v>
      </c>
      <c r="U72" s="8">
        <v>0.0</v>
      </c>
      <c r="V72" s="8">
        <v>0.0</v>
      </c>
      <c r="W72" s="8">
        <v>0.0</v>
      </c>
      <c r="X72" s="8">
        <v>0.0</v>
      </c>
      <c r="Y72" s="8">
        <v>0.0</v>
      </c>
      <c r="Z72" s="8">
        <v>0.0</v>
      </c>
      <c r="AA72" s="8">
        <v>0.0</v>
      </c>
      <c r="AB72" s="8">
        <v>0.0</v>
      </c>
      <c r="AC72" s="8">
        <v>0.0</v>
      </c>
      <c r="AD72" s="10" t="s">
        <v>44</v>
      </c>
      <c r="AE72" s="9" t="s">
        <v>40</v>
      </c>
      <c r="AF72" s="9" t="s">
        <v>166</v>
      </c>
    </row>
    <row r="73">
      <c r="A73" s="13" t="s">
        <v>794</v>
      </c>
      <c r="B73" s="8">
        <v>656.0</v>
      </c>
      <c r="C73" s="8">
        <v>979914.0</v>
      </c>
      <c r="D73" s="8">
        <v>987276.0</v>
      </c>
      <c r="E73" s="9" t="s">
        <v>804</v>
      </c>
      <c r="F73" s="9"/>
      <c r="G73" s="9" t="s">
        <v>805</v>
      </c>
      <c r="H73" s="9"/>
      <c r="I73" s="8">
        <v>1958.0</v>
      </c>
      <c r="J73" s="9" t="s">
        <v>806</v>
      </c>
      <c r="K73" s="9"/>
      <c r="L73" s="9"/>
      <c r="M73" s="9" t="s">
        <v>1265</v>
      </c>
      <c r="N73" s="9" t="s">
        <v>1110</v>
      </c>
      <c r="O73" s="9" t="s">
        <v>1266</v>
      </c>
      <c r="P73" s="9" t="s">
        <v>1267</v>
      </c>
      <c r="Q73" s="8">
        <v>0.0</v>
      </c>
      <c r="R73" s="8">
        <v>0.0</v>
      </c>
      <c r="S73" s="8">
        <v>0.0</v>
      </c>
      <c r="T73" s="8">
        <v>0.0</v>
      </c>
      <c r="U73" s="8">
        <v>0.0</v>
      </c>
      <c r="V73" s="8">
        <v>0.0</v>
      </c>
      <c r="W73" s="8">
        <v>0.0</v>
      </c>
      <c r="X73" s="8">
        <v>0.0</v>
      </c>
      <c r="Y73" s="8">
        <v>1.0</v>
      </c>
      <c r="Z73" s="8">
        <v>0.0</v>
      </c>
      <c r="AA73" s="8">
        <v>0.0</v>
      </c>
      <c r="AB73" s="8">
        <v>0.0</v>
      </c>
      <c r="AC73" s="8">
        <v>0.0</v>
      </c>
      <c r="AD73" s="9" t="s">
        <v>92</v>
      </c>
      <c r="AE73" s="9" t="s">
        <v>39</v>
      </c>
      <c r="AF73" s="9" t="s">
        <v>166</v>
      </c>
    </row>
    <row r="74">
      <c r="A74" s="13" t="s">
        <v>794</v>
      </c>
      <c r="B74" s="8">
        <v>717.0</v>
      </c>
      <c r="C74" s="8">
        <v>1307897.0</v>
      </c>
      <c r="D74" s="8">
        <v>1313463.0</v>
      </c>
      <c r="E74" s="9" t="s">
        <v>804</v>
      </c>
      <c r="F74" s="9"/>
      <c r="G74" s="9" t="s">
        <v>805</v>
      </c>
      <c r="H74" s="9"/>
      <c r="I74" s="8">
        <v>1958.0</v>
      </c>
      <c r="J74" s="9" t="s">
        <v>806</v>
      </c>
      <c r="K74" s="9"/>
      <c r="L74" s="9"/>
      <c r="M74" s="9" t="s">
        <v>1268</v>
      </c>
      <c r="N74" s="9" t="s">
        <v>1110</v>
      </c>
      <c r="O74" s="9" t="s">
        <v>1269</v>
      </c>
      <c r="P74" s="9" t="s">
        <v>1270</v>
      </c>
      <c r="Q74" s="8">
        <v>0.0</v>
      </c>
      <c r="R74" s="8">
        <v>0.0</v>
      </c>
      <c r="S74" s="8">
        <v>0.0</v>
      </c>
      <c r="T74" s="8">
        <v>0.0</v>
      </c>
      <c r="U74" s="8">
        <v>0.0</v>
      </c>
      <c r="V74" s="8">
        <v>0.0</v>
      </c>
      <c r="W74" s="8">
        <v>0.0</v>
      </c>
      <c r="X74" s="8">
        <v>1.0</v>
      </c>
      <c r="Y74" s="8">
        <v>0.0</v>
      </c>
      <c r="Z74" s="8">
        <v>0.0</v>
      </c>
      <c r="AA74" s="8">
        <v>0.0</v>
      </c>
      <c r="AB74" s="8">
        <v>0.0</v>
      </c>
      <c r="AC74" s="8">
        <v>0.0</v>
      </c>
      <c r="AD74" s="9" t="s">
        <v>38</v>
      </c>
      <c r="AE74" s="9" t="s">
        <v>39</v>
      </c>
      <c r="AF74" s="9" t="s">
        <v>166</v>
      </c>
    </row>
    <row r="75">
      <c r="A75" s="13" t="s">
        <v>794</v>
      </c>
      <c r="B75" s="8">
        <v>779.0</v>
      </c>
      <c r="C75" s="8">
        <v>1628120.0</v>
      </c>
      <c r="D75" s="8">
        <v>1629866.0</v>
      </c>
      <c r="E75" s="9" t="s">
        <v>804</v>
      </c>
      <c r="F75" s="9"/>
      <c r="G75" s="9" t="s">
        <v>805</v>
      </c>
      <c r="H75" s="9"/>
      <c r="I75" s="8">
        <v>1958.0</v>
      </c>
      <c r="J75" s="9" t="s">
        <v>806</v>
      </c>
      <c r="K75" s="9"/>
      <c r="L75" s="9"/>
      <c r="M75" s="9" t="s">
        <v>1271</v>
      </c>
      <c r="N75" s="9" t="s">
        <v>1110</v>
      </c>
      <c r="O75" s="9" t="s">
        <v>1272</v>
      </c>
      <c r="P75" s="9" t="s">
        <v>1273</v>
      </c>
      <c r="Q75" s="8">
        <v>0.0</v>
      </c>
      <c r="R75" s="8">
        <v>0.0</v>
      </c>
      <c r="S75" s="8">
        <v>0.0</v>
      </c>
      <c r="T75" s="8">
        <v>0.0</v>
      </c>
      <c r="U75" s="8">
        <v>1.0</v>
      </c>
      <c r="V75" s="11">
        <v>0.0</v>
      </c>
      <c r="W75" s="8">
        <v>0.0</v>
      </c>
      <c r="X75" s="8">
        <v>0.0</v>
      </c>
      <c r="Y75" s="8">
        <v>0.0</v>
      </c>
      <c r="Z75" s="8">
        <v>0.0</v>
      </c>
      <c r="AA75" s="8">
        <v>0.0</v>
      </c>
      <c r="AB75" s="8">
        <v>0.0</v>
      </c>
      <c r="AC75" s="8">
        <v>0.0</v>
      </c>
      <c r="AD75" s="9" t="s">
        <v>38</v>
      </c>
      <c r="AE75" s="9" t="s">
        <v>39</v>
      </c>
      <c r="AF75" s="9" t="s">
        <v>166</v>
      </c>
    </row>
    <row r="76">
      <c r="A76" s="13" t="s">
        <v>794</v>
      </c>
      <c r="B76" s="8">
        <v>1427.0</v>
      </c>
      <c r="C76" s="8">
        <v>1117491.0</v>
      </c>
      <c r="D76" s="8">
        <v>1121492.0</v>
      </c>
      <c r="E76" s="9" t="s">
        <v>860</v>
      </c>
      <c r="F76" s="9"/>
      <c r="G76" s="9" t="s">
        <v>861</v>
      </c>
      <c r="H76" s="9"/>
      <c r="I76" s="8">
        <v>1949.0</v>
      </c>
      <c r="J76" s="9" t="s">
        <v>797</v>
      </c>
      <c r="K76" s="9"/>
      <c r="L76" s="9"/>
      <c r="M76" s="9" t="s">
        <v>466</v>
      </c>
      <c r="N76" s="9" t="s">
        <v>1110</v>
      </c>
      <c r="O76" s="9" t="s">
        <v>1274</v>
      </c>
      <c r="P76" s="9" t="s">
        <v>587</v>
      </c>
      <c r="Q76" s="8">
        <v>0.0</v>
      </c>
      <c r="R76" s="8">
        <v>0.0</v>
      </c>
      <c r="S76" s="8">
        <v>0.0</v>
      </c>
      <c r="T76" s="8">
        <v>0.0</v>
      </c>
      <c r="U76" s="8">
        <v>1.0</v>
      </c>
      <c r="V76" s="11">
        <v>0.0</v>
      </c>
      <c r="W76" s="8">
        <v>0.0</v>
      </c>
      <c r="X76" s="8">
        <v>0.0</v>
      </c>
      <c r="Y76" s="8">
        <v>0.0</v>
      </c>
      <c r="Z76" s="8">
        <v>0.0</v>
      </c>
      <c r="AA76" s="8">
        <v>0.0</v>
      </c>
      <c r="AB76" s="8">
        <v>0.0</v>
      </c>
      <c r="AC76" s="8">
        <v>0.0</v>
      </c>
      <c r="AD76" s="9" t="s">
        <v>38</v>
      </c>
      <c r="AE76" s="9" t="s">
        <v>39</v>
      </c>
      <c r="AF76" s="9" t="s">
        <v>166</v>
      </c>
    </row>
    <row r="77">
      <c r="A77" s="13" t="s">
        <v>794</v>
      </c>
      <c r="B77" s="8">
        <v>1941.0</v>
      </c>
      <c r="C77" s="8">
        <v>742600.0</v>
      </c>
      <c r="D77" s="8">
        <v>747430.0</v>
      </c>
      <c r="E77" s="9" t="s">
        <v>879</v>
      </c>
      <c r="F77" s="9"/>
      <c r="G77" s="9"/>
      <c r="H77" s="9"/>
      <c r="I77" s="9"/>
      <c r="J77" s="9"/>
      <c r="K77" s="9"/>
      <c r="L77" s="9"/>
      <c r="M77" s="9" t="s">
        <v>1275</v>
      </c>
      <c r="N77" s="9" t="s">
        <v>1110</v>
      </c>
      <c r="O77" s="9" t="s">
        <v>1276</v>
      </c>
      <c r="P77" s="9" t="s">
        <v>823</v>
      </c>
      <c r="Q77" s="8">
        <v>1.0</v>
      </c>
      <c r="R77" s="8">
        <v>0.0</v>
      </c>
      <c r="S77" s="8">
        <v>0.0</v>
      </c>
      <c r="T77" s="8">
        <v>0.0</v>
      </c>
      <c r="U77" s="8">
        <v>0.0</v>
      </c>
      <c r="V77" s="8">
        <v>0.0</v>
      </c>
      <c r="W77" s="8">
        <v>0.0</v>
      </c>
      <c r="X77" s="8">
        <v>0.0</v>
      </c>
      <c r="Y77" s="8">
        <v>0.0</v>
      </c>
      <c r="Z77" s="8">
        <v>0.0</v>
      </c>
      <c r="AA77" s="8">
        <v>0.0</v>
      </c>
      <c r="AB77" s="8">
        <v>0.0</v>
      </c>
      <c r="AC77" s="8">
        <v>0.0</v>
      </c>
      <c r="AD77" s="9" t="s">
        <v>38</v>
      </c>
      <c r="AE77" s="9" t="s">
        <v>39</v>
      </c>
      <c r="AF77" s="9" t="s">
        <v>166</v>
      </c>
    </row>
    <row r="78">
      <c r="A78" s="13" t="s">
        <v>794</v>
      </c>
      <c r="B78" s="8">
        <v>3255.0</v>
      </c>
      <c r="C78" s="8">
        <v>55623.0</v>
      </c>
      <c r="D78" s="8">
        <v>63946.0</v>
      </c>
      <c r="E78" s="9" t="s">
        <v>944</v>
      </c>
      <c r="F78" s="9"/>
      <c r="G78" s="9" t="s">
        <v>945</v>
      </c>
      <c r="H78" s="9"/>
      <c r="I78" s="8">
        <v>1973.0</v>
      </c>
      <c r="J78" s="9" t="s">
        <v>946</v>
      </c>
      <c r="K78" s="9"/>
      <c r="L78" s="9"/>
      <c r="M78" s="9" t="s">
        <v>1277</v>
      </c>
      <c r="N78" s="9" t="s">
        <v>1110</v>
      </c>
      <c r="O78" s="9" t="s">
        <v>1278</v>
      </c>
      <c r="P78" s="9" t="s">
        <v>418</v>
      </c>
      <c r="Q78" s="8">
        <v>0.0</v>
      </c>
      <c r="R78" s="8">
        <v>0.0</v>
      </c>
      <c r="S78" s="8">
        <v>0.0</v>
      </c>
      <c r="T78" s="8">
        <v>0.0</v>
      </c>
      <c r="U78" s="8">
        <v>1.0</v>
      </c>
      <c r="V78" s="11">
        <v>0.0</v>
      </c>
      <c r="W78" s="8">
        <v>0.0</v>
      </c>
      <c r="X78" s="8">
        <v>0.0</v>
      </c>
      <c r="Y78" s="8">
        <v>0.0</v>
      </c>
      <c r="Z78" s="8">
        <v>0.0</v>
      </c>
      <c r="AA78" s="8">
        <v>0.0</v>
      </c>
      <c r="AB78" s="8">
        <v>0.0</v>
      </c>
      <c r="AC78" s="8">
        <v>0.0</v>
      </c>
      <c r="AD78" s="9" t="s">
        <v>38</v>
      </c>
      <c r="AE78" s="9" t="s">
        <v>39</v>
      </c>
      <c r="AF78" s="9" t="s">
        <v>166</v>
      </c>
    </row>
    <row r="79">
      <c r="A79" s="13" t="s">
        <v>794</v>
      </c>
      <c r="B79" s="8">
        <v>3555.0</v>
      </c>
      <c r="C79" s="8">
        <v>2070788.0</v>
      </c>
      <c r="D79" s="8">
        <v>2081110.0</v>
      </c>
      <c r="E79" s="9" t="s">
        <v>944</v>
      </c>
      <c r="F79" s="9"/>
      <c r="G79" s="9" t="s">
        <v>945</v>
      </c>
      <c r="H79" s="9"/>
      <c r="I79" s="8">
        <v>1973.0</v>
      </c>
      <c r="J79" s="9" t="s">
        <v>946</v>
      </c>
      <c r="K79" s="9"/>
      <c r="L79" s="9"/>
      <c r="M79" s="9" t="s">
        <v>1279</v>
      </c>
      <c r="N79" s="9" t="s">
        <v>1110</v>
      </c>
      <c r="O79" s="9" t="s">
        <v>1280</v>
      </c>
      <c r="P79" s="9" t="s">
        <v>1281</v>
      </c>
      <c r="Q79" s="8">
        <v>0.0</v>
      </c>
      <c r="R79" s="8">
        <v>0.0</v>
      </c>
      <c r="S79" s="8">
        <v>0.0</v>
      </c>
      <c r="T79" s="8">
        <v>0.0</v>
      </c>
      <c r="U79" s="8">
        <v>0.0</v>
      </c>
      <c r="V79" s="8">
        <v>0.0</v>
      </c>
      <c r="W79" s="8">
        <v>0.0</v>
      </c>
      <c r="X79" s="8">
        <v>0.0</v>
      </c>
      <c r="Y79" s="8">
        <v>1.0</v>
      </c>
      <c r="Z79" s="8">
        <v>0.0</v>
      </c>
      <c r="AA79" s="8">
        <v>0.0</v>
      </c>
      <c r="AB79" s="8">
        <v>0.0</v>
      </c>
      <c r="AC79" s="8">
        <v>0.0</v>
      </c>
      <c r="AD79" s="9" t="s">
        <v>92</v>
      </c>
      <c r="AE79" s="9" t="s">
        <v>39</v>
      </c>
      <c r="AF79" s="9" t="s">
        <v>166</v>
      </c>
    </row>
    <row r="80">
      <c r="A80" s="13" t="s">
        <v>794</v>
      </c>
      <c r="B80" s="8">
        <v>3671.0</v>
      </c>
      <c r="C80" s="8">
        <v>2899698.0</v>
      </c>
      <c r="D80" s="8">
        <v>2905242.0</v>
      </c>
      <c r="E80" s="9" t="s">
        <v>944</v>
      </c>
      <c r="F80" s="9"/>
      <c r="G80" s="9" t="s">
        <v>945</v>
      </c>
      <c r="H80" s="9"/>
      <c r="I80" s="8">
        <v>1973.0</v>
      </c>
      <c r="J80" s="9" t="s">
        <v>946</v>
      </c>
      <c r="K80" s="9"/>
      <c r="L80" s="9"/>
      <c r="M80" s="9" t="s">
        <v>1282</v>
      </c>
      <c r="N80" s="9" t="s">
        <v>1110</v>
      </c>
      <c r="O80" s="9" t="s">
        <v>1283</v>
      </c>
      <c r="P80" s="9" t="s">
        <v>1284</v>
      </c>
      <c r="Q80" s="8">
        <v>1.0</v>
      </c>
      <c r="R80" s="8">
        <v>0.0</v>
      </c>
      <c r="S80" s="8">
        <v>0.0</v>
      </c>
      <c r="T80" s="8">
        <v>0.0</v>
      </c>
      <c r="U80" s="8">
        <v>0.0</v>
      </c>
      <c r="V80" s="8">
        <v>0.0</v>
      </c>
      <c r="W80" s="8">
        <v>0.0</v>
      </c>
      <c r="X80" s="8">
        <v>0.0</v>
      </c>
      <c r="Y80" s="8">
        <v>0.0</v>
      </c>
      <c r="Z80" s="8">
        <v>0.0</v>
      </c>
      <c r="AA80" s="8">
        <v>0.0</v>
      </c>
      <c r="AB80" s="8">
        <v>0.0</v>
      </c>
      <c r="AC80" s="8">
        <v>0.0</v>
      </c>
      <c r="AD80" s="10" t="s">
        <v>44</v>
      </c>
      <c r="AE80" s="9" t="s">
        <v>40</v>
      </c>
      <c r="AF80" s="9" t="s">
        <v>166</v>
      </c>
    </row>
    <row r="81">
      <c r="A81" s="13" t="s">
        <v>794</v>
      </c>
      <c r="B81" s="8">
        <v>4679.0</v>
      </c>
      <c r="C81" s="8">
        <v>2122999.0</v>
      </c>
      <c r="D81" s="8">
        <v>2126307.0</v>
      </c>
      <c r="E81" s="9" t="s">
        <v>1000</v>
      </c>
      <c r="F81" s="9"/>
      <c r="G81" s="9" t="s">
        <v>1001</v>
      </c>
      <c r="H81" s="9"/>
      <c r="I81" s="8">
        <v>1932.0</v>
      </c>
      <c r="J81" s="9" t="s">
        <v>389</v>
      </c>
      <c r="K81" s="9"/>
      <c r="L81" s="9"/>
      <c r="M81" s="9" t="s">
        <v>1285</v>
      </c>
      <c r="N81" s="9" t="s">
        <v>1110</v>
      </c>
      <c r="O81" s="9" t="s">
        <v>1286</v>
      </c>
      <c r="P81" s="9" t="s">
        <v>1287</v>
      </c>
      <c r="Q81" s="8">
        <v>0.0</v>
      </c>
      <c r="R81" s="8">
        <v>0.0</v>
      </c>
      <c r="S81" s="8">
        <v>0.0</v>
      </c>
      <c r="T81" s="8">
        <v>0.0</v>
      </c>
      <c r="U81" s="8">
        <v>0.0</v>
      </c>
      <c r="V81" s="8">
        <v>0.0</v>
      </c>
      <c r="W81" s="8">
        <v>0.0</v>
      </c>
      <c r="X81" s="8">
        <v>0.0</v>
      </c>
      <c r="Y81" s="8">
        <v>0.0</v>
      </c>
      <c r="Z81" s="8">
        <v>0.0</v>
      </c>
      <c r="AA81" s="8">
        <v>1.0</v>
      </c>
      <c r="AB81" s="8">
        <v>0.0</v>
      </c>
      <c r="AC81" s="8">
        <v>0.0</v>
      </c>
      <c r="AD81" s="9" t="s">
        <v>92</v>
      </c>
      <c r="AE81" s="9" t="s">
        <v>39</v>
      </c>
      <c r="AF81" s="9" t="s">
        <v>166</v>
      </c>
    </row>
    <row r="82">
      <c r="A82" s="13" t="s">
        <v>794</v>
      </c>
      <c r="B82" s="8">
        <v>5229.0</v>
      </c>
      <c r="C82" s="8">
        <v>4646183.0</v>
      </c>
      <c r="D82" s="8">
        <v>4653647.0</v>
      </c>
      <c r="E82" s="9" t="s">
        <v>1000</v>
      </c>
      <c r="F82" s="9"/>
      <c r="G82" s="9" t="s">
        <v>1001</v>
      </c>
      <c r="H82" s="9"/>
      <c r="I82" s="8">
        <v>1932.0</v>
      </c>
      <c r="J82" s="9" t="s">
        <v>389</v>
      </c>
      <c r="K82" s="9"/>
      <c r="L82" s="9"/>
      <c r="M82" s="9" t="s">
        <v>1288</v>
      </c>
      <c r="N82" s="9" t="s">
        <v>1110</v>
      </c>
      <c r="O82" s="9" t="s">
        <v>1289</v>
      </c>
      <c r="P82" s="9" t="s">
        <v>408</v>
      </c>
      <c r="Q82" s="8">
        <v>1.0</v>
      </c>
      <c r="R82" s="8">
        <v>0.0</v>
      </c>
      <c r="S82" s="8">
        <v>0.0</v>
      </c>
      <c r="T82" s="8">
        <v>0.0</v>
      </c>
      <c r="U82" s="8">
        <v>0.0</v>
      </c>
      <c r="V82" s="8">
        <v>0.0</v>
      </c>
      <c r="W82" s="8">
        <v>0.0</v>
      </c>
      <c r="X82" s="8">
        <v>0.0</v>
      </c>
      <c r="Y82" s="8">
        <v>0.0</v>
      </c>
      <c r="Z82" s="8">
        <v>0.0</v>
      </c>
      <c r="AA82" s="8">
        <v>0.0</v>
      </c>
      <c r="AB82" s="8">
        <v>0.0</v>
      </c>
      <c r="AC82" s="8">
        <v>0.0</v>
      </c>
      <c r="AD82" s="9" t="s">
        <v>38</v>
      </c>
      <c r="AE82" s="9" t="s">
        <v>39</v>
      </c>
      <c r="AF82" s="9" t="s">
        <v>166</v>
      </c>
    </row>
    <row r="83">
      <c r="A83" s="13" t="s">
        <v>794</v>
      </c>
      <c r="B83" s="8">
        <v>6507.0</v>
      </c>
      <c r="C83" s="8">
        <v>210398.0</v>
      </c>
      <c r="D83" s="8">
        <v>217718.0</v>
      </c>
      <c r="E83" s="9" t="s">
        <v>1053</v>
      </c>
      <c r="F83" s="9"/>
      <c r="G83" s="9" t="s">
        <v>805</v>
      </c>
      <c r="H83" s="9"/>
      <c r="I83" s="8">
        <v>1958.0</v>
      </c>
      <c r="J83" s="9" t="s">
        <v>806</v>
      </c>
      <c r="K83" s="9"/>
      <c r="L83" s="9"/>
      <c r="M83" s="9" t="s">
        <v>1290</v>
      </c>
      <c r="N83" s="9" t="s">
        <v>1110</v>
      </c>
      <c r="O83" s="9" t="s">
        <v>1291</v>
      </c>
      <c r="P83" s="9" t="s">
        <v>1273</v>
      </c>
      <c r="Q83" s="8">
        <v>0.0</v>
      </c>
      <c r="R83" s="8">
        <v>0.0</v>
      </c>
      <c r="S83" s="8">
        <v>0.0</v>
      </c>
      <c r="T83" s="8">
        <v>0.0</v>
      </c>
      <c r="U83" s="8">
        <v>1.0</v>
      </c>
      <c r="V83" s="11">
        <v>0.0</v>
      </c>
      <c r="W83" s="8">
        <v>0.0</v>
      </c>
      <c r="X83" s="8">
        <v>0.0</v>
      </c>
      <c r="Y83" s="8">
        <v>0.0</v>
      </c>
      <c r="Z83" s="8">
        <v>0.0</v>
      </c>
      <c r="AA83" s="8">
        <v>0.0</v>
      </c>
      <c r="AB83" s="8">
        <v>0.0</v>
      </c>
      <c r="AC83" s="8">
        <v>0.0</v>
      </c>
      <c r="AD83" s="9" t="s">
        <v>38</v>
      </c>
      <c r="AE83" s="9" t="s">
        <v>39</v>
      </c>
      <c r="AF83" s="9" t="s">
        <v>166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1292</v>
      </c>
      <c r="B1" s="2" t="s">
        <v>1</v>
      </c>
      <c r="C1" s="2" t="s">
        <v>2</v>
      </c>
      <c r="D1" s="2" t="s">
        <v>3</v>
      </c>
      <c r="E1" s="2" t="s">
        <v>4</v>
      </c>
      <c r="F1" s="1" t="s">
        <v>5</v>
      </c>
      <c r="G1" s="2" t="s">
        <v>6</v>
      </c>
      <c r="H1" s="1" t="s">
        <v>7</v>
      </c>
      <c r="I1" s="2" t="s">
        <v>8</v>
      </c>
      <c r="J1" s="2" t="s">
        <v>9</v>
      </c>
      <c r="K1" s="2" t="s">
        <v>10</v>
      </c>
      <c r="L1" s="2" t="s">
        <v>11</v>
      </c>
      <c r="M1" s="2" t="s">
        <v>12</v>
      </c>
      <c r="N1" s="2" t="s">
        <v>13</v>
      </c>
      <c r="O1" s="2" t="s">
        <v>14</v>
      </c>
      <c r="P1" s="2" t="s">
        <v>1293</v>
      </c>
      <c r="R1" s="14" t="str">
        <f>IFERROR(__xludf.DUMMYFUNCTION("QUERY(P2:P10000, ""SELECT P, COUNT(P) WHERE P IS NOT NULL AND P != '' GROUP BY P ORDER BY COUNT(P) DESC LABEL COUNT(P) 'Количество'"")"),"")</f>
        <v/>
      </c>
      <c r="S1" s="14" t="str">
        <f>IFERROR(__xludf.DUMMYFUNCTION("""COMPUTED_VALUE"""),"Количество")</f>
        <v>Количество</v>
      </c>
    </row>
    <row r="2">
      <c r="A2" s="4" t="s">
        <v>32</v>
      </c>
      <c r="B2" s="5">
        <v>55.0</v>
      </c>
      <c r="C2" s="5">
        <v>1116181.0</v>
      </c>
      <c r="D2" s="5">
        <v>1121630.0</v>
      </c>
      <c r="E2" s="2" t="s">
        <v>33</v>
      </c>
      <c r="F2" s="2"/>
      <c r="G2" s="2"/>
      <c r="H2" s="2"/>
      <c r="I2" s="2"/>
      <c r="J2" s="2"/>
      <c r="K2" s="2"/>
      <c r="L2" s="2"/>
      <c r="M2" s="2" t="s">
        <v>1294</v>
      </c>
      <c r="N2" s="2" t="s">
        <v>35</v>
      </c>
      <c r="O2" s="2" t="s">
        <v>1295</v>
      </c>
      <c r="P2" s="2" t="s">
        <v>1296</v>
      </c>
      <c r="R2" s="15" t="str">
        <f>IFERROR(__xludf.DUMMYFUNCTION("""COMPUTED_VALUE"""),"другой падеж")</f>
        <v>другой падеж</v>
      </c>
      <c r="S2" s="15">
        <f>IFERROR(__xludf.DUMMYFUNCTION("""COMPUTED_VALUE"""),829.0)</f>
        <v>829</v>
      </c>
    </row>
    <row r="3">
      <c r="A3" s="4" t="s">
        <v>32</v>
      </c>
      <c r="B3" s="5">
        <v>62.0</v>
      </c>
      <c r="C3" s="5">
        <v>1147370.0</v>
      </c>
      <c r="D3" s="5">
        <v>1151750.0</v>
      </c>
      <c r="E3" s="2" t="s">
        <v>33</v>
      </c>
      <c r="F3" s="2"/>
      <c r="G3" s="2"/>
      <c r="H3" s="2"/>
      <c r="I3" s="2"/>
      <c r="J3" s="2"/>
      <c r="K3" s="2"/>
      <c r="L3" s="2"/>
      <c r="M3" s="2"/>
      <c r="N3" s="2" t="s">
        <v>45</v>
      </c>
      <c r="O3" s="2" t="s">
        <v>1297</v>
      </c>
      <c r="P3" s="2" t="s">
        <v>1298</v>
      </c>
      <c r="R3" s="15" t="str">
        <f>IFERROR(__xludf.DUMMYFUNCTION("""COMPUTED_VALUE"""),"нет вариативности")</f>
        <v>нет вариативности</v>
      </c>
      <c r="S3" s="15">
        <f>IFERROR(__xludf.DUMMYFUNCTION("""COMPUTED_VALUE"""),254.0)</f>
        <v>254</v>
      </c>
    </row>
    <row r="4">
      <c r="A4" s="4" t="s">
        <v>32</v>
      </c>
      <c r="B4" s="5">
        <v>77.0</v>
      </c>
      <c r="C4" s="5">
        <v>1212489.0</v>
      </c>
      <c r="D4" s="5">
        <v>1215709.0</v>
      </c>
      <c r="E4" s="2" t="s">
        <v>33</v>
      </c>
      <c r="F4" s="2"/>
      <c r="G4" s="2"/>
      <c r="H4" s="2"/>
      <c r="I4" s="2"/>
      <c r="J4" s="2"/>
      <c r="K4" s="2"/>
      <c r="L4" s="2"/>
      <c r="M4" s="2" t="s">
        <v>1299</v>
      </c>
      <c r="N4" s="2" t="s">
        <v>35</v>
      </c>
      <c r="O4" s="16" t="e">
        <v>#NAME?</v>
      </c>
      <c r="P4" s="2" t="s">
        <v>1300</v>
      </c>
      <c r="R4" s="15" t="str">
        <f>IFERROR(__xludf.DUMMYFUNCTION("""COMPUTED_VALUE"""),"неполные данные")</f>
        <v>неполные данные</v>
      </c>
      <c r="S4" s="15">
        <f>IFERROR(__xludf.DUMMYFUNCTION("""COMPUTED_VALUE"""),148.0)</f>
        <v>148</v>
      </c>
    </row>
    <row r="5">
      <c r="A5" s="4" t="s">
        <v>32</v>
      </c>
      <c r="B5" s="5">
        <v>91.0</v>
      </c>
      <c r="C5" s="5">
        <v>1283884.0</v>
      </c>
      <c r="D5" s="5">
        <v>1289084.0</v>
      </c>
      <c r="E5" s="2" t="s">
        <v>33</v>
      </c>
      <c r="F5" s="2"/>
      <c r="G5" s="2"/>
      <c r="H5" s="2"/>
      <c r="I5" s="2"/>
      <c r="J5" s="2"/>
      <c r="K5" s="2"/>
      <c r="L5" s="2"/>
      <c r="M5" s="2" t="s">
        <v>1301</v>
      </c>
      <c r="N5" s="2" t="s">
        <v>35</v>
      </c>
      <c r="O5" s="2" t="s">
        <v>1302</v>
      </c>
      <c r="P5" s="2" t="s">
        <v>1296</v>
      </c>
      <c r="R5" s="15" t="str">
        <f>IFERROR(__xludf.DUMMYFUNCTION("""COMPUTED_VALUE"""),"отсутствует существительное в предложной группе")</f>
        <v>отсутствует существительное в предложной группе</v>
      </c>
      <c r="S5" s="15">
        <f>IFERROR(__xludf.DUMMYFUNCTION("""COMPUTED_VALUE"""),91.0)</f>
        <v>91</v>
      </c>
    </row>
    <row r="6">
      <c r="A6" s="4" t="s">
        <v>32</v>
      </c>
      <c r="B6" s="5">
        <v>113.0</v>
      </c>
      <c r="C6" s="5">
        <v>1395162.0</v>
      </c>
      <c r="D6" s="5">
        <v>1400395.0</v>
      </c>
      <c r="E6" s="2" t="s">
        <v>33</v>
      </c>
      <c r="F6" s="2"/>
      <c r="G6" s="2"/>
      <c r="H6" s="2"/>
      <c r="I6" s="2"/>
      <c r="J6" s="2"/>
      <c r="K6" s="2"/>
      <c r="L6" s="2"/>
      <c r="M6" s="2" t="s">
        <v>1303</v>
      </c>
      <c r="N6" s="2" t="s">
        <v>35</v>
      </c>
      <c r="O6" s="2" t="s">
        <v>1304</v>
      </c>
      <c r="P6" s="2" t="s">
        <v>1296</v>
      </c>
      <c r="R6" s="15" t="str">
        <f>IFERROR(__xludf.DUMMYFUNCTION("""COMPUTED_VALUE"""),"временное значение")</f>
        <v>временное значение</v>
      </c>
      <c r="S6" s="15">
        <f>IFERROR(__xludf.DUMMYFUNCTION("""COMPUTED_VALUE"""),33.0)</f>
        <v>33</v>
      </c>
    </row>
    <row r="7">
      <c r="A7" s="4" t="s">
        <v>32</v>
      </c>
      <c r="B7" s="5">
        <v>114.0</v>
      </c>
      <c r="C7" s="5">
        <v>1400856.0</v>
      </c>
      <c r="D7" s="5">
        <v>1407011.0</v>
      </c>
      <c r="E7" s="2" t="s">
        <v>33</v>
      </c>
      <c r="F7" s="2"/>
      <c r="G7" s="2"/>
      <c r="H7" s="2"/>
      <c r="I7" s="2"/>
      <c r="J7" s="2"/>
      <c r="K7" s="2"/>
      <c r="L7" s="2"/>
      <c r="M7" s="2" t="s">
        <v>1305</v>
      </c>
      <c r="N7" s="2" t="s">
        <v>35</v>
      </c>
      <c r="O7" s="2" t="s">
        <v>1306</v>
      </c>
      <c r="P7" s="2" t="s">
        <v>1296</v>
      </c>
      <c r="R7" s="15" t="str">
        <f>IFERROR(__xludf.DUMMYFUNCTION("""COMPUTED_VALUE"""),"самоповтор")</f>
        <v>самоповтор</v>
      </c>
      <c r="S7" s="15">
        <f>IFERROR(__xludf.DUMMYFUNCTION("""COMPUTED_VALUE"""),26.0)</f>
        <v>26</v>
      </c>
    </row>
    <row r="8">
      <c r="A8" s="4" t="s">
        <v>32</v>
      </c>
      <c r="B8" s="5">
        <v>155.0</v>
      </c>
      <c r="C8" s="5">
        <v>1607049.0</v>
      </c>
      <c r="D8" s="5">
        <v>1618583.0</v>
      </c>
      <c r="E8" s="2" t="s">
        <v>33</v>
      </c>
      <c r="F8" s="2"/>
      <c r="G8" s="2"/>
      <c r="H8" s="2"/>
      <c r="I8" s="2"/>
      <c r="J8" s="2"/>
      <c r="K8" s="2"/>
      <c r="L8" s="2"/>
      <c r="M8" s="2" t="s">
        <v>1307</v>
      </c>
      <c r="N8" s="2" t="s">
        <v>35</v>
      </c>
      <c r="O8" s="2" t="s">
        <v>1308</v>
      </c>
      <c r="P8" s="2" t="s">
        <v>1296</v>
      </c>
      <c r="R8" s="15" t="str">
        <f>IFERROR(__xludf.DUMMYFUNCTION("""COMPUTED_VALUE"""),"идиома/фразеологизм")</f>
        <v>идиома/фразеологизм</v>
      </c>
      <c r="S8" s="15">
        <f>IFERROR(__xludf.DUMMYFUNCTION("""COMPUTED_VALUE"""),22.0)</f>
        <v>22</v>
      </c>
    </row>
    <row r="9">
      <c r="A9" s="4" t="s">
        <v>32</v>
      </c>
      <c r="B9" s="5">
        <v>193.0</v>
      </c>
      <c r="C9" s="5">
        <v>1877298.0</v>
      </c>
      <c r="D9" s="5">
        <v>1881498.0</v>
      </c>
      <c r="E9" s="2" t="s">
        <v>33</v>
      </c>
      <c r="F9" s="2"/>
      <c r="G9" s="2"/>
      <c r="H9" s="2"/>
      <c r="I9" s="2"/>
      <c r="J9" s="2"/>
      <c r="K9" s="2"/>
      <c r="L9" s="2"/>
      <c r="M9" s="2" t="s">
        <v>1309</v>
      </c>
      <c r="N9" s="2" t="s">
        <v>35</v>
      </c>
      <c r="O9" s="2" t="s">
        <v>1310</v>
      </c>
      <c r="P9" s="2" t="s">
        <v>1296</v>
      </c>
      <c r="R9" s="15" t="str">
        <f>IFERROR(__xludf.DUMMYFUNCTION("""COMPUTED_VALUE"""),"мера/сопоставление")</f>
        <v>мера/сопоставление</v>
      </c>
      <c r="S9" s="15">
        <f>IFERROR(__xludf.DUMMYFUNCTION("""COMPUTED_VALUE"""),6.0)</f>
        <v>6</v>
      </c>
    </row>
    <row r="10">
      <c r="A10" s="4" t="s">
        <v>32</v>
      </c>
      <c r="B10" s="5">
        <v>216.0</v>
      </c>
      <c r="C10" s="5">
        <v>2007902.0</v>
      </c>
      <c r="D10" s="5">
        <v>2014883.0</v>
      </c>
      <c r="E10" s="2" t="s">
        <v>33</v>
      </c>
      <c r="F10" s="2"/>
      <c r="G10" s="2"/>
      <c r="H10" s="2"/>
      <c r="I10" s="2"/>
      <c r="J10" s="2"/>
      <c r="K10" s="2"/>
      <c r="L10" s="2"/>
      <c r="M10" s="2" t="s">
        <v>1311</v>
      </c>
      <c r="N10" s="2" t="s">
        <v>35</v>
      </c>
      <c r="O10" s="2" t="s">
        <v>1312</v>
      </c>
      <c r="P10" s="2" t="s">
        <v>1296</v>
      </c>
      <c r="R10" s="15" t="str">
        <f>IFERROR(__xludf.DUMMYFUNCTION("""COMPUTED_VALUE"""),"мера")</f>
        <v>мера</v>
      </c>
      <c r="S10" s="15">
        <f>IFERROR(__xludf.DUMMYFUNCTION("""COMPUTED_VALUE"""),5.0)</f>
        <v>5</v>
      </c>
    </row>
    <row r="11">
      <c r="A11" s="4" t="s">
        <v>32</v>
      </c>
      <c r="B11" s="5">
        <v>218.0</v>
      </c>
      <c r="C11" s="5">
        <v>2020393.0</v>
      </c>
      <c r="D11" s="5">
        <v>2027793.0</v>
      </c>
      <c r="E11" s="2" t="s">
        <v>33</v>
      </c>
      <c r="F11" s="2"/>
      <c r="G11" s="2"/>
      <c r="H11" s="2"/>
      <c r="I11" s="2"/>
      <c r="J11" s="2"/>
      <c r="K11" s="2"/>
      <c r="L11" s="2"/>
      <c r="M11" s="2" t="s">
        <v>1313</v>
      </c>
      <c r="N11" s="2" t="s">
        <v>35</v>
      </c>
      <c r="O11" s="2" t="s">
        <v>1314</v>
      </c>
      <c r="P11" s="2"/>
      <c r="R11" s="15" t="str">
        <f>IFERROR(__xludf.DUMMYFUNCTION("""COMPUTED_VALUE"""),"составной предлог")</f>
        <v>составной предлог</v>
      </c>
      <c r="S11" s="15">
        <f>IFERROR(__xludf.DUMMYFUNCTION("""COMPUTED_VALUE"""),5.0)</f>
        <v>5</v>
      </c>
    </row>
    <row r="12">
      <c r="A12" s="4" t="s">
        <v>32</v>
      </c>
      <c r="B12" s="5">
        <v>219.0</v>
      </c>
      <c r="C12" s="5">
        <v>2028059.0</v>
      </c>
      <c r="D12" s="5">
        <v>2034483.0</v>
      </c>
      <c r="E12" s="2" t="s">
        <v>33</v>
      </c>
      <c r="F12" s="2"/>
      <c r="G12" s="2"/>
      <c r="H12" s="2"/>
      <c r="I12" s="2"/>
      <c r="J12" s="2"/>
      <c r="K12" s="2"/>
      <c r="L12" s="2"/>
      <c r="M12" s="2"/>
      <c r="N12" s="2" t="s">
        <v>45</v>
      </c>
      <c r="O12" s="2" t="s">
        <v>1315</v>
      </c>
      <c r="P12" s="2" t="s">
        <v>1316</v>
      </c>
      <c r="R12" s="15" t="str">
        <f>IFERROR(__xludf.DUMMYFUNCTION("""COMPUTED_VALUE"""),"мера/приблизительно")</f>
        <v>мера/приблизительно</v>
      </c>
      <c r="S12" s="15">
        <f>IFERROR(__xludf.DUMMYFUNCTION("""COMPUTED_VALUE"""),2.0)</f>
        <v>2</v>
      </c>
    </row>
    <row r="13">
      <c r="A13" s="4" t="s">
        <v>32</v>
      </c>
      <c r="B13" s="5">
        <v>221.0</v>
      </c>
      <c r="C13" s="5">
        <v>2041377.0</v>
      </c>
      <c r="D13" s="5">
        <v>2047516.0</v>
      </c>
      <c r="E13" s="2" t="s">
        <v>33</v>
      </c>
      <c r="F13" s="2"/>
      <c r="G13" s="2"/>
      <c r="H13" s="2"/>
      <c r="I13" s="2"/>
      <c r="J13" s="2"/>
      <c r="K13" s="2"/>
      <c r="L13" s="2"/>
      <c r="M13" s="2" t="s">
        <v>1317</v>
      </c>
      <c r="N13" s="2" t="s">
        <v>35</v>
      </c>
      <c r="O13" s="2" t="s">
        <v>1318</v>
      </c>
      <c r="P13" s="2" t="s">
        <v>1316</v>
      </c>
    </row>
    <row r="14">
      <c r="A14" s="4" t="s">
        <v>32</v>
      </c>
      <c r="B14" s="5">
        <v>240.0</v>
      </c>
      <c r="C14" s="5">
        <v>2195910.0</v>
      </c>
      <c r="D14" s="5">
        <v>2202667.0</v>
      </c>
      <c r="E14" s="2" t="s">
        <v>33</v>
      </c>
      <c r="F14" s="2"/>
      <c r="G14" s="2"/>
      <c r="H14" s="2"/>
      <c r="I14" s="2"/>
      <c r="J14" s="2"/>
      <c r="K14" s="2"/>
      <c r="L14" s="2"/>
      <c r="M14" s="2" t="s">
        <v>1319</v>
      </c>
      <c r="N14" s="2" t="s">
        <v>35</v>
      </c>
      <c r="O14" s="2" t="s">
        <v>1320</v>
      </c>
      <c r="P14" s="2" t="s">
        <v>1296</v>
      </c>
    </row>
    <row r="15">
      <c r="A15" s="4" t="s">
        <v>32</v>
      </c>
      <c r="B15" s="5">
        <v>261.0</v>
      </c>
      <c r="C15" s="5">
        <v>2274410.0</v>
      </c>
      <c r="D15" s="5">
        <v>2278840.0</v>
      </c>
      <c r="E15" s="2" t="s">
        <v>33</v>
      </c>
      <c r="F15" s="2"/>
      <c r="G15" s="2"/>
      <c r="H15" s="2"/>
      <c r="I15" s="2"/>
      <c r="J15" s="2"/>
      <c r="K15" s="2"/>
      <c r="L15" s="2"/>
      <c r="M15" s="2"/>
      <c r="N15" s="2" t="s">
        <v>45</v>
      </c>
      <c r="O15" s="2" t="s">
        <v>1321</v>
      </c>
      <c r="P15" s="2" t="s">
        <v>1296</v>
      </c>
    </row>
    <row r="16">
      <c r="A16" s="4" t="s">
        <v>32</v>
      </c>
      <c r="B16" s="5">
        <v>263.0</v>
      </c>
      <c r="C16" s="5">
        <v>2282310.0</v>
      </c>
      <c r="D16" s="5">
        <v>2285860.0</v>
      </c>
      <c r="E16" s="2" t="s">
        <v>33</v>
      </c>
      <c r="F16" s="2"/>
      <c r="G16" s="2"/>
      <c r="H16" s="2"/>
      <c r="I16" s="2"/>
      <c r="J16" s="2"/>
      <c r="K16" s="2"/>
      <c r="L16" s="2"/>
      <c r="M16" s="2"/>
      <c r="N16" s="2" t="s">
        <v>45</v>
      </c>
      <c r="O16" s="2" t="s">
        <v>1322</v>
      </c>
      <c r="P16" s="2" t="s">
        <v>1316</v>
      </c>
    </row>
    <row r="17">
      <c r="A17" s="4" t="s">
        <v>32</v>
      </c>
      <c r="B17" s="5">
        <v>287.0</v>
      </c>
      <c r="C17" s="5">
        <v>338700.0</v>
      </c>
      <c r="D17" s="5">
        <v>342270.0</v>
      </c>
      <c r="E17" s="2" t="s">
        <v>61</v>
      </c>
      <c r="F17" s="2"/>
      <c r="G17" s="2" t="s">
        <v>62</v>
      </c>
      <c r="H17" s="2"/>
      <c r="I17" s="5">
        <v>1937.0</v>
      </c>
      <c r="J17" s="2" t="s">
        <v>63</v>
      </c>
      <c r="K17" s="2" t="s">
        <v>64</v>
      </c>
      <c r="L17" s="2" t="s">
        <v>65</v>
      </c>
      <c r="M17" s="2" t="s">
        <v>1323</v>
      </c>
      <c r="N17" s="2" t="s">
        <v>35</v>
      </c>
      <c r="O17" s="2" t="s">
        <v>1324</v>
      </c>
      <c r="P17" s="2" t="s">
        <v>1296</v>
      </c>
    </row>
    <row r="18">
      <c r="A18" s="4" t="s">
        <v>32</v>
      </c>
      <c r="B18" s="5">
        <v>290.0</v>
      </c>
      <c r="C18" s="5">
        <v>349530.0</v>
      </c>
      <c r="D18" s="5">
        <v>349973.0</v>
      </c>
      <c r="E18" s="2" t="s">
        <v>61</v>
      </c>
      <c r="F18" s="2"/>
      <c r="G18" s="2" t="s">
        <v>62</v>
      </c>
      <c r="H18" s="2"/>
      <c r="I18" s="5">
        <v>1937.0</v>
      </c>
      <c r="J18" s="2" t="s">
        <v>63</v>
      </c>
      <c r="K18" s="2" t="s">
        <v>64</v>
      </c>
      <c r="L18" s="2" t="s">
        <v>65</v>
      </c>
      <c r="M18" s="2" t="s">
        <v>1259</v>
      </c>
      <c r="N18" s="2" t="s">
        <v>35</v>
      </c>
      <c r="O18" s="16" t="str">
        <f>...</f>
        <v>#ERROR!</v>
      </c>
      <c r="P18" s="2" t="s">
        <v>1300</v>
      </c>
    </row>
    <row r="19">
      <c r="A19" s="4" t="s">
        <v>32</v>
      </c>
      <c r="B19" s="5">
        <v>299.0</v>
      </c>
      <c r="C19" s="5">
        <v>388786.0</v>
      </c>
      <c r="D19" s="5">
        <v>392800.0</v>
      </c>
      <c r="E19" s="2" t="s">
        <v>61</v>
      </c>
      <c r="F19" s="2"/>
      <c r="G19" s="2" t="s">
        <v>62</v>
      </c>
      <c r="H19" s="2"/>
      <c r="I19" s="5">
        <v>1937.0</v>
      </c>
      <c r="J19" s="2" t="s">
        <v>63</v>
      </c>
      <c r="K19" s="2" t="s">
        <v>64</v>
      </c>
      <c r="L19" s="2" t="s">
        <v>65</v>
      </c>
      <c r="M19" s="2"/>
      <c r="N19" s="2" t="s">
        <v>45</v>
      </c>
      <c r="O19" s="2" t="s">
        <v>1325</v>
      </c>
      <c r="P19" s="2" t="s">
        <v>1316</v>
      </c>
    </row>
    <row r="20">
      <c r="A20" s="4" t="s">
        <v>32</v>
      </c>
      <c r="B20" s="5">
        <v>307.0</v>
      </c>
      <c r="C20" s="5">
        <v>427810.0</v>
      </c>
      <c r="D20" s="5">
        <v>428990.0</v>
      </c>
      <c r="E20" s="2" t="s">
        <v>61</v>
      </c>
      <c r="F20" s="2"/>
      <c r="G20" s="2" t="s">
        <v>62</v>
      </c>
      <c r="H20" s="2"/>
      <c r="I20" s="5">
        <v>1937.0</v>
      </c>
      <c r="J20" s="2" t="s">
        <v>63</v>
      </c>
      <c r="K20" s="2" t="s">
        <v>64</v>
      </c>
      <c r="L20" s="2" t="s">
        <v>65</v>
      </c>
      <c r="M20" s="2"/>
      <c r="N20" s="2" t="s">
        <v>45</v>
      </c>
      <c r="O20" s="2" t="s">
        <v>1326</v>
      </c>
      <c r="P20" s="2" t="s">
        <v>1316</v>
      </c>
    </row>
    <row r="21">
      <c r="A21" s="4" t="s">
        <v>32</v>
      </c>
      <c r="B21" s="5">
        <v>324.0</v>
      </c>
      <c r="C21" s="5">
        <v>498040.0</v>
      </c>
      <c r="D21" s="5">
        <v>502290.0</v>
      </c>
      <c r="E21" s="2" t="s">
        <v>61</v>
      </c>
      <c r="F21" s="2"/>
      <c r="G21" s="2" t="s">
        <v>62</v>
      </c>
      <c r="H21" s="2"/>
      <c r="I21" s="5">
        <v>1937.0</v>
      </c>
      <c r="J21" s="2" t="s">
        <v>63</v>
      </c>
      <c r="K21" s="2" t="s">
        <v>64</v>
      </c>
      <c r="L21" s="2" t="s">
        <v>65</v>
      </c>
      <c r="M21" s="2" t="s">
        <v>1327</v>
      </c>
      <c r="N21" s="2" t="s">
        <v>35</v>
      </c>
      <c r="O21" s="2" t="s">
        <v>1328</v>
      </c>
      <c r="P21" s="2" t="s">
        <v>1296</v>
      </c>
    </row>
    <row r="22">
      <c r="A22" s="4" t="s">
        <v>32</v>
      </c>
      <c r="B22" s="5">
        <v>375.0</v>
      </c>
      <c r="C22" s="5">
        <v>797525.0</v>
      </c>
      <c r="D22" s="5">
        <v>802525.0</v>
      </c>
      <c r="E22" s="2" t="s">
        <v>61</v>
      </c>
      <c r="F22" s="2"/>
      <c r="G22" s="2" t="s">
        <v>62</v>
      </c>
      <c r="H22" s="2"/>
      <c r="I22" s="5">
        <v>1937.0</v>
      </c>
      <c r="J22" s="2" t="s">
        <v>63</v>
      </c>
      <c r="K22" s="2" t="s">
        <v>64</v>
      </c>
      <c r="L22" s="2" t="s">
        <v>65</v>
      </c>
      <c r="M22" s="2" t="s">
        <v>1329</v>
      </c>
      <c r="N22" s="2" t="s">
        <v>35</v>
      </c>
      <c r="O22" s="2" t="s">
        <v>1330</v>
      </c>
      <c r="P22" s="2" t="s">
        <v>1296</v>
      </c>
    </row>
    <row r="23">
      <c r="A23" s="4" t="s">
        <v>32</v>
      </c>
      <c r="B23" s="5">
        <v>376.0</v>
      </c>
      <c r="C23" s="5">
        <v>802725.0</v>
      </c>
      <c r="D23" s="5">
        <v>813830.0</v>
      </c>
      <c r="E23" s="2" t="s">
        <v>61</v>
      </c>
      <c r="F23" s="2"/>
      <c r="G23" s="2" t="s">
        <v>62</v>
      </c>
      <c r="H23" s="2"/>
      <c r="I23" s="5">
        <v>1937.0</v>
      </c>
      <c r="J23" s="2" t="s">
        <v>63</v>
      </c>
      <c r="K23" s="2" t="s">
        <v>64</v>
      </c>
      <c r="L23" s="2" t="s">
        <v>65</v>
      </c>
      <c r="M23" s="2" t="s">
        <v>1331</v>
      </c>
      <c r="N23" s="2" t="s">
        <v>35</v>
      </c>
      <c r="O23" s="2" t="s">
        <v>1332</v>
      </c>
      <c r="P23" s="2" t="s">
        <v>1296</v>
      </c>
    </row>
    <row r="24">
      <c r="A24" s="4" t="s">
        <v>32</v>
      </c>
      <c r="B24" s="5">
        <v>381.0</v>
      </c>
      <c r="C24" s="5">
        <v>844250.0</v>
      </c>
      <c r="D24" s="5">
        <v>850425.0</v>
      </c>
      <c r="E24" s="2" t="s">
        <v>61</v>
      </c>
      <c r="F24" s="2"/>
      <c r="G24" s="2" t="s">
        <v>62</v>
      </c>
      <c r="H24" s="2"/>
      <c r="I24" s="5">
        <v>1937.0</v>
      </c>
      <c r="J24" s="2" t="s">
        <v>63</v>
      </c>
      <c r="K24" s="2" t="s">
        <v>64</v>
      </c>
      <c r="L24" s="2" t="s">
        <v>65</v>
      </c>
      <c r="M24" s="2" t="s">
        <v>1333</v>
      </c>
      <c r="N24" s="2" t="s">
        <v>35</v>
      </c>
      <c r="O24" s="2" t="s">
        <v>1334</v>
      </c>
      <c r="P24" s="2" t="s">
        <v>1296</v>
      </c>
    </row>
    <row r="25">
      <c r="A25" s="4" t="s">
        <v>32</v>
      </c>
      <c r="B25" s="5">
        <v>390.0</v>
      </c>
      <c r="C25" s="5">
        <v>902287.0</v>
      </c>
      <c r="D25" s="5">
        <v>913162.0</v>
      </c>
      <c r="E25" s="2" t="s">
        <v>61</v>
      </c>
      <c r="F25" s="2"/>
      <c r="G25" s="2" t="s">
        <v>62</v>
      </c>
      <c r="H25" s="2"/>
      <c r="I25" s="5">
        <v>1937.0</v>
      </c>
      <c r="J25" s="2" t="s">
        <v>63</v>
      </c>
      <c r="K25" s="2" t="s">
        <v>64</v>
      </c>
      <c r="L25" s="2" t="s">
        <v>65</v>
      </c>
      <c r="M25" s="2" t="s">
        <v>1335</v>
      </c>
      <c r="N25" s="2" t="s">
        <v>35</v>
      </c>
      <c r="O25" s="2" t="s">
        <v>1336</v>
      </c>
      <c r="P25" s="2" t="s">
        <v>1296</v>
      </c>
    </row>
    <row r="26">
      <c r="A26" s="4" t="s">
        <v>32</v>
      </c>
      <c r="B26" s="5">
        <v>399.0</v>
      </c>
      <c r="C26" s="5">
        <v>953412.0</v>
      </c>
      <c r="D26" s="5">
        <v>955500.0</v>
      </c>
      <c r="E26" s="2" t="s">
        <v>61</v>
      </c>
      <c r="F26" s="2"/>
      <c r="G26" s="2" t="s">
        <v>62</v>
      </c>
      <c r="H26" s="2"/>
      <c r="I26" s="5">
        <v>1937.0</v>
      </c>
      <c r="J26" s="2" t="s">
        <v>63</v>
      </c>
      <c r="K26" s="2" t="s">
        <v>64</v>
      </c>
      <c r="L26" s="2" t="s">
        <v>65</v>
      </c>
      <c r="M26" s="2" t="s">
        <v>1337</v>
      </c>
      <c r="N26" s="2" t="s">
        <v>35</v>
      </c>
      <c r="O26" s="2" t="s">
        <v>1338</v>
      </c>
      <c r="P26" s="2" t="s">
        <v>1296</v>
      </c>
    </row>
    <row r="27">
      <c r="A27" s="4" t="s">
        <v>32</v>
      </c>
      <c r="B27" s="5">
        <v>437.0</v>
      </c>
      <c r="C27" s="5">
        <v>1155510.0</v>
      </c>
      <c r="D27" s="5">
        <v>1165021.0</v>
      </c>
      <c r="E27" s="2" t="s">
        <v>61</v>
      </c>
      <c r="F27" s="2"/>
      <c r="G27" s="2" t="s">
        <v>62</v>
      </c>
      <c r="H27" s="2"/>
      <c r="I27" s="5">
        <v>1937.0</v>
      </c>
      <c r="J27" s="2" t="s">
        <v>63</v>
      </c>
      <c r="K27" s="2" t="s">
        <v>64</v>
      </c>
      <c r="L27" s="2" t="s">
        <v>65</v>
      </c>
      <c r="M27" s="2" t="s">
        <v>1339</v>
      </c>
      <c r="N27" s="2" t="s">
        <v>35</v>
      </c>
      <c r="O27" s="2" t="s">
        <v>1340</v>
      </c>
      <c r="P27" s="2" t="s">
        <v>1296</v>
      </c>
    </row>
    <row r="28">
      <c r="A28" s="4" t="s">
        <v>32</v>
      </c>
      <c r="B28" s="5">
        <v>437.0</v>
      </c>
      <c r="C28" s="5">
        <v>1155510.0</v>
      </c>
      <c r="D28" s="5">
        <v>1165021.0</v>
      </c>
      <c r="E28" s="2" t="s">
        <v>61</v>
      </c>
      <c r="F28" s="2"/>
      <c r="G28" s="2" t="s">
        <v>62</v>
      </c>
      <c r="H28" s="2"/>
      <c r="I28" s="5">
        <v>1937.0</v>
      </c>
      <c r="J28" s="2" t="s">
        <v>63</v>
      </c>
      <c r="K28" s="2" t="s">
        <v>64</v>
      </c>
      <c r="L28" s="2" t="s">
        <v>65</v>
      </c>
      <c r="M28" s="2" t="s">
        <v>1341</v>
      </c>
      <c r="N28" s="2" t="s">
        <v>35</v>
      </c>
      <c r="O28" s="2" t="s">
        <v>1342</v>
      </c>
      <c r="P28" s="2" t="s">
        <v>1296</v>
      </c>
    </row>
    <row r="29">
      <c r="A29" s="4" t="s">
        <v>32</v>
      </c>
      <c r="B29" s="5">
        <v>465.0</v>
      </c>
      <c r="C29" s="5">
        <v>1319573.0</v>
      </c>
      <c r="D29" s="5">
        <v>1328935.0</v>
      </c>
      <c r="E29" s="2" t="s">
        <v>61</v>
      </c>
      <c r="F29" s="2"/>
      <c r="G29" s="2" t="s">
        <v>62</v>
      </c>
      <c r="H29" s="2"/>
      <c r="I29" s="5">
        <v>1937.0</v>
      </c>
      <c r="J29" s="2" t="s">
        <v>63</v>
      </c>
      <c r="K29" s="2" t="s">
        <v>64</v>
      </c>
      <c r="L29" s="2" t="s">
        <v>65</v>
      </c>
      <c r="M29" s="2" t="s">
        <v>1343</v>
      </c>
      <c r="N29" s="2" t="s">
        <v>35</v>
      </c>
      <c r="O29" s="2" t="s">
        <v>1344</v>
      </c>
      <c r="P29" s="2" t="s">
        <v>1296</v>
      </c>
    </row>
    <row r="30">
      <c r="A30" s="4" t="s">
        <v>32</v>
      </c>
      <c r="B30" s="5">
        <v>465.0</v>
      </c>
      <c r="C30" s="5">
        <v>1319573.0</v>
      </c>
      <c r="D30" s="5">
        <v>1328935.0</v>
      </c>
      <c r="E30" s="2" t="s">
        <v>61</v>
      </c>
      <c r="F30" s="2"/>
      <c r="G30" s="2" t="s">
        <v>62</v>
      </c>
      <c r="H30" s="2"/>
      <c r="I30" s="5">
        <v>1937.0</v>
      </c>
      <c r="J30" s="2" t="s">
        <v>63</v>
      </c>
      <c r="K30" s="2" t="s">
        <v>64</v>
      </c>
      <c r="L30" s="2" t="s">
        <v>65</v>
      </c>
      <c r="M30" s="2" t="s">
        <v>1345</v>
      </c>
      <c r="N30" s="2" t="s">
        <v>35</v>
      </c>
      <c r="O30" s="2" t="s">
        <v>1346</v>
      </c>
      <c r="P30" s="2" t="s">
        <v>1296</v>
      </c>
    </row>
    <row r="31">
      <c r="A31" s="4" t="s">
        <v>32</v>
      </c>
      <c r="B31" s="5">
        <v>480.0</v>
      </c>
      <c r="C31" s="5">
        <v>1425550.0</v>
      </c>
      <c r="D31" s="5">
        <v>1440820.0</v>
      </c>
      <c r="E31" s="2" t="s">
        <v>61</v>
      </c>
      <c r="F31" s="2"/>
      <c r="G31" s="2" t="s">
        <v>62</v>
      </c>
      <c r="H31" s="2"/>
      <c r="I31" s="5">
        <v>1937.0</v>
      </c>
      <c r="J31" s="2" t="s">
        <v>63</v>
      </c>
      <c r="K31" s="2" t="s">
        <v>64</v>
      </c>
      <c r="L31" s="2" t="s">
        <v>65</v>
      </c>
      <c r="M31" s="2" t="s">
        <v>1347</v>
      </c>
      <c r="N31" s="2" t="s">
        <v>35</v>
      </c>
      <c r="O31" s="2" t="s">
        <v>1348</v>
      </c>
      <c r="P31" s="2" t="s">
        <v>1296</v>
      </c>
    </row>
    <row r="32">
      <c r="A32" s="4" t="s">
        <v>32</v>
      </c>
      <c r="B32" s="5">
        <v>480.0</v>
      </c>
      <c r="C32" s="5">
        <v>1425550.0</v>
      </c>
      <c r="D32" s="5">
        <v>1440820.0</v>
      </c>
      <c r="E32" s="2" t="s">
        <v>61</v>
      </c>
      <c r="F32" s="2"/>
      <c r="G32" s="2" t="s">
        <v>62</v>
      </c>
      <c r="H32" s="2"/>
      <c r="I32" s="5">
        <v>1937.0</v>
      </c>
      <c r="J32" s="2" t="s">
        <v>63</v>
      </c>
      <c r="K32" s="2" t="s">
        <v>64</v>
      </c>
      <c r="L32" s="2" t="s">
        <v>65</v>
      </c>
      <c r="M32" s="2" t="s">
        <v>1349</v>
      </c>
      <c r="N32" s="2" t="s">
        <v>35</v>
      </c>
      <c r="O32" s="2" t="s">
        <v>1350</v>
      </c>
      <c r="P32" s="2" t="s">
        <v>1296</v>
      </c>
    </row>
    <row r="33">
      <c r="A33" s="4" t="s">
        <v>32</v>
      </c>
      <c r="B33" s="5">
        <v>482.0</v>
      </c>
      <c r="C33" s="5">
        <v>1449000.0</v>
      </c>
      <c r="D33" s="5">
        <v>1457420.0</v>
      </c>
      <c r="E33" s="2" t="s">
        <v>61</v>
      </c>
      <c r="F33" s="2"/>
      <c r="G33" s="2" t="s">
        <v>62</v>
      </c>
      <c r="H33" s="2"/>
      <c r="I33" s="5">
        <v>1937.0</v>
      </c>
      <c r="J33" s="2" t="s">
        <v>63</v>
      </c>
      <c r="K33" s="2" t="s">
        <v>64</v>
      </c>
      <c r="L33" s="2" t="s">
        <v>65</v>
      </c>
      <c r="M33" s="2" t="s">
        <v>466</v>
      </c>
      <c r="N33" s="2" t="s">
        <v>35</v>
      </c>
      <c r="O33" s="2" t="s">
        <v>1351</v>
      </c>
      <c r="P33" s="2" t="s">
        <v>1296</v>
      </c>
    </row>
    <row r="34">
      <c r="A34" s="4" t="s">
        <v>32</v>
      </c>
      <c r="B34" s="5">
        <v>513.0</v>
      </c>
      <c r="C34" s="5">
        <v>1622960.0</v>
      </c>
      <c r="D34" s="5">
        <v>1632240.0</v>
      </c>
      <c r="E34" s="2" t="s">
        <v>61</v>
      </c>
      <c r="F34" s="2"/>
      <c r="G34" s="2" t="s">
        <v>62</v>
      </c>
      <c r="H34" s="2"/>
      <c r="I34" s="5">
        <v>1937.0</v>
      </c>
      <c r="J34" s="2" t="s">
        <v>63</v>
      </c>
      <c r="K34" s="2" t="s">
        <v>64</v>
      </c>
      <c r="L34" s="2" t="s">
        <v>65</v>
      </c>
      <c r="M34" s="2" t="s">
        <v>1352</v>
      </c>
      <c r="N34" s="2" t="s">
        <v>35</v>
      </c>
      <c r="O34" s="2" t="s">
        <v>1353</v>
      </c>
      <c r="P34" s="2" t="s">
        <v>1296</v>
      </c>
    </row>
    <row r="35">
      <c r="A35" s="4" t="s">
        <v>32</v>
      </c>
      <c r="B35" s="5">
        <v>596.0</v>
      </c>
      <c r="C35" s="5">
        <v>2024320.0</v>
      </c>
      <c r="D35" s="5">
        <v>2035760.0</v>
      </c>
      <c r="E35" s="2" t="s">
        <v>61</v>
      </c>
      <c r="F35" s="2"/>
      <c r="G35" s="2" t="s">
        <v>62</v>
      </c>
      <c r="H35" s="2"/>
      <c r="I35" s="5">
        <v>1937.0</v>
      </c>
      <c r="J35" s="2" t="s">
        <v>63</v>
      </c>
      <c r="K35" s="2" t="s">
        <v>64</v>
      </c>
      <c r="L35" s="2" t="s">
        <v>65</v>
      </c>
      <c r="M35" s="2" t="s">
        <v>1354</v>
      </c>
      <c r="N35" s="2" t="s">
        <v>35</v>
      </c>
      <c r="O35" s="2" t="s">
        <v>1355</v>
      </c>
      <c r="P35" s="2" t="s">
        <v>1300</v>
      </c>
    </row>
    <row r="36">
      <c r="A36" s="4" t="s">
        <v>32</v>
      </c>
      <c r="B36" s="5">
        <v>613.0</v>
      </c>
      <c r="C36" s="5">
        <v>2122120.0</v>
      </c>
      <c r="D36" s="5">
        <v>2125990.0</v>
      </c>
      <c r="E36" s="2" t="s">
        <v>61</v>
      </c>
      <c r="F36" s="2"/>
      <c r="G36" s="2" t="s">
        <v>62</v>
      </c>
      <c r="H36" s="2"/>
      <c r="I36" s="5">
        <v>1937.0</v>
      </c>
      <c r="J36" s="2" t="s">
        <v>63</v>
      </c>
      <c r="K36" s="2" t="s">
        <v>64</v>
      </c>
      <c r="L36" s="2" t="s">
        <v>65</v>
      </c>
      <c r="M36" s="2" t="s">
        <v>1356</v>
      </c>
      <c r="N36" s="2" t="s">
        <v>35</v>
      </c>
      <c r="O36" s="2" t="s">
        <v>1357</v>
      </c>
      <c r="P36" s="2" t="s">
        <v>1296</v>
      </c>
    </row>
    <row r="37">
      <c r="A37" s="4" t="s">
        <v>32</v>
      </c>
      <c r="B37" s="5">
        <v>668.0</v>
      </c>
      <c r="C37" s="5">
        <v>2338650.0</v>
      </c>
      <c r="D37" s="5">
        <v>2346290.0</v>
      </c>
      <c r="E37" s="2" t="s">
        <v>61</v>
      </c>
      <c r="F37" s="2"/>
      <c r="G37" s="2" t="s">
        <v>62</v>
      </c>
      <c r="H37" s="2"/>
      <c r="I37" s="5">
        <v>1937.0</v>
      </c>
      <c r="J37" s="2" t="s">
        <v>63</v>
      </c>
      <c r="K37" s="2" t="s">
        <v>64</v>
      </c>
      <c r="L37" s="2" t="s">
        <v>65</v>
      </c>
      <c r="M37" s="2" t="s">
        <v>1358</v>
      </c>
      <c r="N37" s="2" t="s">
        <v>35</v>
      </c>
      <c r="O37" s="2" t="s">
        <v>1359</v>
      </c>
      <c r="P37" s="2" t="s">
        <v>1296</v>
      </c>
    </row>
    <row r="38">
      <c r="A38" s="4" t="s">
        <v>32</v>
      </c>
      <c r="B38" s="5">
        <v>716.0</v>
      </c>
      <c r="C38" s="5">
        <v>2686180.0</v>
      </c>
      <c r="D38" s="5">
        <v>2688610.0</v>
      </c>
      <c r="E38" s="2" t="s">
        <v>61</v>
      </c>
      <c r="F38" s="2"/>
      <c r="G38" s="2" t="s">
        <v>62</v>
      </c>
      <c r="H38" s="2"/>
      <c r="I38" s="5">
        <v>1937.0</v>
      </c>
      <c r="J38" s="2" t="s">
        <v>63</v>
      </c>
      <c r="K38" s="2" t="s">
        <v>64</v>
      </c>
      <c r="L38" s="2" t="s">
        <v>65</v>
      </c>
      <c r="M38" s="2" t="s">
        <v>1360</v>
      </c>
      <c r="N38" s="2" t="s">
        <v>35</v>
      </c>
      <c r="O38" s="2" t="s">
        <v>1361</v>
      </c>
      <c r="P38" s="2" t="s">
        <v>1298</v>
      </c>
    </row>
    <row r="39">
      <c r="A39" s="4" t="s">
        <v>32</v>
      </c>
      <c r="B39" s="5">
        <v>719.0</v>
      </c>
      <c r="C39" s="5">
        <v>2699570.0</v>
      </c>
      <c r="D39" s="5">
        <v>2701010.0</v>
      </c>
      <c r="E39" s="2" t="s">
        <v>61</v>
      </c>
      <c r="F39" s="2"/>
      <c r="G39" s="2" t="s">
        <v>62</v>
      </c>
      <c r="H39" s="2"/>
      <c r="I39" s="5">
        <v>1937.0</v>
      </c>
      <c r="J39" s="2" t="s">
        <v>63</v>
      </c>
      <c r="K39" s="2" t="s">
        <v>64</v>
      </c>
      <c r="L39" s="2" t="s">
        <v>65</v>
      </c>
      <c r="M39" s="2" t="s">
        <v>1362</v>
      </c>
      <c r="N39" s="2" t="s">
        <v>35</v>
      </c>
      <c r="O39" s="2" t="s">
        <v>1363</v>
      </c>
      <c r="P39" s="2" t="s">
        <v>1298</v>
      </c>
    </row>
    <row r="40">
      <c r="A40" s="4" t="s">
        <v>32</v>
      </c>
      <c r="B40" s="5">
        <v>832.0</v>
      </c>
      <c r="C40" s="5">
        <v>3184257.0</v>
      </c>
      <c r="D40" s="5">
        <v>3186030.0</v>
      </c>
      <c r="E40" s="2" t="s">
        <v>61</v>
      </c>
      <c r="F40" s="2"/>
      <c r="G40" s="2" t="s">
        <v>62</v>
      </c>
      <c r="H40" s="2"/>
      <c r="I40" s="5">
        <v>1937.0</v>
      </c>
      <c r="J40" s="2" t="s">
        <v>63</v>
      </c>
      <c r="K40" s="2" t="s">
        <v>64</v>
      </c>
      <c r="L40" s="2" t="s">
        <v>65</v>
      </c>
      <c r="M40" s="2" t="s">
        <v>1364</v>
      </c>
      <c r="N40" s="2" t="s">
        <v>35</v>
      </c>
      <c r="O40" s="2" t="s">
        <v>1365</v>
      </c>
      <c r="P40" s="2" t="s">
        <v>1296</v>
      </c>
    </row>
    <row r="41">
      <c r="A41" s="4" t="s">
        <v>32</v>
      </c>
      <c r="B41" s="5">
        <v>832.0</v>
      </c>
      <c r="C41" s="5">
        <v>3184257.0</v>
      </c>
      <c r="D41" s="5">
        <v>3186030.0</v>
      </c>
      <c r="E41" s="2" t="s">
        <v>61</v>
      </c>
      <c r="F41" s="2"/>
      <c r="G41" s="2" t="s">
        <v>62</v>
      </c>
      <c r="H41" s="2"/>
      <c r="I41" s="5">
        <v>1937.0</v>
      </c>
      <c r="J41" s="2" t="s">
        <v>63</v>
      </c>
      <c r="K41" s="2" t="s">
        <v>64</v>
      </c>
      <c r="L41" s="2" t="s">
        <v>65</v>
      </c>
      <c r="M41" s="2" t="s">
        <v>1366</v>
      </c>
      <c r="N41" s="2" t="s">
        <v>35</v>
      </c>
      <c r="O41" s="2" t="s">
        <v>1367</v>
      </c>
      <c r="P41" s="2" t="s">
        <v>1296</v>
      </c>
    </row>
    <row r="42">
      <c r="A42" s="4" t="s">
        <v>32</v>
      </c>
      <c r="B42" s="5">
        <v>904.0</v>
      </c>
      <c r="C42" s="5">
        <v>3498690.0</v>
      </c>
      <c r="D42" s="5">
        <v>3507041.0</v>
      </c>
      <c r="E42" s="2" t="s">
        <v>61</v>
      </c>
      <c r="F42" s="2"/>
      <c r="G42" s="2" t="s">
        <v>62</v>
      </c>
      <c r="H42" s="2"/>
      <c r="I42" s="5">
        <v>1937.0</v>
      </c>
      <c r="J42" s="2" t="s">
        <v>63</v>
      </c>
      <c r="K42" s="2" t="s">
        <v>64</v>
      </c>
      <c r="L42" s="2" t="s">
        <v>65</v>
      </c>
      <c r="M42" s="2" t="s">
        <v>1368</v>
      </c>
      <c r="N42" s="2" t="s">
        <v>35</v>
      </c>
      <c r="O42" s="2" t="s">
        <v>1369</v>
      </c>
      <c r="P42" s="2" t="s">
        <v>1296</v>
      </c>
    </row>
    <row r="43">
      <c r="A43" s="4" t="s">
        <v>32</v>
      </c>
      <c r="B43" s="5">
        <v>910.0</v>
      </c>
      <c r="C43" s="5">
        <v>3527762.0</v>
      </c>
      <c r="D43" s="5">
        <v>3533546.0</v>
      </c>
      <c r="E43" s="2" t="s">
        <v>61</v>
      </c>
      <c r="F43" s="2"/>
      <c r="G43" s="2" t="s">
        <v>62</v>
      </c>
      <c r="H43" s="2"/>
      <c r="I43" s="5">
        <v>1937.0</v>
      </c>
      <c r="J43" s="2" t="s">
        <v>63</v>
      </c>
      <c r="K43" s="2" t="s">
        <v>64</v>
      </c>
      <c r="L43" s="2" t="s">
        <v>65</v>
      </c>
      <c r="M43" s="2" t="s">
        <v>1370</v>
      </c>
      <c r="N43" s="2" t="s">
        <v>35</v>
      </c>
      <c r="O43" s="2" t="s">
        <v>1371</v>
      </c>
      <c r="P43" s="2" t="s">
        <v>1296</v>
      </c>
    </row>
    <row r="44">
      <c r="A44" s="4" t="s">
        <v>32</v>
      </c>
      <c r="B44" s="5">
        <v>949.0</v>
      </c>
      <c r="C44" s="5">
        <v>204480.0</v>
      </c>
      <c r="D44" s="5">
        <v>211426.0</v>
      </c>
      <c r="E44" s="2" t="s">
        <v>110</v>
      </c>
      <c r="F44" s="2"/>
      <c r="G44" s="2" t="s">
        <v>111</v>
      </c>
      <c r="H44" s="2"/>
      <c r="I44" s="5">
        <v>1954.0</v>
      </c>
      <c r="J44" s="2" t="s">
        <v>112</v>
      </c>
      <c r="K44" s="2" t="s">
        <v>65</v>
      </c>
      <c r="L44" s="2" t="s">
        <v>65</v>
      </c>
      <c r="M44" s="2" t="s">
        <v>1372</v>
      </c>
      <c r="N44" s="2" t="s">
        <v>35</v>
      </c>
      <c r="O44" s="2" t="s">
        <v>1373</v>
      </c>
      <c r="P44" s="2" t="s">
        <v>1296</v>
      </c>
    </row>
    <row r="45">
      <c r="A45" s="4" t="s">
        <v>32</v>
      </c>
      <c r="B45" s="5">
        <v>949.0</v>
      </c>
      <c r="C45" s="5">
        <v>204480.0</v>
      </c>
      <c r="D45" s="5">
        <v>211426.0</v>
      </c>
      <c r="E45" s="2" t="s">
        <v>110</v>
      </c>
      <c r="F45" s="2"/>
      <c r="G45" s="2" t="s">
        <v>111</v>
      </c>
      <c r="H45" s="2"/>
      <c r="I45" s="5">
        <v>1954.0</v>
      </c>
      <c r="J45" s="2" t="s">
        <v>112</v>
      </c>
      <c r="K45" s="2" t="s">
        <v>65</v>
      </c>
      <c r="L45" s="2" t="s">
        <v>65</v>
      </c>
      <c r="M45" s="2" t="s">
        <v>1374</v>
      </c>
      <c r="N45" s="2" t="s">
        <v>35</v>
      </c>
      <c r="O45" s="2" t="s">
        <v>1375</v>
      </c>
      <c r="P45" s="2" t="s">
        <v>1316</v>
      </c>
    </row>
    <row r="46">
      <c r="A46" s="4" t="s">
        <v>32</v>
      </c>
      <c r="B46" s="5">
        <v>950.0</v>
      </c>
      <c r="C46" s="5">
        <v>213373.0</v>
      </c>
      <c r="D46" s="5">
        <v>217079.0</v>
      </c>
      <c r="E46" s="2" t="s">
        <v>110</v>
      </c>
      <c r="F46" s="2"/>
      <c r="G46" s="2" t="s">
        <v>111</v>
      </c>
      <c r="H46" s="2"/>
      <c r="I46" s="5">
        <v>1954.0</v>
      </c>
      <c r="J46" s="2" t="s">
        <v>112</v>
      </c>
      <c r="K46" s="2" t="s">
        <v>65</v>
      </c>
      <c r="L46" s="2" t="s">
        <v>65</v>
      </c>
      <c r="M46" s="2" t="s">
        <v>1376</v>
      </c>
      <c r="N46" s="2" t="s">
        <v>45</v>
      </c>
      <c r="O46" s="2" t="s">
        <v>1377</v>
      </c>
      <c r="P46" s="2" t="s">
        <v>1296</v>
      </c>
    </row>
    <row r="47">
      <c r="A47" s="4" t="s">
        <v>32</v>
      </c>
      <c r="B47" s="5">
        <v>964.0</v>
      </c>
      <c r="C47" s="5">
        <v>291786.0</v>
      </c>
      <c r="D47" s="5">
        <v>305880.0</v>
      </c>
      <c r="E47" s="2" t="s">
        <v>110</v>
      </c>
      <c r="F47" s="2"/>
      <c r="G47" s="2" t="s">
        <v>111</v>
      </c>
      <c r="H47" s="2"/>
      <c r="I47" s="5">
        <v>1954.0</v>
      </c>
      <c r="J47" s="2" t="s">
        <v>112</v>
      </c>
      <c r="K47" s="2" t="s">
        <v>65</v>
      </c>
      <c r="L47" s="2" t="s">
        <v>65</v>
      </c>
      <c r="M47" s="2" t="s">
        <v>1378</v>
      </c>
      <c r="N47" s="2" t="s">
        <v>35</v>
      </c>
      <c r="O47" s="2" t="s">
        <v>1379</v>
      </c>
      <c r="P47" s="2" t="s">
        <v>1316</v>
      </c>
    </row>
    <row r="48">
      <c r="A48" s="4" t="s">
        <v>32</v>
      </c>
      <c r="B48" s="5">
        <v>965.0</v>
      </c>
      <c r="C48" s="5">
        <v>306706.0</v>
      </c>
      <c r="D48" s="5">
        <v>313066.0</v>
      </c>
      <c r="E48" s="2" t="s">
        <v>110</v>
      </c>
      <c r="F48" s="2"/>
      <c r="G48" s="2" t="s">
        <v>111</v>
      </c>
      <c r="H48" s="2"/>
      <c r="I48" s="5">
        <v>1954.0</v>
      </c>
      <c r="J48" s="2" t="s">
        <v>112</v>
      </c>
      <c r="K48" s="2" t="s">
        <v>65</v>
      </c>
      <c r="L48" s="2" t="s">
        <v>65</v>
      </c>
      <c r="M48" s="2" t="s">
        <v>1380</v>
      </c>
      <c r="N48" s="2" t="s">
        <v>35</v>
      </c>
      <c r="O48" s="2" t="s">
        <v>1381</v>
      </c>
      <c r="P48" s="2" t="s">
        <v>1296</v>
      </c>
    </row>
    <row r="49">
      <c r="A49" s="4" t="s">
        <v>32</v>
      </c>
      <c r="B49" s="5">
        <v>986.0</v>
      </c>
      <c r="C49" s="5">
        <v>431506.0</v>
      </c>
      <c r="D49" s="5">
        <v>445599.0</v>
      </c>
      <c r="E49" s="2" t="s">
        <v>110</v>
      </c>
      <c r="F49" s="2"/>
      <c r="G49" s="2" t="s">
        <v>111</v>
      </c>
      <c r="H49" s="2"/>
      <c r="I49" s="5">
        <v>1954.0</v>
      </c>
      <c r="J49" s="2" t="s">
        <v>112</v>
      </c>
      <c r="K49" s="2" t="s">
        <v>65</v>
      </c>
      <c r="L49" s="2" t="s">
        <v>65</v>
      </c>
      <c r="M49" s="2" t="s">
        <v>1382</v>
      </c>
      <c r="N49" s="2" t="s">
        <v>35</v>
      </c>
      <c r="O49" s="2" t="s">
        <v>1383</v>
      </c>
      <c r="P49" s="2" t="s">
        <v>1296</v>
      </c>
    </row>
    <row r="50">
      <c r="A50" s="4" t="s">
        <v>32</v>
      </c>
      <c r="B50" s="5">
        <v>992.0</v>
      </c>
      <c r="C50" s="5">
        <v>469079.0</v>
      </c>
      <c r="D50" s="5">
        <v>481880.0</v>
      </c>
      <c r="E50" s="2" t="s">
        <v>110</v>
      </c>
      <c r="F50" s="2"/>
      <c r="G50" s="2" t="s">
        <v>111</v>
      </c>
      <c r="H50" s="2"/>
      <c r="I50" s="5">
        <v>1954.0</v>
      </c>
      <c r="J50" s="2" t="s">
        <v>112</v>
      </c>
      <c r="K50" s="2" t="s">
        <v>65</v>
      </c>
      <c r="L50" s="2" t="s">
        <v>65</v>
      </c>
      <c r="M50" s="2" t="s">
        <v>1384</v>
      </c>
      <c r="N50" s="2" t="s">
        <v>35</v>
      </c>
      <c r="O50" s="2" t="s">
        <v>1385</v>
      </c>
      <c r="P50" s="2" t="s">
        <v>1316</v>
      </c>
    </row>
    <row r="51">
      <c r="A51" s="4" t="s">
        <v>32</v>
      </c>
      <c r="B51" s="5">
        <v>1016.0</v>
      </c>
      <c r="C51" s="5">
        <v>631346.0</v>
      </c>
      <c r="D51" s="5">
        <v>635559.0</v>
      </c>
      <c r="E51" s="2" t="s">
        <v>110</v>
      </c>
      <c r="F51" s="2"/>
      <c r="G51" s="2" t="s">
        <v>111</v>
      </c>
      <c r="H51" s="2"/>
      <c r="I51" s="5">
        <v>1954.0</v>
      </c>
      <c r="J51" s="2" t="s">
        <v>112</v>
      </c>
      <c r="K51" s="2" t="s">
        <v>65</v>
      </c>
      <c r="L51" s="2" t="s">
        <v>65</v>
      </c>
      <c r="M51" s="2" t="s">
        <v>1386</v>
      </c>
      <c r="N51" s="2" t="s">
        <v>35</v>
      </c>
      <c r="O51" s="2" t="s">
        <v>1387</v>
      </c>
      <c r="P51" s="2" t="s">
        <v>1388</v>
      </c>
    </row>
    <row r="52">
      <c r="A52" s="4" t="s">
        <v>32</v>
      </c>
      <c r="B52" s="5">
        <v>1028.0</v>
      </c>
      <c r="C52" s="5">
        <v>698706.0</v>
      </c>
      <c r="D52" s="5">
        <v>711092.0</v>
      </c>
      <c r="E52" s="2" t="s">
        <v>110</v>
      </c>
      <c r="F52" s="2"/>
      <c r="G52" s="2" t="s">
        <v>111</v>
      </c>
      <c r="H52" s="2"/>
      <c r="I52" s="5">
        <v>1954.0</v>
      </c>
      <c r="J52" s="2" t="s">
        <v>112</v>
      </c>
      <c r="K52" s="2" t="s">
        <v>65</v>
      </c>
      <c r="L52" s="2" t="s">
        <v>65</v>
      </c>
      <c r="M52" s="2" t="s">
        <v>1389</v>
      </c>
      <c r="N52" s="2" t="s">
        <v>35</v>
      </c>
      <c r="O52" s="2" t="s">
        <v>1390</v>
      </c>
      <c r="P52" s="2" t="s">
        <v>1296</v>
      </c>
    </row>
    <row r="53">
      <c r="A53" s="4" t="s">
        <v>32</v>
      </c>
      <c r="B53" s="5">
        <v>1028.0</v>
      </c>
      <c r="C53" s="5">
        <v>698706.0</v>
      </c>
      <c r="D53" s="5">
        <v>711092.0</v>
      </c>
      <c r="E53" s="2" t="s">
        <v>110</v>
      </c>
      <c r="F53" s="2"/>
      <c r="G53" s="2" t="s">
        <v>111</v>
      </c>
      <c r="H53" s="2"/>
      <c r="I53" s="5">
        <v>1954.0</v>
      </c>
      <c r="J53" s="2" t="s">
        <v>112</v>
      </c>
      <c r="K53" s="2" t="s">
        <v>65</v>
      </c>
      <c r="L53" s="2" t="s">
        <v>65</v>
      </c>
      <c r="M53" s="2" t="s">
        <v>1391</v>
      </c>
      <c r="N53" s="2" t="s">
        <v>35</v>
      </c>
      <c r="O53" s="2" t="s">
        <v>1392</v>
      </c>
      <c r="P53" s="2" t="s">
        <v>1296</v>
      </c>
    </row>
    <row r="54">
      <c r="A54" s="4" t="s">
        <v>32</v>
      </c>
      <c r="B54" s="5">
        <v>1037.0</v>
      </c>
      <c r="C54" s="5">
        <v>764960.0</v>
      </c>
      <c r="D54" s="5">
        <v>774400.0</v>
      </c>
      <c r="E54" s="2" t="s">
        <v>110</v>
      </c>
      <c r="F54" s="2"/>
      <c r="G54" s="2" t="s">
        <v>111</v>
      </c>
      <c r="H54" s="2"/>
      <c r="I54" s="5">
        <v>1954.0</v>
      </c>
      <c r="J54" s="2" t="s">
        <v>112</v>
      </c>
      <c r="K54" s="2" t="s">
        <v>65</v>
      </c>
      <c r="L54" s="2" t="s">
        <v>65</v>
      </c>
      <c r="M54" s="2" t="s">
        <v>88</v>
      </c>
      <c r="N54" s="2" t="s">
        <v>35</v>
      </c>
      <c r="O54" s="2" t="s">
        <v>1393</v>
      </c>
      <c r="P54" s="2" t="s">
        <v>1298</v>
      </c>
    </row>
    <row r="55">
      <c r="A55" s="4" t="s">
        <v>32</v>
      </c>
      <c r="B55" s="5">
        <v>1037.0</v>
      </c>
      <c r="C55" s="5">
        <v>764960.0</v>
      </c>
      <c r="D55" s="5">
        <v>774400.0</v>
      </c>
      <c r="E55" s="2" t="s">
        <v>110</v>
      </c>
      <c r="F55" s="2"/>
      <c r="G55" s="2" t="s">
        <v>111</v>
      </c>
      <c r="H55" s="2"/>
      <c r="I55" s="5">
        <v>1954.0</v>
      </c>
      <c r="J55" s="2" t="s">
        <v>112</v>
      </c>
      <c r="K55" s="2" t="s">
        <v>65</v>
      </c>
      <c r="L55" s="2" t="s">
        <v>65</v>
      </c>
      <c r="M55" s="2" t="s">
        <v>1394</v>
      </c>
      <c r="N55" s="2" t="s">
        <v>35</v>
      </c>
      <c r="O55" s="2" t="s">
        <v>1395</v>
      </c>
      <c r="P55" s="2" t="s">
        <v>1316</v>
      </c>
    </row>
    <row r="56">
      <c r="A56" s="4" t="s">
        <v>32</v>
      </c>
      <c r="B56" s="5">
        <v>1043.0</v>
      </c>
      <c r="C56" s="5">
        <v>801466.0</v>
      </c>
      <c r="D56" s="5">
        <v>804586.0</v>
      </c>
      <c r="E56" s="2" t="s">
        <v>110</v>
      </c>
      <c r="F56" s="2"/>
      <c r="G56" s="2" t="s">
        <v>111</v>
      </c>
      <c r="H56" s="2"/>
      <c r="I56" s="5">
        <v>1954.0</v>
      </c>
      <c r="J56" s="2" t="s">
        <v>112</v>
      </c>
      <c r="K56" s="2" t="s">
        <v>65</v>
      </c>
      <c r="L56" s="2" t="s">
        <v>65</v>
      </c>
      <c r="M56" s="2" t="s">
        <v>1396</v>
      </c>
      <c r="N56" s="2" t="s">
        <v>35</v>
      </c>
      <c r="O56" s="2" t="s">
        <v>1397</v>
      </c>
      <c r="P56" s="2" t="s">
        <v>1296</v>
      </c>
    </row>
    <row r="57">
      <c r="A57" s="4" t="s">
        <v>32</v>
      </c>
      <c r="B57" s="5">
        <v>1046.0</v>
      </c>
      <c r="C57" s="5">
        <v>818506.0</v>
      </c>
      <c r="D57" s="5">
        <v>835213.0</v>
      </c>
      <c r="E57" s="2" t="s">
        <v>110</v>
      </c>
      <c r="F57" s="2"/>
      <c r="G57" s="2" t="s">
        <v>111</v>
      </c>
      <c r="H57" s="2"/>
      <c r="I57" s="5">
        <v>1954.0</v>
      </c>
      <c r="J57" s="2" t="s">
        <v>112</v>
      </c>
      <c r="K57" s="2" t="s">
        <v>65</v>
      </c>
      <c r="L57" s="2" t="s">
        <v>65</v>
      </c>
      <c r="M57" s="2" t="s">
        <v>1398</v>
      </c>
      <c r="N57" s="2" t="s">
        <v>35</v>
      </c>
      <c r="O57" s="2" t="s">
        <v>1399</v>
      </c>
      <c r="P57" s="2" t="s">
        <v>1316</v>
      </c>
    </row>
    <row r="58">
      <c r="A58" s="4" t="s">
        <v>32</v>
      </c>
      <c r="B58" s="5">
        <v>1065.0</v>
      </c>
      <c r="C58" s="5">
        <v>926599.0</v>
      </c>
      <c r="D58" s="5">
        <v>933186.0</v>
      </c>
      <c r="E58" s="2" t="s">
        <v>110</v>
      </c>
      <c r="F58" s="2"/>
      <c r="G58" s="2" t="s">
        <v>111</v>
      </c>
      <c r="H58" s="2"/>
      <c r="I58" s="5">
        <v>1954.0</v>
      </c>
      <c r="J58" s="2" t="s">
        <v>112</v>
      </c>
      <c r="K58" s="2" t="s">
        <v>65</v>
      </c>
      <c r="L58" s="2" t="s">
        <v>65</v>
      </c>
      <c r="M58" s="2" t="s">
        <v>1400</v>
      </c>
      <c r="N58" s="2" t="s">
        <v>35</v>
      </c>
      <c r="O58" s="2" t="s">
        <v>1401</v>
      </c>
      <c r="P58" s="2" t="s">
        <v>1296</v>
      </c>
    </row>
    <row r="59">
      <c r="A59" s="4" t="s">
        <v>32</v>
      </c>
      <c r="B59" s="5">
        <v>1070.0</v>
      </c>
      <c r="C59" s="5">
        <v>962866.0</v>
      </c>
      <c r="D59" s="5">
        <v>967586.0</v>
      </c>
      <c r="E59" s="2" t="s">
        <v>110</v>
      </c>
      <c r="F59" s="2"/>
      <c r="G59" s="2" t="s">
        <v>111</v>
      </c>
      <c r="H59" s="2"/>
      <c r="I59" s="5">
        <v>1954.0</v>
      </c>
      <c r="J59" s="2" t="s">
        <v>112</v>
      </c>
      <c r="K59" s="2" t="s">
        <v>65</v>
      </c>
      <c r="L59" s="2" t="s">
        <v>65</v>
      </c>
      <c r="M59" s="2" t="s">
        <v>1402</v>
      </c>
      <c r="N59" s="2" t="s">
        <v>35</v>
      </c>
      <c r="O59" s="2" t="s">
        <v>1403</v>
      </c>
      <c r="P59" s="2" t="s">
        <v>1296</v>
      </c>
    </row>
    <row r="60">
      <c r="A60" s="4" t="s">
        <v>32</v>
      </c>
      <c r="B60" s="5">
        <v>1077.0</v>
      </c>
      <c r="C60" s="5">
        <v>988679.0</v>
      </c>
      <c r="D60" s="5">
        <v>1001306.0</v>
      </c>
      <c r="E60" s="2" t="s">
        <v>110</v>
      </c>
      <c r="F60" s="2"/>
      <c r="G60" s="2" t="s">
        <v>111</v>
      </c>
      <c r="H60" s="2"/>
      <c r="I60" s="5">
        <v>1954.0</v>
      </c>
      <c r="J60" s="2" t="s">
        <v>112</v>
      </c>
      <c r="K60" s="2" t="s">
        <v>65</v>
      </c>
      <c r="L60" s="2" t="s">
        <v>65</v>
      </c>
      <c r="M60" s="2" t="s">
        <v>1404</v>
      </c>
      <c r="N60" s="2" t="s">
        <v>35</v>
      </c>
      <c r="O60" s="2" t="s">
        <v>1405</v>
      </c>
      <c r="P60" s="2" t="s">
        <v>1296</v>
      </c>
    </row>
    <row r="61">
      <c r="A61" s="4" t="s">
        <v>32</v>
      </c>
      <c r="B61" s="5">
        <v>1082.0</v>
      </c>
      <c r="C61" s="5">
        <v>1011253.0</v>
      </c>
      <c r="D61" s="5">
        <v>1027800.0</v>
      </c>
      <c r="E61" s="2" t="s">
        <v>110</v>
      </c>
      <c r="F61" s="2"/>
      <c r="G61" s="2" t="s">
        <v>111</v>
      </c>
      <c r="H61" s="2"/>
      <c r="I61" s="5">
        <v>1954.0</v>
      </c>
      <c r="J61" s="2" t="s">
        <v>112</v>
      </c>
      <c r="K61" s="2" t="s">
        <v>65</v>
      </c>
      <c r="L61" s="2" t="s">
        <v>65</v>
      </c>
      <c r="M61" s="2" t="s">
        <v>1406</v>
      </c>
      <c r="N61" s="2" t="s">
        <v>35</v>
      </c>
      <c r="O61" s="2" t="s">
        <v>1407</v>
      </c>
      <c r="P61" s="2" t="s">
        <v>1296</v>
      </c>
    </row>
    <row r="62">
      <c r="A62" s="4" t="s">
        <v>32</v>
      </c>
      <c r="B62" s="5">
        <v>1086.0</v>
      </c>
      <c r="C62" s="5">
        <v>1053020.0</v>
      </c>
      <c r="D62" s="5">
        <v>1071920.0</v>
      </c>
      <c r="E62" s="2" t="s">
        <v>110</v>
      </c>
      <c r="F62" s="2"/>
      <c r="G62" s="2" t="s">
        <v>111</v>
      </c>
      <c r="H62" s="2"/>
      <c r="I62" s="5">
        <v>1954.0</v>
      </c>
      <c r="J62" s="2" t="s">
        <v>112</v>
      </c>
      <c r="K62" s="2" t="s">
        <v>65</v>
      </c>
      <c r="L62" s="2" t="s">
        <v>65</v>
      </c>
      <c r="M62" s="2" t="s">
        <v>1408</v>
      </c>
      <c r="N62" s="2" t="s">
        <v>35</v>
      </c>
      <c r="O62" s="2" t="s">
        <v>1409</v>
      </c>
      <c r="P62" s="2" t="s">
        <v>1296</v>
      </c>
    </row>
    <row r="63">
      <c r="A63" s="4" t="s">
        <v>32</v>
      </c>
      <c r="B63" s="5">
        <v>1090.0</v>
      </c>
      <c r="C63" s="5">
        <v>1081640.0</v>
      </c>
      <c r="D63" s="5">
        <v>1087340.0</v>
      </c>
      <c r="E63" s="2" t="s">
        <v>110</v>
      </c>
      <c r="F63" s="2"/>
      <c r="G63" s="2" t="s">
        <v>111</v>
      </c>
      <c r="H63" s="2"/>
      <c r="I63" s="5">
        <v>1954.0</v>
      </c>
      <c r="J63" s="2" t="s">
        <v>112</v>
      </c>
      <c r="K63" s="2" t="s">
        <v>65</v>
      </c>
      <c r="L63" s="2" t="s">
        <v>65</v>
      </c>
      <c r="M63" s="2" t="s">
        <v>1410</v>
      </c>
      <c r="N63" s="2" t="s">
        <v>35</v>
      </c>
      <c r="O63" s="2" t="s">
        <v>1411</v>
      </c>
      <c r="P63" s="2" t="s">
        <v>1296</v>
      </c>
    </row>
    <row r="64">
      <c r="A64" s="4" t="s">
        <v>32</v>
      </c>
      <c r="B64" s="5">
        <v>1094.0</v>
      </c>
      <c r="C64" s="5">
        <v>1100020.0</v>
      </c>
      <c r="D64" s="5">
        <v>1106840.0</v>
      </c>
      <c r="E64" s="2" t="s">
        <v>110</v>
      </c>
      <c r="F64" s="2"/>
      <c r="G64" s="2" t="s">
        <v>111</v>
      </c>
      <c r="H64" s="2"/>
      <c r="I64" s="5">
        <v>1954.0</v>
      </c>
      <c r="J64" s="2" t="s">
        <v>112</v>
      </c>
      <c r="K64" s="2" t="s">
        <v>65</v>
      </c>
      <c r="L64" s="2" t="s">
        <v>65</v>
      </c>
      <c r="M64" s="2" t="s">
        <v>1259</v>
      </c>
      <c r="N64" s="2" t="s">
        <v>35</v>
      </c>
      <c r="O64" s="2" t="s">
        <v>1412</v>
      </c>
      <c r="P64" s="2" t="s">
        <v>1296</v>
      </c>
    </row>
    <row r="65">
      <c r="A65" s="4" t="s">
        <v>32</v>
      </c>
      <c r="B65" s="5">
        <v>1095.0</v>
      </c>
      <c r="C65" s="5">
        <v>1107580.0</v>
      </c>
      <c r="D65" s="5">
        <v>1115960.0</v>
      </c>
      <c r="E65" s="2" t="s">
        <v>110</v>
      </c>
      <c r="F65" s="2"/>
      <c r="G65" s="2" t="s">
        <v>111</v>
      </c>
      <c r="H65" s="2"/>
      <c r="I65" s="5">
        <v>1954.0</v>
      </c>
      <c r="J65" s="2" t="s">
        <v>112</v>
      </c>
      <c r="K65" s="2" t="s">
        <v>65</v>
      </c>
      <c r="L65" s="2" t="s">
        <v>65</v>
      </c>
      <c r="M65" s="2" t="s">
        <v>1413</v>
      </c>
      <c r="N65" s="2" t="s">
        <v>35</v>
      </c>
      <c r="O65" s="2" t="s">
        <v>1414</v>
      </c>
      <c r="P65" s="2" t="s">
        <v>1296</v>
      </c>
    </row>
    <row r="66">
      <c r="A66" s="4" t="s">
        <v>32</v>
      </c>
      <c r="B66" s="5">
        <v>1113.0</v>
      </c>
      <c r="C66" s="5">
        <v>1209120.0</v>
      </c>
      <c r="D66" s="5">
        <v>1217220.0</v>
      </c>
      <c r="E66" s="2" t="s">
        <v>110</v>
      </c>
      <c r="F66" s="2"/>
      <c r="G66" s="2" t="s">
        <v>111</v>
      </c>
      <c r="H66" s="2"/>
      <c r="I66" s="5">
        <v>1954.0</v>
      </c>
      <c r="J66" s="2" t="s">
        <v>112</v>
      </c>
      <c r="K66" s="2" t="s">
        <v>65</v>
      </c>
      <c r="L66" s="2" t="s">
        <v>65</v>
      </c>
      <c r="M66" s="2" t="s">
        <v>1415</v>
      </c>
      <c r="N66" s="2" t="s">
        <v>35</v>
      </c>
      <c r="O66" s="2" t="s">
        <v>1416</v>
      </c>
      <c r="P66" s="2" t="s">
        <v>1296</v>
      </c>
    </row>
    <row r="67">
      <c r="A67" s="4" t="s">
        <v>32</v>
      </c>
      <c r="B67" s="5">
        <v>1122.0</v>
      </c>
      <c r="C67" s="5">
        <v>1274400.0</v>
      </c>
      <c r="D67" s="5">
        <v>1293080.0</v>
      </c>
      <c r="E67" s="2" t="s">
        <v>110</v>
      </c>
      <c r="F67" s="2"/>
      <c r="G67" s="2" t="s">
        <v>111</v>
      </c>
      <c r="H67" s="2"/>
      <c r="I67" s="5">
        <v>1954.0</v>
      </c>
      <c r="J67" s="2" t="s">
        <v>112</v>
      </c>
      <c r="K67" s="2" t="s">
        <v>65</v>
      </c>
      <c r="L67" s="2" t="s">
        <v>65</v>
      </c>
      <c r="M67" s="2" t="s">
        <v>1417</v>
      </c>
      <c r="N67" s="2" t="s">
        <v>45</v>
      </c>
      <c r="O67" s="16" t="str">
        <f> по - моему, сорок три или сорок восемь квадратов там, раздельно что. Вот дочка на выданье будет, куда, чего, что. А потом раз у человека на генетическом уровне забит это, они же вот эта ностальгия, деревенские они всё равно, к земле их тянет, вот.</f>
        <v>#ERROR!</v>
      </c>
      <c r="P67" s="2" t="s">
        <v>1300</v>
      </c>
    </row>
    <row r="68">
      <c r="A68" s="4" t="s">
        <v>32</v>
      </c>
      <c r="B68" s="5">
        <v>1136.0</v>
      </c>
      <c r="C68" s="5">
        <v>1387020.0</v>
      </c>
      <c r="D68" s="5">
        <v>1396786.0</v>
      </c>
      <c r="E68" s="2" t="s">
        <v>110</v>
      </c>
      <c r="F68" s="2"/>
      <c r="G68" s="2" t="s">
        <v>111</v>
      </c>
      <c r="H68" s="2"/>
      <c r="I68" s="5">
        <v>1954.0</v>
      </c>
      <c r="J68" s="2" t="s">
        <v>112</v>
      </c>
      <c r="K68" s="2" t="s">
        <v>65</v>
      </c>
      <c r="L68" s="2" t="s">
        <v>65</v>
      </c>
      <c r="M68" s="2" t="s">
        <v>1418</v>
      </c>
      <c r="N68" s="2" t="s">
        <v>35</v>
      </c>
      <c r="O68" s="2" t="s">
        <v>1419</v>
      </c>
      <c r="P68" s="2" t="s">
        <v>1316</v>
      </c>
    </row>
    <row r="69">
      <c r="A69" s="4" t="s">
        <v>32</v>
      </c>
      <c r="B69" s="5">
        <v>1139.0</v>
      </c>
      <c r="C69" s="5">
        <v>1404866.0</v>
      </c>
      <c r="D69" s="5">
        <v>1412720.0</v>
      </c>
      <c r="E69" s="2" t="s">
        <v>110</v>
      </c>
      <c r="F69" s="2"/>
      <c r="G69" s="2" t="s">
        <v>111</v>
      </c>
      <c r="H69" s="2"/>
      <c r="I69" s="5">
        <v>1954.0</v>
      </c>
      <c r="J69" s="2" t="s">
        <v>112</v>
      </c>
      <c r="K69" s="2" t="s">
        <v>65</v>
      </c>
      <c r="L69" s="2" t="s">
        <v>65</v>
      </c>
      <c r="M69" s="2" t="s">
        <v>249</v>
      </c>
      <c r="N69" s="2" t="s">
        <v>35</v>
      </c>
      <c r="O69" s="2" t="s">
        <v>1420</v>
      </c>
      <c r="P69" s="2" t="s">
        <v>1316</v>
      </c>
    </row>
    <row r="70">
      <c r="A70" s="4" t="s">
        <v>32</v>
      </c>
      <c r="B70" s="5">
        <v>1142.0</v>
      </c>
      <c r="C70" s="5">
        <v>1422079.0</v>
      </c>
      <c r="D70" s="5">
        <v>1428866.0</v>
      </c>
      <c r="E70" s="2" t="s">
        <v>110</v>
      </c>
      <c r="F70" s="2"/>
      <c r="G70" s="2" t="s">
        <v>111</v>
      </c>
      <c r="H70" s="2"/>
      <c r="I70" s="5">
        <v>1954.0</v>
      </c>
      <c r="J70" s="2" t="s">
        <v>112</v>
      </c>
      <c r="K70" s="2" t="s">
        <v>65</v>
      </c>
      <c r="L70" s="2" t="s">
        <v>65</v>
      </c>
      <c r="M70" s="2" t="s">
        <v>1421</v>
      </c>
      <c r="N70" s="2" t="s">
        <v>35</v>
      </c>
      <c r="O70" s="2" t="s">
        <v>1422</v>
      </c>
      <c r="P70" s="2" t="s">
        <v>1316</v>
      </c>
    </row>
    <row r="71">
      <c r="A71" s="4" t="s">
        <v>32</v>
      </c>
      <c r="B71" s="5">
        <v>1146.0</v>
      </c>
      <c r="C71" s="5">
        <v>1446293.0</v>
      </c>
      <c r="D71" s="5">
        <v>1456266.0</v>
      </c>
      <c r="E71" s="2" t="s">
        <v>110</v>
      </c>
      <c r="F71" s="2"/>
      <c r="G71" s="2" t="s">
        <v>111</v>
      </c>
      <c r="H71" s="2"/>
      <c r="I71" s="5">
        <v>1954.0</v>
      </c>
      <c r="J71" s="2" t="s">
        <v>112</v>
      </c>
      <c r="K71" s="2" t="s">
        <v>65</v>
      </c>
      <c r="L71" s="2" t="s">
        <v>65</v>
      </c>
      <c r="M71" s="2" t="s">
        <v>1423</v>
      </c>
      <c r="N71" s="2" t="s">
        <v>35</v>
      </c>
      <c r="O71" s="2" t="s">
        <v>1424</v>
      </c>
      <c r="P71" s="2" t="s">
        <v>1316</v>
      </c>
    </row>
    <row r="72">
      <c r="A72" s="4" t="s">
        <v>32</v>
      </c>
      <c r="B72" s="5">
        <v>1146.0</v>
      </c>
      <c r="C72" s="5">
        <v>1446293.0</v>
      </c>
      <c r="D72" s="5">
        <v>1456266.0</v>
      </c>
      <c r="E72" s="2" t="s">
        <v>110</v>
      </c>
      <c r="F72" s="2"/>
      <c r="G72" s="2" t="s">
        <v>111</v>
      </c>
      <c r="H72" s="2"/>
      <c r="I72" s="5">
        <v>1954.0</v>
      </c>
      <c r="J72" s="2" t="s">
        <v>112</v>
      </c>
      <c r="K72" s="2" t="s">
        <v>65</v>
      </c>
      <c r="L72" s="2" t="s">
        <v>65</v>
      </c>
      <c r="M72" s="2" t="s">
        <v>1425</v>
      </c>
      <c r="N72" s="2" t="s">
        <v>35</v>
      </c>
      <c r="O72" s="2" t="s">
        <v>1426</v>
      </c>
      <c r="P72" s="2" t="s">
        <v>1316</v>
      </c>
    </row>
    <row r="73">
      <c r="A73" s="4" t="s">
        <v>32</v>
      </c>
      <c r="B73" s="5">
        <v>1160.0</v>
      </c>
      <c r="C73" s="5">
        <v>1540706.0</v>
      </c>
      <c r="D73" s="5">
        <v>1546773.0</v>
      </c>
      <c r="E73" s="2" t="s">
        <v>110</v>
      </c>
      <c r="F73" s="2"/>
      <c r="G73" s="2" t="s">
        <v>111</v>
      </c>
      <c r="H73" s="2"/>
      <c r="I73" s="5">
        <v>1954.0</v>
      </c>
      <c r="J73" s="2" t="s">
        <v>112</v>
      </c>
      <c r="K73" s="2" t="s">
        <v>65</v>
      </c>
      <c r="L73" s="2" t="s">
        <v>65</v>
      </c>
      <c r="M73" s="2" t="s">
        <v>1427</v>
      </c>
      <c r="N73" s="2" t="s">
        <v>35</v>
      </c>
      <c r="O73" s="2" t="s">
        <v>1428</v>
      </c>
      <c r="P73" s="2" t="s">
        <v>1316</v>
      </c>
    </row>
    <row r="74">
      <c r="A74" s="4" t="s">
        <v>32</v>
      </c>
      <c r="B74" s="5">
        <v>1161.0</v>
      </c>
      <c r="C74" s="5">
        <v>1547213.0</v>
      </c>
      <c r="D74" s="5">
        <v>1552599.0</v>
      </c>
      <c r="E74" s="2" t="s">
        <v>110</v>
      </c>
      <c r="F74" s="2"/>
      <c r="G74" s="2" t="s">
        <v>111</v>
      </c>
      <c r="H74" s="2"/>
      <c r="I74" s="5">
        <v>1954.0</v>
      </c>
      <c r="J74" s="2" t="s">
        <v>112</v>
      </c>
      <c r="K74" s="2" t="s">
        <v>65</v>
      </c>
      <c r="L74" s="2" t="s">
        <v>65</v>
      </c>
      <c r="M74" s="2" t="s">
        <v>1429</v>
      </c>
      <c r="N74" s="2" t="s">
        <v>35</v>
      </c>
      <c r="O74" s="2" t="s">
        <v>1430</v>
      </c>
      <c r="P74" s="2" t="s">
        <v>1316</v>
      </c>
    </row>
    <row r="75">
      <c r="A75" s="4" t="s">
        <v>32</v>
      </c>
      <c r="B75" s="5">
        <v>1167.0</v>
      </c>
      <c r="C75" s="5">
        <v>1583373.0</v>
      </c>
      <c r="D75" s="5">
        <v>1589360.0</v>
      </c>
      <c r="E75" s="2" t="s">
        <v>110</v>
      </c>
      <c r="F75" s="2"/>
      <c r="G75" s="2" t="s">
        <v>111</v>
      </c>
      <c r="H75" s="2"/>
      <c r="I75" s="5">
        <v>1954.0</v>
      </c>
      <c r="J75" s="2" t="s">
        <v>112</v>
      </c>
      <c r="K75" s="2" t="s">
        <v>65</v>
      </c>
      <c r="L75" s="2" t="s">
        <v>65</v>
      </c>
      <c r="M75" s="2" t="s">
        <v>1431</v>
      </c>
      <c r="N75" s="2" t="s">
        <v>35</v>
      </c>
      <c r="O75" s="2" t="s">
        <v>1432</v>
      </c>
      <c r="P75" s="2" t="s">
        <v>1296</v>
      </c>
    </row>
    <row r="76">
      <c r="A76" s="4" t="s">
        <v>32</v>
      </c>
      <c r="B76" s="5">
        <v>1178.0</v>
      </c>
      <c r="C76" s="5">
        <v>1643719.0</v>
      </c>
      <c r="D76" s="5">
        <v>1657852.0</v>
      </c>
      <c r="E76" s="2" t="s">
        <v>110</v>
      </c>
      <c r="F76" s="2"/>
      <c r="G76" s="2" t="s">
        <v>111</v>
      </c>
      <c r="H76" s="2"/>
      <c r="I76" s="5">
        <v>1954.0</v>
      </c>
      <c r="J76" s="2" t="s">
        <v>112</v>
      </c>
      <c r="K76" s="2" t="s">
        <v>65</v>
      </c>
      <c r="L76" s="2" t="s">
        <v>65</v>
      </c>
      <c r="M76" s="2" t="s">
        <v>1433</v>
      </c>
      <c r="N76" s="2" t="s">
        <v>35</v>
      </c>
      <c r="O76" s="2" t="s">
        <v>1434</v>
      </c>
      <c r="P76" s="2" t="s">
        <v>1316</v>
      </c>
    </row>
    <row r="77">
      <c r="A77" s="4" t="s">
        <v>32</v>
      </c>
      <c r="B77" s="5">
        <v>1185.0</v>
      </c>
      <c r="C77" s="5">
        <v>1700652.0</v>
      </c>
      <c r="D77" s="5">
        <v>1706386.0</v>
      </c>
      <c r="E77" s="2" t="s">
        <v>110</v>
      </c>
      <c r="F77" s="2"/>
      <c r="G77" s="2" t="s">
        <v>111</v>
      </c>
      <c r="H77" s="2"/>
      <c r="I77" s="5">
        <v>1954.0</v>
      </c>
      <c r="J77" s="2" t="s">
        <v>112</v>
      </c>
      <c r="K77" s="2" t="s">
        <v>65</v>
      </c>
      <c r="L77" s="2" t="s">
        <v>65</v>
      </c>
      <c r="M77" s="2" t="s">
        <v>1435</v>
      </c>
      <c r="N77" s="2" t="s">
        <v>35</v>
      </c>
      <c r="O77" s="2" t="s">
        <v>1436</v>
      </c>
      <c r="P77" s="2" t="s">
        <v>1388</v>
      </c>
    </row>
    <row r="78">
      <c r="A78" s="4" t="s">
        <v>32</v>
      </c>
      <c r="B78" s="5">
        <v>1220.0</v>
      </c>
      <c r="C78" s="5">
        <v>246957.0</v>
      </c>
      <c r="D78" s="5">
        <v>266057.0</v>
      </c>
      <c r="E78" s="2" t="s">
        <v>125</v>
      </c>
      <c r="F78" s="2"/>
      <c r="G78" s="2" t="s">
        <v>126</v>
      </c>
      <c r="H78" s="2"/>
      <c r="I78" s="5">
        <v>1935.0</v>
      </c>
      <c r="J78" s="2" t="s">
        <v>63</v>
      </c>
      <c r="K78" s="2" t="s">
        <v>65</v>
      </c>
      <c r="L78" s="2" t="s">
        <v>65</v>
      </c>
      <c r="M78" s="2" t="s">
        <v>1437</v>
      </c>
      <c r="N78" s="2" t="s">
        <v>35</v>
      </c>
      <c r="O78" s="16" t="str">
        <f> один с Юровских друг, призвались вместе, это нашего района.</f>
        <v>#ERROR!</v>
      </c>
      <c r="P78" s="2" t="s">
        <v>1296</v>
      </c>
    </row>
    <row r="79">
      <c r="A79" s="4" t="s">
        <v>32</v>
      </c>
      <c r="B79" s="5">
        <v>1221.0</v>
      </c>
      <c r="C79" s="5">
        <v>266884.0</v>
      </c>
      <c r="D79" s="5">
        <v>280900.0</v>
      </c>
      <c r="E79" s="2" t="s">
        <v>125</v>
      </c>
      <c r="F79" s="2"/>
      <c r="G79" s="2" t="s">
        <v>126</v>
      </c>
      <c r="H79" s="2"/>
      <c r="I79" s="5">
        <v>1935.0</v>
      </c>
      <c r="J79" s="2" t="s">
        <v>63</v>
      </c>
      <c r="K79" s="2" t="s">
        <v>65</v>
      </c>
      <c r="L79" s="2" t="s">
        <v>65</v>
      </c>
      <c r="M79" s="2" t="s">
        <v>1438</v>
      </c>
      <c r="N79" s="2" t="s">
        <v>35</v>
      </c>
      <c r="O79" s="2" t="s">
        <v>1439</v>
      </c>
      <c r="P79" s="2" t="s">
        <v>1296</v>
      </c>
    </row>
    <row r="80">
      <c r="A80" s="4" t="s">
        <v>32</v>
      </c>
      <c r="B80" s="5">
        <v>1245.0</v>
      </c>
      <c r="C80" s="5">
        <v>465822.0</v>
      </c>
      <c r="D80" s="5">
        <v>471922.0</v>
      </c>
      <c r="E80" s="2" t="s">
        <v>125</v>
      </c>
      <c r="F80" s="2"/>
      <c r="G80" s="2" t="s">
        <v>126</v>
      </c>
      <c r="H80" s="2"/>
      <c r="I80" s="5">
        <v>1935.0</v>
      </c>
      <c r="J80" s="2" t="s">
        <v>63</v>
      </c>
      <c r="K80" s="2" t="s">
        <v>65</v>
      </c>
      <c r="L80" s="2" t="s">
        <v>65</v>
      </c>
      <c r="M80" s="2" t="s">
        <v>1440</v>
      </c>
      <c r="N80" s="2" t="s">
        <v>45</v>
      </c>
      <c r="O80" s="16" t="str">
        <f>... Как, известянк, или как, на, говорит, даже за границу на экспорт идёт.</f>
        <v>#ERROR!</v>
      </c>
      <c r="P80" s="2" t="s">
        <v>1300</v>
      </c>
    </row>
    <row r="81">
      <c r="A81" s="4" t="s">
        <v>32</v>
      </c>
      <c r="B81" s="5">
        <v>1247.0</v>
      </c>
      <c r="C81" s="5">
        <v>487125.0</v>
      </c>
      <c r="D81" s="5">
        <v>509450.0</v>
      </c>
      <c r="E81" s="2" t="s">
        <v>125</v>
      </c>
      <c r="F81" s="2"/>
      <c r="G81" s="2" t="s">
        <v>126</v>
      </c>
      <c r="H81" s="2"/>
      <c r="I81" s="5">
        <v>1935.0</v>
      </c>
      <c r="J81" s="2" t="s">
        <v>63</v>
      </c>
      <c r="K81" s="2" t="s">
        <v>65</v>
      </c>
      <c r="L81" s="2" t="s">
        <v>65</v>
      </c>
      <c r="M81" s="2" t="s">
        <v>1441</v>
      </c>
      <c r="N81" s="2" t="s">
        <v>35</v>
      </c>
      <c r="O81" s="2" t="s">
        <v>1442</v>
      </c>
      <c r="P81" s="2" t="s">
        <v>1298</v>
      </c>
    </row>
    <row r="82">
      <c r="A82" s="4" t="s">
        <v>32</v>
      </c>
      <c r="B82" s="5">
        <v>1257.0</v>
      </c>
      <c r="C82" s="5">
        <v>580686.0</v>
      </c>
      <c r="D82" s="5">
        <v>591450.0</v>
      </c>
      <c r="E82" s="2" t="s">
        <v>125</v>
      </c>
      <c r="F82" s="2"/>
      <c r="G82" s="2" t="s">
        <v>126</v>
      </c>
      <c r="H82" s="2"/>
      <c r="I82" s="5">
        <v>1935.0</v>
      </c>
      <c r="J82" s="2" t="s">
        <v>63</v>
      </c>
      <c r="K82" s="2" t="s">
        <v>65</v>
      </c>
      <c r="L82" s="2" t="s">
        <v>65</v>
      </c>
      <c r="M82" s="2" t="s">
        <v>1443</v>
      </c>
      <c r="N82" s="2" t="s">
        <v>35</v>
      </c>
      <c r="O82" s="2" t="s">
        <v>1444</v>
      </c>
      <c r="P82" s="2" t="s">
        <v>1316</v>
      </c>
    </row>
    <row r="83">
      <c r="A83" s="4" t="s">
        <v>32</v>
      </c>
      <c r="B83" s="5">
        <v>1262.0</v>
      </c>
      <c r="C83" s="5">
        <v>608497.0</v>
      </c>
      <c r="D83" s="5">
        <v>610847.0</v>
      </c>
      <c r="E83" s="2" t="s">
        <v>125</v>
      </c>
      <c r="F83" s="2"/>
      <c r="G83" s="2" t="s">
        <v>126</v>
      </c>
      <c r="H83" s="2"/>
      <c r="I83" s="5">
        <v>1935.0</v>
      </c>
      <c r="J83" s="2" t="s">
        <v>63</v>
      </c>
      <c r="K83" s="2" t="s">
        <v>65</v>
      </c>
      <c r="L83" s="2" t="s">
        <v>65</v>
      </c>
      <c r="M83" s="2"/>
      <c r="N83" s="2" t="s">
        <v>45</v>
      </c>
      <c r="O83" s="2" t="s">
        <v>1445</v>
      </c>
      <c r="P83" s="2" t="s">
        <v>1298</v>
      </c>
    </row>
    <row r="84">
      <c r="A84" s="4" t="s">
        <v>32</v>
      </c>
      <c r="B84" s="5">
        <v>1275.0</v>
      </c>
      <c r="C84" s="5">
        <v>768069.0</v>
      </c>
      <c r="D84" s="5">
        <v>783625.0</v>
      </c>
      <c r="E84" s="2" t="s">
        <v>125</v>
      </c>
      <c r="F84" s="2"/>
      <c r="G84" s="2" t="s">
        <v>126</v>
      </c>
      <c r="H84" s="2"/>
      <c r="I84" s="5">
        <v>1935.0</v>
      </c>
      <c r="J84" s="2" t="s">
        <v>63</v>
      </c>
      <c r="K84" s="2" t="s">
        <v>65</v>
      </c>
      <c r="L84" s="2" t="s">
        <v>65</v>
      </c>
      <c r="M84" s="2" t="s">
        <v>1446</v>
      </c>
      <c r="N84" s="2" t="s">
        <v>35</v>
      </c>
      <c r="O84" s="2" t="s">
        <v>1447</v>
      </c>
      <c r="P84" s="2" t="s">
        <v>1296</v>
      </c>
    </row>
    <row r="85">
      <c r="A85" s="4" t="s">
        <v>32</v>
      </c>
      <c r="B85" s="5">
        <v>1285.0</v>
      </c>
      <c r="C85" s="5">
        <v>860074.0</v>
      </c>
      <c r="D85" s="5">
        <v>884875.0</v>
      </c>
      <c r="E85" s="2" t="s">
        <v>125</v>
      </c>
      <c r="F85" s="2"/>
      <c r="G85" s="2" t="s">
        <v>126</v>
      </c>
      <c r="H85" s="2"/>
      <c r="I85" s="5">
        <v>1935.0</v>
      </c>
      <c r="J85" s="2" t="s">
        <v>63</v>
      </c>
      <c r="K85" s="2" t="s">
        <v>65</v>
      </c>
      <c r="L85" s="2" t="s">
        <v>65</v>
      </c>
      <c r="M85" s="2" t="s">
        <v>1448</v>
      </c>
      <c r="N85" s="2" t="s">
        <v>35</v>
      </c>
      <c r="O85" s="2" t="s">
        <v>1449</v>
      </c>
      <c r="P85" s="2" t="s">
        <v>1296</v>
      </c>
    </row>
    <row r="86">
      <c r="A86" s="4" t="s">
        <v>32</v>
      </c>
      <c r="B86" s="5">
        <v>1294.0</v>
      </c>
      <c r="C86" s="5">
        <v>944426.0</v>
      </c>
      <c r="D86" s="5">
        <v>966100.0</v>
      </c>
      <c r="E86" s="2" t="s">
        <v>125</v>
      </c>
      <c r="F86" s="2"/>
      <c r="G86" s="2" t="s">
        <v>126</v>
      </c>
      <c r="H86" s="2"/>
      <c r="I86" s="5">
        <v>1935.0</v>
      </c>
      <c r="J86" s="2" t="s">
        <v>63</v>
      </c>
      <c r="K86" s="2" t="s">
        <v>65</v>
      </c>
      <c r="L86" s="2" t="s">
        <v>65</v>
      </c>
      <c r="M86" s="2" t="s">
        <v>1450</v>
      </c>
      <c r="N86" s="2" t="s">
        <v>35</v>
      </c>
      <c r="O86" s="2" t="s">
        <v>1451</v>
      </c>
      <c r="P86" s="2" t="s">
        <v>1296</v>
      </c>
    </row>
    <row r="87">
      <c r="A87" s="4" t="s">
        <v>32</v>
      </c>
      <c r="B87" s="5">
        <v>1299.0</v>
      </c>
      <c r="C87" s="5">
        <v>1016364.0</v>
      </c>
      <c r="D87" s="5">
        <v>1034250.0</v>
      </c>
      <c r="E87" s="2" t="s">
        <v>125</v>
      </c>
      <c r="F87" s="2"/>
      <c r="G87" s="2" t="s">
        <v>126</v>
      </c>
      <c r="H87" s="2"/>
      <c r="I87" s="5">
        <v>1935.0</v>
      </c>
      <c r="J87" s="2" t="s">
        <v>63</v>
      </c>
      <c r="K87" s="2" t="s">
        <v>65</v>
      </c>
      <c r="L87" s="2" t="s">
        <v>65</v>
      </c>
      <c r="M87" s="2" t="s">
        <v>1452</v>
      </c>
      <c r="N87" s="2" t="s">
        <v>35</v>
      </c>
      <c r="O87" s="2" t="s">
        <v>1453</v>
      </c>
      <c r="P87" s="2" t="s">
        <v>1296</v>
      </c>
    </row>
    <row r="88">
      <c r="A88" s="4" t="s">
        <v>32</v>
      </c>
      <c r="B88" s="5">
        <v>1304.0</v>
      </c>
      <c r="C88" s="5">
        <v>1087248.0</v>
      </c>
      <c r="D88" s="5">
        <v>1102450.0</v>
      </c>
      <c r="E88" s="2" t="s">
        <v>125</v>
      </c>
      <c r="F88" s="2"/>
      <c r="G88" s="2" t="s">
        <v>126</v>
      </c>
      <c r="H88" s="2"/>
      <c r="I88" s="5">
        <v>1935.0</v>
      </c>
      <c r="J88" s="2" t="s">
        <v>63</v>
      </c>
      <c r="K88" s="2" t="s">
        <v>65</v>
      </c>
      <c r="L88" s="2" t="s">
        <v>65</v>
      </c>
      <c r="M88" s="2" t="s">
        <v>1454</v>
      </c>
      <c r="N88" s="2" t="s">
        <v>45</v>
      </c>
      <c r="O88" s="16" t="str">
        <f> как у... Не на фронте, на Ржев. А часть на Витебск, Ильинская зона, там бои сильные тоже были. А призывали двадцать четвёртый год...</f>
        <v>#ERROR!</v>
      </c>
      <c r="P88" s="2" t="s">
        <v>1300</v>
      </c>
    </row>
    <row r="89">
      <c r="A89" s="4" t="s">
        <v>32</v>
      </c>
      <c r="B89" s="5">
        <v>1319.0</v>
      </c>
      <c r="C89" s="5">
        <v>1222021.0</v>
      </c>
      <c r="D89" s="5">
        <v>1236196.0</v>
      </c>
      <c r="E89" s="2" t="s">
        <v>125</v>
      </c>
      <c r="F89" s="2"/>
      <c r="G89" s="2" t="s">
        <v>126</v>
      </c>
      <c r="H89" s="2"/>
      <c r="I89" s="5">
        <v>1935.0</v>
      </c>
      <c r="J89" s="2" t="s">
        <v>63</v>
      </c>
      <c r="K89" s="2" t="s">
        <v>65</v>
      </c>
      <c r="L89" s="2" t="s">
        <v>65</v>
      </c>
      <c r="M89" s="2" t="s">
        <v>1455</v>
      </c>
      <c r="N89" s="2" t="s">
        <v>45</v>
      </c>
      <c r="O89" s="2" t="s">
        <v>1456</v>
      </c>
      <c r="P89" s="2" t="s">
        <v>1296</v>
      </c>
    </row>
    <row r="90">
      <c r="A90" s="4" t="s">
        <v>32</v>
      </c>
      <c r="B90" s="5">
        <v>1331.0</v>
      </c>
      <c r="C90" s="5">
        <v>1332318.0</v>
      </c>
      <c r="D90" s="5">
        <v>1359625.0</v>
      </c>
      <c r="E90" s="2" t="s">
        <v>125</v>
      </c>
      <c r="F90" s="2"/>
      <c r="G90" s="2" t="s">
        <v>126</v>
      </c>
      <c r="H90" s="2"/>
      <c r="I90" s="5">
        <v>1935.0</v>
      </c>
      <c r="J90" s="2" t="s">
        <v>63</v>
      </c>
      <c r="K90" s="2" t="s">
        <v>65</v>
      </c>
      <c r="L90" s="2" t="s">
        <v>65</v>
      </c>
      <c r="M90" s="2" t="s">
        <v>1457</v>
      </c>
      <c r="N90" s="2" t="s">
        <v>35</v>
      </c>
      <c r="O90" s="2" t="s">
        <v>1458</v>
      </c>
      <c r="P90" s="2" t="s">
        <v>1316</v>
      </c>
    </row>
    <row r="91">
      <c r="A91" s="4" t="s">
        <v>32</v>
      </c>
      <c r="B91" s="5">
        <v>1331.0</v>
      </c>
      <c r="C91" s="5">
        <v>1332318.0</v>
      </c>
      <c r="D91" s="5">
        <v>1359625.0</v>
      </c>
      <c r="E91" s="2" t="s">
        <v>125</v>
      </c>
      <c r="F91" s="2"/>
      <c r="G91" s="2" t="s">
        <v>126</v>
      </c>
      <c r="H91" s="2"/>
      <c r="I91" s="5">
        <v>1935.0</v>
      </c>
      <c r="J91" s="2" t="s">
        <v>63</v>
      </c>
      <c r="K91" s="2" t="s">
        <v>65</v>
      </c>
      <c r="L91" s="2" t="s">
        <v>65</v>
      </c>
      <c r="M91" s="2" t="s">
        <v>1459</v>
      </c>
      <c r="N91" s="2" t="s">
        <v>35</v>
      </c>
      <c r="O91" s="2" t="s">
        <v>1460</v>
      </c>
      <c r="P91" s="2" t="s">
        <v>1316</v>
      </c>
    </row>
    <row r="92">
      <c r="A92" s="4" t="s">
        <v>32</v>
      </c>
      <c r="B92" s="5">
        <v>1337.0</v>
      </c>
      <c r="C92" s="5">
        <v>1424224.0</v>
      </c>
      <c r="D92" s="5">
        <v>1437500.0</v>
      </c>
      <c r="E92" s="2" t="s">
        <v>125</v>
      </c>
      <c r="F92" s="2"/>
      <c r="G92" s="2" t="s">
        <v>126</v>
      </c>
      <c r="H92" s="2"/>
      <c r="I92" s="5">
        <v>1935.0</v>
      </c>
      <c r="J92" s="2" t="s">
        <v>63</v>
      </c>
      <c r="K92" s="2" t="s">
        <v>65</v>
      </c>
      <c r="L92" s="2" t="s">
        <v>65</v>
      </c>
      <c r="M92" s="2" t="s">
        <v>1259</v>
      </c>
      <c r="N92" s="2" t="s">
        <v>35</v>
      </c>
      <c r="O92" s="2" t="s">
        <v>1461</v>
      </c>
      <c r="P92" s="2" t="s">
        <v>1316</v>
      </c>
    </row>
    <row r="93">
      <c r="A93" s="4" t="s">
        <v>32</v>
      </c>
      <c r="B93" s="5">
        <v>1337.0</v>
      </c>
      <c r="C93" s="5">
        <v>1424224.0</v>
      </c>
      <c r="D93" s="5">
        <v>1437500.0</v>
      </c>
      <c r="E93" s="2" t="s">
        <v>125</v>
      </c>
      <c r="F93" s="2"/>
      <c r="G93" s="2" t="s">
        <v>126</v>
      </c>
      <c r="H93" s="2"/>
      <c r="I93" s="5">
        <v>1935.0</v>
      </c>
      <c r="J93" s="2" t="s">
        <v>63</v>
      </c>
      <c r="K93" s="2" t="s">
        <v>65</v>
      </c>
      <c r="L93" s="2" t="s">
        <v>65</v>
      </c>
      <c r="M93" s="2" t="s">
        <v>1462</v>
      </c>
      <c r="N93" s="2" t="s">
        <v>35</v>
      </c>
      <c r="O93" s="2" t="s">
        <v>1463</v>
      </c>
      <c r="P93" s="2" t="s">
        <v>1298</v>
      </c>
    </row>
    <row r="94">
      <c r="A94" s="4" t="s">
        <v>32</v>
      </c>
      <c r="B94" s="5">
        <v>1337.0</v>
      </c>
      <c r="C94" s="5">
        <v>1424224.0</v>
      </c>
      <c r="D94" s="5">
        <v>1437500.0</v>
      </c>
      <c r="E94" s="2" t="s">
        <v>125</v>
      </c>
      <c r="F94" s="2"/>
      <c r="G94" s="2" t="s">
        <v>126</v>
      </c>
      <c r="H94" s="2"/>
      <c r="I94" s="5">
        <v>1935.0</v>
      </c>
      <c r="J94" s="2" t="s">
        <v>63</v>
      </c>
      <c r="K94" s="2" t="s">
        <v>65</v>
      </c>
      <c r="L94" s="2" t="s">
        <v>65</v>
      </c>
      <c r="M94" s="2" t="s">
        <v>1464</v>
      </c>
      <c r="N94" s="2" t="s">
        <v>35</v>
      </c>
      <c r="O94" s="2" t="s">
        <v>1465</v>
      </c>
      <c r="P94" s="2" t="s">
        <v>1298</v>
      </c>
    </row>
    <row r="95">
      <c r="A95" s="4" t="s">
        <v>32</v>
      </c>
      <c r="B95" s="5">
        <v>1337.0</v>
      </c>
      <c r="C95" s="5">
        <v>1424224.0</v>
      </c>
      <c r="D95" s="5">
        <v>1437500.0</v>
      </c>
      <c r="E95" s="2" t="s">
        <v>125</v>
      </c>
      <c r="F95" s="2"/>
      <c r="G95" s="2" t="s">
        <v>126</v>
      </c>
      <c r="H95" s="2"/>
      <c r="I95" s="5">
        <v>1935.0</v>
      </c>
      <c r="J95" s="2" t="s">
        <v>63</v>
      </c>
      <c r="K95" s="2" t="s">
        <v>65</v>
      </c>
      <c r="L95" s="2" t="s">
        <v>65</v>
      </c>
      <c r="M95" s="2" t="s">
        <v>1466</v>
      </c>
      <c r="N95" s="2" t="s">
        <v>45</v>
      </c>
      <c r="O95" s="2" t="s">
        <v>1467</v>
      </c>
      <c r="P95" s="2" t="s">
        <v>1298</v>
      </c>
    </row>
    <row r="96">
      <c r="A96" s="4" t="s">
        <v>32</v>
      </c>
      <c r="B96" s="5">
        <v>1372.0</v>
      </c>
      <c r="C96" s="5">
        <v>1697835.0</v>
      </c>
      <c r="D96" s="5">
        <v>1705625.0</v>
      </c>
      <c r="E96" s="2" t="s">
        <v>125</v>
      </c>
      <c r="F96" s="2"/>
      <c r="G96" s="2" t="s">
        <v>126</v>
      </c>
      <c r="H96" s="2"/>
      <c r="I96" s="5">
        <v>1935.0</v>
      </c>
      <c r="J96" s="2" t="s">
        <v>63</v>
      </c>
      <c r="K96" s="2" t="s">
        <v>65</v>
      </c>
      <c r="L96" s="2" t="s">
        <v>65</v>
      </c>
      <c r="M96" s="2" t="s">
        <v>1468</v>
      </c>
      <c r="N96" s="2" t="s">
        <v>35</v>
      </c>
      <c r="O96" s="16" t="str">
        <f> крыши нет, кирпичное здание стоит... Каменное.</f>
        <v>#ERROR!</v>
      </c>
      <c r="P96" s="2" t="s">
        <v>1316</v>
      </c>
    </row>
    <row r="97">
      <c r="A97" s="4" t="s">
        <v>32</v>
      </c>
      <c r="B97" s="5">
        <v>1374.0</v>
      </c>
      <c r="C97" s="5">
        <v>1713723.0</v>
      </c>
      <c r="D97" s="5">
        <v>1725050.0</v>
      </c>
      <c r="E97" s="2" t="s">
        <v>125</v>
      </c>
      <c r="F97" s="2"/>
      <c r="G97" s="2" t="s">
        <v>126</v>
      </c>
      <c r="H97" s="2"/>
      <c r="I97" s="5">
        <v>1935.0</v>
      </c>
      <c r="J97" s="2" t="s">
        <v>63</v>
      </c>
      <c r="K97" s="2" t="s">
        <v>65</v>
      </c>
      <c r="L97" s="2" t="s">
        <v>65</v>
      </c>
      <c r="M97" s="2" t="s">
        <v>1469</v>
      </c>
      <c r="N97" s="2" t="s">
        <v>35</v>
      </c>
      <c r="O97" s="2" t="s">
        <v>1470</v>
      </c>
      <c r="P97" s="2" t="s">
        <v>1296</v>
      </c>
    </row>
    <row r="98">
      <c r="A98" s="4" t="s">
        <v>32</v>
      </c>
      <c r="B98" s="5">
        <v>1403.0</v>
      </c>
      <c r="C98" s="5">
        <v>1912557.0</v>
      </c>
      <c r="D98" s="5">
        <v>1917980.0</v>
      </c>
      <c r="E98" s="2" t="s">
        <v>125</v>
      </c>
      <c r="F98" s="2"/>
      <c r="G98" s="2" t="s">
        <v>126</v>
      </c>
      <c r="H98" s="2"/>
      <c r="I98" s="5">
        <v>1935.0</v>
      </c>
      <c r="J98" s="2" t="s">
        <v>63</v>
      </c>
      <c r="K98" s="2" t="s">
        <v>65</v>
      </c>
      <c r="L98" s="2" t="s">
        <v>65</v>
      </c>
      <c r="M98" s="2" t="s">
        <v>1471</v>
      </c>
      <c r="N98" s="2" t="s">
        <v>35</v>
      </c>
      <c r="O98" s="2" t="s">
        <v>1472</v>
      </c>
      <c r="P98" s="2" t="s">
        <v>1296</v>
      </c>
    </row>
    <row r="99">
      <c r="A99" s="4" t="s">
        <v>32</v>
      </c>
      <c r="B99" s="5">
        <v>1434.0</v>
      </c>
      <c r="C99" s="5">
        <v>2101081.0</v>
      </c>
      <c r="D99" s="5">
        <v>2111260.0</v>
      </c>
      <c r="E99" s="2" t="s">
        <v>125</v>
      </c>
      <c r="F99" s="2"/>
      <c r="G99" s="2" t="s">
        <v>126</v>
      </c>
      <c r="H99" s="2"/>
      <c r="I99" s="5">
        <v>1935.0</v>
      </c>
      <c r="J99" s="2" t="s">
        <v>63</v>
      </c>
      <c r="K99" s="2" t="s">
        <v>65</v>
      </c>
      <c r="L99" s="2" t="s">
        <v>65</v>
      </c>
      <c r="M99" s="2" t="s">
        <v>1473</v>
      </c>
      <c r="N99" s="2" t="s">
        <v>35</v>
      </c>
      <c r="O99" s="2" t="s">
        <v>1474</v>
      </c>
      <c r="P99" s="2" t="s">
        <v>1296</v>
      </c>
    </row>
    <row r="100">
      <c r="A100" s="4" t="s">
        <v>32</v>
      </c>
      <c r="B100" s="5">
        <v>1450.0</v>
      </c>
      <c r="C100" s="5">
        <v>2181249.0</v>
      </c>
      <c r="D100" s="5">
        <v>2189120.0</v>
      </c>
      <c r="E100" s="2" t="s">
        <v>125</v>
      </c>
      <c r="F100" s="2"/>
      <c r="G100" s="2" t="s">
        <v>126</v>
      </c>
      <c r="H100" s="2"/>
      <c r="I100" s="5">
        <v>1935.0</v>
      </c>
      <c r="J100" s="2" t="s">
        <v>63</v>
      </c>
      <c r="K100" s="2" t="s">
        <v>65</v>
      </c>
      <c r="L100" s="2" t="s">
        <v>65</v>
      </c>
      <c r="M100" s="2" t="s">
        <v>1475</v>
      </c>
      <c r="N100" s="2" t="s">
        <v>35</v>
      </c>
      <c r="O100" s="2" t="s">
        <v>1476</v>
      </c>
      <c r="P100" s="2" t="s">
        <v>1296</v>
      </c>
    </row>
    <row r="101">
      <c r="A101" s="4" t="s">
        <v>32</v>
      </c>
      <c r="B101" s="5">
        <v>1463.0</v>
      </c>
      <c r="C101" s="5">
        <v>57480.0</v>
      </c>
      <c r="D101" s="5">
        <v>65630.0</v>
      </c>
      <c r="E101" s="2" t="s">
        <v>167</v>
      </c>
      <c r="F101" s="2"/>
      <c r="G101" s="2"/>
      <c r="H101" s="2"/>
      <c r="I101" s="2"/>
      <c r="J101" s="2"/>
      <c r="K101" s="2"/>
      <c r="L101" s="2"/>
      <c r="M101" s="2" t="s">
        <v>1477</v>
      </c>
      <c r="N101" s="2" t="s">
        <v>35</v>
      </c>
      <c r="O101" s="16" t="str">
        <f> из(с) Каськово идёте прямо, так сразу первый дом, а на правую руку голубой.</f>
        <v>#ERROR!</v>
      </c>
      <c r="P101" s="2" t="s">
        <v>1300</v>
      </c>
    </row>
    <row r="102">
      <c r="A102" s="4" t="s">
        <v>32</v>
      </c>
      <c r="B102" s="5">
        <v>1466.0</v>
      </c>
      <c r="C102" s="5">
        <v>82260.0</v>
      </c>
      <c r="D102" s="5">
        <v>84430.0</v>
      </c>
      <c r="E102" s="2" t="s">
        <v>167</v>
      </c>
      <c r="F102" s="2"/>
      <c r="G102" s="2"/>
      <c r="H102" s="2"/>
      <c r="I102" s="2"/>
      <c r="J102" s="2"/>
      <c r="K102" s="2"/>
      <c r="L102" s="2"/>
      <c r="M102" s="2" t="s">
        <v>1478</v>
      </c>
      <c r="N102" s="2" t="s">
        <v>35</v>
      </c>
      <c r="O102" s="2" t="s">
        <v>1479</v>
      </c>
      <c r="P102" s="2" t="s">
        <v>1316</v>
      </c>
    </row>
    <row r="103">
      <c r="A103" s="4" t="s">
        <v>32</v>
      </c>
      <c r="B103" s="5">
        <v>1469.0</v>
      </c>
      <c r="C103" s="5">
        <v>91270.0</v>
      </c>
      <c r="D103" s="5">
        <v>95640.0</v>
      </c>
      <c r="E103" s="2" t="s">
        <v>167</v>
      </c>
      <c r="F103" s="2"/>
      <c r="G103" s="2"/>
      <c r="H103" s="2"/>
      <c r="I103" s="2"/>
      <c r="J103" s="2"/>
      <c r="K103" s="2"/>
      <c r="L103" s="2"/>
      <c r="M103" s="2" t="s">
        <v>1480</v>
      </c>
      <c r="N103" s="2" t="s">
        <v>35</v>
      </c>
      <c r="O103" s="2" t="s">
        <v>1481</v>
      </c>
      <c r="P103" s="2" t="s">
        <v>1316</v>
      </c>
    </row>
    <row r="104">
      <c r="A104" s="4" t="s">
        <v>32</v>
      </c>
      <c r="B104" s="5">
        <v>1487.0</v>
      </c>
      <c r="C104" s="5">
        <v>163360.0</v>
      </c>
      <c r="D104" s="5">
        <v>170190.0</v>
      </c>
      <c r="E104" s="2" t="s">
        <v>167</v>
      </c>
      <c r="F104" s="2"/>
      <c r="G104" s="2"/>
      <c r="H104" s="2"/>
      <c r="I104" s="2"/>
      <c r="J104" s="2"/>
      <c r="K104" s="2"/>
      <c r="L104" s="2"/>
      <c r="M104" s="2" t="s">
        <v>1482</v>
      </c>
      <c r="N104" s="2" t="s">
        <v>35</v>
      </c>
      <c r="O104" s="16" t="str">
        <f> куда заходите, вы ничего, если случай что. Там, сейчас же телефоны эти, не броса = звонят.</f>
        <v>#ERROR!</v>
      </c>
      <c r="P104" s="2" t="s">
        <v>1300</v>
      </c>
    </row>
    <row r="105">
      <c r="A105" s="4" t="s">
        <v>32</v>
      </c>
      <c r="B105" s="5">
        <v>1488.0</v>
      </c>
      <c r="C105" s="5">
        <v>170480.0</v>
      </c>
      <c r="D105" s="5">
        <v>175630.0</v>
      </c>
      <c r="E105" s="2" t="s">
        <v>167</v>
      </c>
      <c r="F105" s="2"/>
      <c r="G105" s="2"/>
      <c r="H105" s="2"/>
      <c r="I105" s="2"/>
      <c r="J105" s="2"/>
      <c r="K105" s="2"/>
      <c r="L105" s="2"/>
      <c r="M105" s="2" t="s">
        <v>1483</v>
      </c>
      <c r="N105" s="2" t="s">
        <v>35</v>
      </c>
      <c r="O105" s="2" t="s">
        <v>1484</v>
      </c>
      <c r="P105" s="2" t="s">
        <v>1296</v>
      </c>
    </row>
    <row r="106">
      <c r="A106" s="4" t="s">
        <v>32</v>
      </c>
      <c r="B106" s="5">
        <v>1512.0</v>
      </c>
      <c r="C106" s="5">
        <v>289990.0</v>
      </c>
      <c r="D106" s="5">
        <v>293680.0</v>
      </c>
      <c r="E106" s="2" t="s">
        <v>167</v>
      </c>
      <c r="F106" s="2"/>
      <c r="G106" s="2"/>
      <c r="H106" s="2"/>
      <c r="I106" s="2"/>
      <c r="J106" s="2"/>
      <c r="K106" s="2"/>
      <c r="L106" s="2"/>
      <c r="M106" s="2" t="s">
        <v>88</v>
      </c>
      <c r="N106" s="2" t="s">
        <v>35</v>
      </c>
      <c r="O106" s="2" t="s">
        <v>1485</v>
      </c>
      <c r="P106" s="2" t="s">
        <v>1316</v>
      </c>
    </row>
    <row r="107">
      <c r="A107" s="4" t="s">
        <v>32</v>
      </c>
      <c r="B107" s="5">
        <v>1547.0</v>
      </c>
      <c r="C107" s="5">
        <v>453610.0</v>
      </c>
      <c r="D107" s="5">
        <v>456940.0</v>
      </c>
      <c r="E107" s="2" t="s">
        <v>167</v>
      </c>
      <c r="F107" s="2"/>
      <c r="G107" s="2"/>
      <c r="H107" s="2"/>
      <c r="I107" s="2"/>
      <c r="J107" s="2"/>
      <c r="K107" s="2"/>
      <c r="L107" s="2"/>
      <c r="M107" s="2" t="s">
        <v>1486</v>
      </c>
      <c r="N107" s="2" t="s">
        <v>35</v>
      </c>
      <c r="O107" s="2" t="s">
        <v>1487</v>
      </c>
      <c r="P107" s="2" t="s">
        <v>1296</v>
      </c>
    </row>
    <row r="108">
      <c r="A108" s="4" t="s">
        <v>32</v>
      </c>
      <c r="B108" s="5">
        <v>1549.0</v>
      </c>
      <c r="C108" s="5">
        <v>465560.0</v>
      </c>
      <c r="D108" s="5">
        <v>470430.0</v>
      </c>
      <c r="E108" s="2" t="s">
        <v>167</v>
      </c>
      <c r="F108" s="2"/>
      <c r="G108" s="2"/>
      <c r="H108" s="2"/>
      <c r="I108" s="2"/>
      <c r="J108" s="2"/>
      <c r="K108" s="2"/>
      <c r="L108" s="2"/>
      <c r="M108" s="2" t="s">
        <v>1488</v>
      </c>
      <c r="N108" s="2" t="s">
        <v>35</v>
      </c>
      <c r="O108" s="2" t="s">
        <v>1489</v>
      </c>
      <c r="P108" s="2" t="s">
        <v>1296</v>
      </c>
    </row>
    <row r="109">
      <c r="A109" s="4" t="s">
        <v>32</v>
      </c>
      <c r="B109" s="5">
        <v>1597.0</v>
      </c>
      <c r="C109" s="5">
        <v>677710.0</v>
      </c>
      <c r="D109" s="5">
        <v>682220.0</v>
      </c>
      <c r="E109" s="2" t="s">
        <v>167</v>
      </c>
      <c r="F109" s="2"/>
      <c r="G109" s="2"/>
      <c r="H109" s="2"/>
      <c r="I109" s="2"/>
      <c r="J109" s="2"/>
      <c r="K109" s="2"/>
      <c r="L109" s="2"/>
      <c r="M109" s="2" t="s">
        <v>1490</v>
      </c>
      <c r="N109" s="2" t="s">
        <v>35</v>
      </c>
      <c r="O109" s="2" t="s">
        <v>1491</v>
      </c>
      <c r="P109" s="2" t="s">
        <v>1296</v>
      </c>
    </row>
    <row r="110">
      <c r="A110" s="4" t="s">
        <v>32</v>
      </c>
      <c r="B110" s="5">
        <v>1614.0</v>
      </c>
      <c r="C110" s="5">
        <v>766980.0</v>
      </c>
      <c r="D110" s="5">
        <v>772770.0</v>
      </c>
      <c r="E110" s="2" t="s">
        <v>167</v>
      </c>
      <c r="F110" s="2"/>
      <c r="G110" s="2"/>
      <c r="H110" s="2"/>
      <c r="I110" s="2"/>
      <c r="J110" s="2"/>
      <c r="K110" s="2"/>
      <c r="L110" s="2"/>
      <c r="M110" s="2"/>
      <c r="N110" s="2" t="s">
        <v>45</v>
      </c>
      <c r="O110" s="2" t="s">
        <v>1492</v>
      </c>
      <c r="P110" s="2" t="s">
        <v>1316</v>
      </c>
    </row>
    <row r="111">
      <c r="A111" s="4" t="s">
        <v>32</v>
      </c>
      <c r="B111" s="5">
        <v>1620.0</v>
      </c>
      <c r="C111" s="5">
        <v>790810.0</v>
      </c>
      <c r="D111" s="5">
        <v>797980.0</v>
      </c>
      <c r="E111" s="2" t="s">
        <v>167</v>
      </c>
      <c r="F111" s="2"/>
      <c r="G111" s="2"/>
      <c r="H111" s="2"/>
      <c r="I111" s="2"/>
      <c r="J111" s="2"/>
      <c r="K111" s="2"/>
      <c r="L111" s="2"/>
      <c r="M111" s="2" t="s">
        <v>1493</v>
      </c>
      <c r="N111" s="2" t="s">
        <v>35</v>
      </c>
      <c r="O111" s="2" t="s">
        <v>1494</v>
      </c>
      <c r="P111" s="2" t="s">
        <v>1316</v>
      </c>
    </row>
    <row r="112">
      <c r="A112" s="4" t="s">
        <v>32</v>
      </c>
      <c r="B112" s="5">
        <v>1635.0</v>
      </c>
      <c r="C112" s="5">
        <v>880370.0</v>
      </c>
      <c r="D112" s="5">
        <v>886300.0</v>
      </c>
      <c r="E112" s="2" t="s">
        <v>167</v>
      </c>
      <c r="F112" s="2"/>
      <c r="G112" s="2"/>
      <c r="H112" s="2"/>
      <c r="I112" s="2"/>
      <c r="J112" s="2"/>
      <c r="K112" s="2"/>
      <c r="L112" s="2"/>
      <c r="M112" s="2" t="s">
        <v>1495</v>
      </c>
      <c r="N112" s="2" t="s">
        <v>35</v>
      </c>
      <c r="O112" s="2" t="s">
        <v>1496</v>
      </c>
      <c r="P112" s="2" t="s">
        <v>1296</v>
      </c>
    </row>
    <row r="113">
      <c r="A113" s="4" t="s">
        <v>32</v>
      </c>
      <c r="B113" s="5">
        <v>1635.0</v>
      </c>
      <c r="C113" s="5">
        <v>880370.0</v>
      </c>
      <c r="D113" s="5">
        <v>886300.0</v>
      </c>
      <c r="E113" s="2" t="s">
        <v>167</v>
      </c>
      <c r="F113" s="2"/>
      <c r="G113" s="2"/>
      <c r="H113" s="2"/>
      <c r="I113" s="2"/>
      <c r="J113" s="2"/>
      <c r="K113" s="2"/>
      <c r="L113" s="2"/>
      <c r="M113" s="2" t="s">
        <v>1497</v>
      </c>
      <c r="N113" s="2" t="s">
        <v>35</v>
      </c>
      <c r="O113" s="2" t="s">
        <v>1498</v>
      </c>
      <c r="P113" s="2" t="s">
        <v>1296</v>
      </c>
    </row>
    <row r="114">
      <c r="A114" s="4" t="s">
        <v>32</v>
      </c>
      <c r="B114" s="5">
        <v>1648.0</v>
      </c>
      <c r="C114" s="5">
        <v>942980.0</v>
      </c>
      <c r="D114" s="5">
        <v>946930.0</v>
      </c>
      <c r="E114" s="2" t="s">
        <v>167</v>
      </c>
      <c r="F114" s="2"/>
      <c r="G114" s="2"/>
      <c r="H114" s="2"/>
      <c r="I114" s="2"/>
      <c r="J114" s="2"/>
      <c r="K114" s="2"/>
      <c r="L114" s="2"/>
      <c r="M114" s="2" t="s">
        <v>1499</v>
      </c>
      <c r="N114" s="2" t="s">
        <v>35</v>
      </c>
      <c r="O114" s="2" t="s">
        <v>1500</v>
      </c>
      <c r="P114" s="2" t="s">
        <v>1316</v>
      </c>
    </row>
    <row r="115">
      <c r="A115" s="4" t="s">
        <v>32</v>
      </c>
      <c r="B115" s="5">
        <v>1651.0</v>
      </c>
      <c r="C115" s="5">
        <v>958970.0</v>
      </c>
      <c r="D115" s="5">
        <v>963280.0</v>
      </c>
      <c r="E115" s="2" t="s">
        <v>167</v>
      </c>
      <c r="F115" s="2"/>
      <c r="G115" s="2"/>
      <c r="H115" s="2"/>
      <c r="I115" s="2"/>
      <c r="J115" s="2"/>
      <c r="K115" s="2"/>
      <c r="L115" s="2"/>
      <c r="M115" s="2" t="s">
        <v>1501</v>
      </c>
      <c r="N115" s="2" t="s">
        <v>35</v>
      </c>
      <c r="O115" s="2" t="s">
        <v>1502</v>
      </c>
      <c r="P115" s="2" t="s">
        <v>1296</v>
      </c>
    </row>
    <row r="116">
      <c r="A116" s="4" t="s">
        <v>32</v>
      </c>
      <c r="B116" s="5">
        <v>1656.0</v>
      </c>
      <c r="C116" s="5">
        <v>975920.0</v>
      </c>
      <c r="D116" s="5">
        <v>979150.0</v>
      </c>
      <c r="E116" s="2" t="s">
        <v>167</v>
      </c>
      <c r="F116" s="2"/>
      <c r="G116" s="2"/>
      <c r="H116" s="2"/>
      <c r="I116" s="2"/>
      <c r="J116" s="2"/>
      <c r="K116" s="2"/>
      <c r="L116" s="2"/>
      <c r="M116" s="2" t="s">
        <v>1503</v>
      </c>
      <c r="N116" s="2" t="s">
        <v>35</v>
      </c>
      <c r="O116" s="2" t="s">
        <v>1504</v>
      </c>
      <c r="P116" s="2" t="s">
        <v>1296</v>
      </c>
    </row>
    <row r="117">
      <c r="A117" s="4" t="s">
        <v>32</v>
      </c>
      <c r="B117" s="5">
        <v>1657.0</v>
      </c>
      <c r="C117" s="5">
        <v>980150.0</v>
      </c>
      <c r="D117" s="5">
        <v>984430.0</v>
      </c>
      <c r="E117" s="2" t="s">
        <v>167</v>
      </c>
      <c r="F117" s="2"/>
      <c r="G117" s="2"/>
      <c r="H117" s="2"/>
      <c r="I117" s="2"/>
      <c r="J117" s="2"/>
      <c r="K117" s="2"/>
      <c r="L117" s="2"/>
      <c r="M117" s="2" t="s">
        <v>1505</v>
      </c>
      <c r="N117" s="2" t="s">
        <v>35</v>
      </c>
      <c r="O117" s="2" t="s">
        <v>1506</v>
      </c>
      <c r="P117" s="2" t="s">
        <v>1296</v>
      </c>
    </row>
    <row r="118">
      <c r="A118" s="4" t="s">
        <v>32</v>
      </c>
      <c r="B118" s="5">
        <v>1695.0</v>
      </c>
      <c r="C118" s="5">
        <v>1188405.0</v>
      </c>
      <c r="D118" s="5">
        <v>1190550.0</v>
      </c>
      <c r="E118" s="2" t="s">
        <v>167</v>
      </c>
      <c r="F118" s="2"/>
      <c r="G118" s="2"/>
      <c r="H118" s="2"/>
      <c r="I118" s="2"/>
      <c r="J118" s="2"/>
      <c r="K118" s="2"/>
      <c r="L118" s="2"/>
      <c r="M118" s="2"/>
      <c r="N118" s="2" t="s">
        <v>45</v>
      </c>
      <c r="O118" s="2" t="s">
        <v>1507</v>
      </c>
      <c r="P118" s="2" t="s">
        <v>1316</v>
      </c>
    </row>
    <row r="119">
      <c r="A119" s="4" t="s">
        <v>32</v>
      </c>
      <c r="B119" s="5">
        <v>1696.0</v>
      </c>
      <c r="C119" s="5">
        <v>1192600.0</v>
      </c>
      <c r="D119" s="5">
        <v>1195360.0</v>
      </c>
      <c r="E119" s="2" t="s">
        <v>167</v>
      </c>
      <c r="F119" s="2"/>
      <c r="G119" s="2"/>
      <c r="H119" s="2"/>
      <c r="I119" s="2"/>
      <c r="J119" s="2"/>
      <c r="K119" s="2"/>
      <c r="L119" s="2"/>
      <c r="M119" s="2" t="s">
        <v>1508</v>
      </c>
      <c r="N119" s="2" t="s">
        <v>45</v>
      </c>
      <c r="O119" s="2" t="s">
        <v>1509</v>
      </c>
      <c r="P119" s="2" t="s">
        <v>1316</v>
      </c>
    </row>
    <row r="120">
      <c r="A120" s="4" t="s">
        <v>32</v>
      </c>
      <c r="B120" s="5">
        <v>1704.0</v>
      </c>
      <c r="C120" s="5">
        <v>1227150.0</v>
      </c>
      <c r="D120" s="5">
        <v>1229320.0</v>
      </c>
      <c r="E120" s="2" t="s">
        <v>167</v>
      </c>
      <c r="F120" s="2"/>
      <c r="G120" s="2"/>
      <c r="H120" s="2"/>
      <c r="I120" s="2"/>
      <c r="J120" s="2"/>
      <c r="K120" s="2"/>
      <c r="L120" s="2"/>
      <c r="M120" s="2" t="s">
        <v>1510</v>
      </c>
      <c r="N120" s="2" t="s">
        <v>35</v>
      </c>
      <c r="O120" s="2" t="s">
        <v>1511</v>
      </c>
      <c r="P120" s="2" t="s">
        <v>1296</v>
      </c>
    </row>
    <row r="121">
      <c r="A121" s="4" t="s">
        <v>32</v>
      </c>
      <c r="B121" s="5">
        <v>1739.0</v>
      </c>
      <c r="C121" s="5">
        <v>1386000.0</v>
      </c>
      <c r="D121" s="5">
        <v>1394070.0</v>
      </c>
      <c r="E121" s="2" t="s">
        <v>167</v>
      </c>
      <c r="F121" s="2"/>
      <c r="G121" s="2"/>
      <c r="H121" s="2"/>
      <c r="I121" s="2"/>
      <c r="J121" s="2"/>
      <c r="K121" s="2"/>
      <c r="L121" s="2"/>
      <c r="M121" s="2" t="s">
        <v>1512</v>
      </c>
      <c r="N121" s="2" t="s">
        <v>35</v>
      </c>
      <c r="O121" s="2" t="s">
        <v>1513</v>
      </c>
      <c r="P121" s="2" t="s">
        <v>1316</v>
      </c>
    </row>
    <row r="122">
      <c r="A122" s="4" t="s">
        <v>32</v>
      </c>
      <c r="B122" s="5">
        <v>1745.0</v>
      </c>
      <c r="C122" s="5">
        <v>1420760.0</v>
      </c>
      <c r="D122" s="5">
        <v>1424300.0</v>
      </c>
      <c r="E122" s="2" t="s">
        <v>167</v>
      </c>
      <c r="F122" s="2"/>
      <c r="G122" s="2"/>
      <c r="H122" s="2"/>
      <c r="I122" s="2"/>
      <c r="J122" s="2"/>
      <c r="K122" s="2"/>
      <c r="L122" s="2"/>
      <c r="M122" s="2" t="s">
        <v>1514</v>
      </c>
      <c r="N122" s="2" t="s">
        <v>35</v>
      </c>
      <c r="O122" s="2" t="s">
        <v>1515</v>
      </c>
      <c r="P122" s="2" t="s">
        <v>1296</v>
      </c>
    </row>
    <row r="123">
      <c r="A123" s="4" t="s">
        <v>32</v>
      </c>
      <c r="B123" s="5">
        <v>1785.0</v>
      </c>
      <c r="C123" s="5">
        <v>1597830.0</v>
      </c>
      <c r="D123" s="5">
        <v>1602890.0</v>
      </c>
      <c r="E123" s="2" t="s">
        <v>167</v>
      </c>
      <c r="F123" s="2"/>
      <c r="G123" s="2"/>
      <c r="H123" s="2"/>
      <c r="I123" s="2"/>
      <c r="J123" s="2"/>
      <c r="K123" s="2"/>
      <c r="L123" s="2"/>
      <c r="M123" s="2" t="s">
        <v>1516</v>
      </c>
      <c r="N123" s="2" t="s">
        <v>35</v>
      </c>
      <c r="O123" s="2" t="s">
        <v>1517</v>
      </c>
      <c r="P123" s="2" t="s">
        <v>1316</v>
      </c>
    </row>
    <row r="124">
      <c r="A124" s="4" t="s">
        <v>32</v>
      </c>
      <c r="B124" s="5">
        <v>1837.0</v>
      </c>
      <c r="C124" s="5">
        <v>1838120.0</v>
      </c>
      <c r="D124" s="5">
        <v>1844660.0</v>
      </c>
      <c r="E124" s="2" t="s">
        <v>167</v>
      </c>
      <c r="F124" s="2"/>
      <c r="G124" s="2"/>
      <c r="H124" s="2"/>
      <c r="I124" s="2"/>
      <c r="J124" s="2"/>
      <c r="K124" s="2"/>
      <c r="L124" s="2"/>
      <c r="M124" s="2" t="s">
        <v>1518</v>
      </c>
      <c r="N124" s="2" t="s">
        <v>35</v>
      </c>
      <c r="O124" s="2" t="s">
        <v>1519</v>
      </c>
      <c r="P124" s="2" t="s">
        <v>1296</v>
      </c>
    </row>
    <row r="125">
      <c r="A125" s="4" t="s">
        <v>32</v>
      </c>
      <c r="B125" s="5">
        <v>1912.0</v>
      </c>
      <c r="C125" s="5">
        <v>2206990.0</v>
      </c>
      <c r="D125" s="5">
        <v>2213100.0</v>
      </c>
      <c r="E125" s="2" t="s">
        <v>167</v>
      </c>
      <c r="F125" s="2"/>
      <c r="G125" s="2"/>
      <c r="H125" s="2"/>
      <c r="I125" s="2"/>
      <c r="J125" s="2"/>
      <c r="K125" s="2"/>
      <c r="L125" s="2"/>
      <c r="M125" s="2" t="s">
        <v>1520</v>
      </c>
      <c r="N125" s="2" t="s">
        <v>35</v>
      </c>
      <c r="O125" s="16" t="str">
        <f> со св = за огородом мало площади(площадь), они где - то на поле разработают и берут.</f>
        <v>#ERROR!</v>
      </c>
      <c r="P125" s="2" t="s">
        <v>1300</v>
      </c>
    </row>
    <row r="126">
      <c r="A126" s="4" t="s">
        <v>32</v>
      </c>
      <c r="B126" s="5">
        <v>2007.0</v>
      </c>
      <c r="C126" s="5">
        <v>2578550.0</v>
      </c>
      <c r="D126" s="5">
        <v>2582480.0</v>
      </c>
      <c r="E126" s="2" t="s">
        <v>167</v>
      </c>
      <c r="F126" s="2"/>
      <c r="G126" s="2"/>
      <c r="H126" s="2"/>
      <c r="I126" s="2"/>
      <c r="J126" s="2"/>
      <c r="K126" s="2"/>
      <c r="L126" s="2"/>
      <c r="M126" s="2" t="s">
        <v>1521</v>
      </c>
      <c r="N126" s="2" t="s">
        <v>35</v>
      </c>
      <c r="O126" s="2" t="s">
        <v>1522</v>
      </c>
      <c r="P126" s="2" t="s">
        <v>1296</v>
      </c>
    </row>
    <row r="127">
      <c r="A127" s="4" t="s">
        <v>32</v>
      </c>
      <c r="B127" s="5">
        <v>2021.0</v>
      </c>
      <c r="C127" s="5">
        <v>2640440.0</v>
      </c>
      <c r="D127" s="5">
        <v>2643510.0</v>
      </c>
      <c r="E127" s="2" t="s">
        <v>167</v>
      </c>
      <c r="F127" s="2"/>
      <c r="G127" s="2"/>
      <c r="H127" s="2"/>
      <c r="I127" s="2"/>
      <c r="J127" s="2"/>
      <c r="K127" s="2"/>
      <c r="L127" s="2"/>
      <c r="M127" s="2" t="s">
        <v>1523</v>
      </c>
      <c r="N127" s="2" t="s">
        <v>35</v>
      </c>
      <c r="O127" s="2" t="s">
        <v>1524</v>
      </c>
      <c r="P127" s="2" t="s">
        <v>1296</v>
      </c>
    </row>
    <row r="128">
      <c r="A128" s="4" t="s">
        <v>32</v>
      </c>
      <c r="B128" s="5">
        <v>2024.0</v>
      </c>
      <c r="C128" s="5">
        <v>2654960.0</v>
      </c>
      <c r="D128" s="5">
        <v>2657090.0</v>
      </c>
      <c r="E128" s="2" t="s">
        <v>167</v>
      </c>
      <c r="F128" s="2"/>
      <c r="G128" s="2"/>
      <c r="H128" s="2"/>
      <c r="I128" s="2"/>
      <c r="J128" s="2"/>
      <c r="K128" s="2"/>
      <c r="L128" s="2"/>
      <c r="M128" s="2" t="s">
        <v>1525</v>
      </c>
      <c r="N128" s="2" t="s">
        <v>35</v>
      </c>
      <c r="O128" s="2" t="s">
        <v>1526</v>
      </c>
      <c r="P128" s="2" t="s">
        <v>1296</v>
      </c>
    </row>
    <row r="129">
      <c r="A129" s="4" t="s">
        <v>32</v>
      </c>
      <c r="B129" s="5">
        <v>2042.0</v>
      </c>
      <c r="C129" s="5">
        <v>2734320.0</v>
      </c>
      <c r="D129" s="5">
        <v>2739200.0</v>
      </c>
      <c r="E129" s="2" t="s">
        <v>167</v>
      </c>
      <c r="F129" s="2"/>
      <c r="G129" s="2"/>
      <c r="H129" s="2"/>
      <c r="I129" s="2"/>
      <c r="J129" s="2"/>
      <c r="K129" s="2"/>
      <c r="L129" s="2"/>
      <c r="M129" s="2" t="s">
        <v>1527</v>
      </c>
      <c r="N129" s="2" t="s">
        <v>35</v>
      </c>
      <c r="O129" s="2" t="s">
        <v>1528</v>
      </c>
      <c r="P129" s="2" t="s">
        <v>1296</v>
      </c>
    </row>
    <row r="130">
      <c r="A130" s="4" t="s">
        <v>32</v>
      </c>
      <c r="B130" s="5">
        <v>2053.0</v>
      </c>
      <c r="C130" s="5">
        <v>2778350.0</v>
      </c>
      <c r="D130" s="5">
        <v>2781200.0</v>
      </c>
      <c r="E130" s="2" t="s">
        <v>167</v>
      </c>
      <c r="F130" s="2"/>
      <c r="G130" s="2"/>
      <c r="H130" s="2"/>
      <c r="I130" s="2"/>
      <c r="J130" s="2"/>
      <c r="K130" s="2"/>
      <c r="L130" s="2"/>
      <c r="M130" s="2" t="s">
        <v>1529</v>
      </c>
      <c r="N130" s="2" t="s">
        <v>35</v>
      </c>
      <c r="O130" s="16" t="e">
        <v>#VALUE!</v>
      </c>
      <c r="P130" s="2" t="s">
        <v>1300</v>
      </c>
    </row>
    <row r="131">
      <c r="A131" s="4" t="s">
        <v>32</v>
      </c>
      <c r="B131" s="5">
        <v>2143.0</v>
      </c>
      <c r="C131" s="5">
        <v>3101290.0</v>
      </c>
      <c r="D131" s="5">
        <v>3104280.0</v>
      </c>
      <c r="E131" s="2" t="s">
        <v>167</v>
      </c>
      <c r="F131" s="2"/>
      <c r="G131" s="2"/>
      <c r="H131" s="2"/>
      <c r="I131" s="2"/>
      <c r="J131" s="2"/>
      <c r="K131" s="2"/>
      <c r="L131" s="2"/>
      <c r="M131" s="2" t="s">
        <v>1530</v>
      </c>
      <c r="N131" s="2" t="s">
        <v>35</v>
      </c>
      <c r="O131" s="2" t="s">
        <v>1531</v>
      </c>
      <c r="P131" s="2" t="s">
        <v>1296</v>
      </c>
    </row>
    <row r="132">
      <c r="A132" s="4" t="s">
        <v>32</v>
      </c>
      <c r="B132" s="5">
        <v>2156.0</v>
      </c>
      <c r="C132" s="5">
        <v>3157690.0</v>
      </c>
      <c r="D132" s="5">
        <v>3162560.0</v>
      </c>
      <c r="E132" s="2" t="s">
        <v>167</v>
      </c>
      <c r="F132" s="2"/>
      <c r="G132" s="2"/>
      <c r="H132" s="2"/>
      <c r="I132" s="2"/>
      <c r="J132" s="2"/>
      <c r="K132" s="2"/>
      <c r="L132" s="2"/>
      <c r="M132" s="2" t="s">
        <v>1532</v>
      </c>
      <c r="N132" s="2" t="s">
        <v>35</v>
      </c>
      <c r="O132" s="2" t="s">
        <v>1533</v>
      </c>
      <c r="P132" s="2" t="s">
        <v>1296</v>
      </c>
    </row>
    <row r="133">
      <c r="A133" s="4" t="s">
        <v>32</v>
      </c>
      <c r="B133" s="5">
        <v>2156.0</v>
      </c>
      <c r="C133" s="5">
        <v>3157690.0</v>
      </c>
      <c r="D133" s="5">
        <v>3162560.0</v>
      </c>
      <c r="E133" s="2" t="s">
        <v>167</v>
      </c>
      <c r="F133" s="2"/>
      <c r="G133" s="2"/>
      <c r="H133" s="2"/>
      <c r="I133" s="2"/>
      <c r="J133" s="2"/>
      <c r="K133" s="2"/>
      <c r="L133" s="2"/>
      <c r="M133" s="2" t="s">
        <v>1534</v>
      </c>
      <c r="N133" s="2" t="s">
        <v>35</v>
      </c>
      <c r="O133" s="2" t="s">
        <v>1535</v>
      </c>
      <c r="P133" s="2" t="s">
        <v>1296</v>
      </c>
    </row>
    <row r="134">
      <c r="A134" s="4" t="s">
        <v>32</v>
      </c>
      <c r="B134" s="5">
        <v>2287.0</v>
      </c>
      <c r="C134" s="5">
        <v>3637905.0</v>
      </c>
      <c r="D134" s="5">
        <v>3642740.0</v>
      </c>
      <c r="E134" s="2" t="s">
        <v>167</v>
      </c>
      <c r="F134" s="2"/>
      <c r="G134" s="2"/>
      <c r="H134" s="2"/>
      <c r="I134" s="2"/>
      <c r="J134" s="2"/>
      <c r="K134" s="2"/>
      <c r="L134" s="2"/>
      <c r="M134" s="2" t="s">
        <v>1536</v>
      </c>
      <c r="N134" s="2" t="s">
        <v>35</v>
      </c>
      <c r="O134" s="2" t="s">
        <v>1537</v>
      </c>
      <c r="P134" s="5" t="s">
        <v>1316</v>
      </c>
    </row>
    <row r="135">
      <c r="A135" s="4" t="s">
        <v>32</v>
      </c>
      <c r="B135" s="5">
        <v>2161.0</v>
      </c>
      <c r="C135" s="5">
        <v>3182240.0</v>
      </c>
      <c r="D135" s="5">
        <v>3187510.0</v>
      </c>
      <c r="E135" s="2" t="s">
        <v>167</v>
      </c>
      <c r="F135" s="2"/>
      <c r="G135" s="2"/>
      <c r="H135" s="2"/>
      <c r="I135" s="2"/>
      <c r="J135" s="2"/>
      <c r="K135" s="2"/>
      <c r="L135" s="2"/>
      <c r="M135" s="2" t="s">
        <v>1538</v>
      </c>
      <c r="N135" s="2" t="s">
        <v>35</v>
      </c>
      <c r="O135" s="2" t="s">
        <v>1539</v>
      </c>
      <c r="P135" s="2" t="s">
        <v>1296</v>
      </c>
    </row>
    <row r="136">
      <c r="A136" s="4" t="s">
        <v>32</v>
      </c>
      <c r="B136" s="5">
        <v>2161.0</v>
      </c>
      <c r="C136" s="5">
        <v>3182240.0</v>
      </c>
      <c r="D136" s="5">
        <v>3187510.0</v>
      </c>
      <c r="E136" s="2" t="s">
        <v>167</v>
      </c>
      <c r="F136" s="2"/>
      <c r="G136" s="2"/>
      <c r="H136" s="2"/>
      <c r="I136" s="2"/>
      <c r="J136" s="2"/>
      <c r="K136" s="2"/>
      <c r="L136" s="2"/>
      <c r="M136" s="2" t="s">
        <v>1540</v>
      </c>
      <c r="N136" s="2" t="s">
        <v>35</v>
      </c>
      <c r="O136" s="2" t="s">
        <v>1541</v>
      </c>
      <c r="P136" s="2" t="s">
        <v>1296</v>
      </c>
    </row>
    <row r="137">
      <c r="A137" s="4" t="s">
        <v>32</v>
      </c>
      <c r="B137" s="5">
        <v>2213.0</v>
      </c>
      <c r="C137" s="5">
        <v>3395300.0</v>
      </c>
      <c r="D137" s="5">
        <v>3398720.0</v>
      </c>
      <c r="E137" s="2" t="s">
        <v>167</v>
      </c>
      <c r="F137" s="2"/>
      <c r="G137" s="2"/>
      <c r="H137" s="2"/>
      <c r="I137" s="2"/>
      <c r="J137" s="2"/>
      <c r="K137" s="2"/>
      <c r="L137" s="2"/>
      <c r="M137" s="2" t="s">
        <v>1542</v>
      </c>
      <c r="N137" s="2" t="s">
        <v>35</v>
      </c>
      <c r="O137" s="16" t="e">
        <v>#NAME?</v>
      </c>
      <c r="P137" s="2" t="s">
        <v>1300</v>
      </c>
    </row>
    <row r="138">
      <c r="A138" s="4" t="s">
        <v>32</v>
      </c>
      <c r="B138" s="5">
        <v>2249.0</v>
      </c>
      <c r="C138" s="5">
        <v>3519240.0</v>
      </c>
      <c r="D138" s="5">
        <v>3523610.0</v>
      </c>
      <c r="E138" s="2" t="s">
        <v>167</v>
      </c>
      <c r="F138" s="2"/>
      <c r="G138" s="2"/>
      <c r="H138" s="2"/>
      <c r="I138" s="2"/>
      <c r="J138" s="2"/>
      <c r="K138" s="2"/>
      <c r="L138" s="2"/>
      <c r="M138" s="2" t="s">
        <v>1543</v>
      </c>
      <c r="N138" s="2" t="s">
        <v>35</v>
      </c>
      <c r="O138" s="16" t="str">
        <f> вам коммандует(коммандывает) там. Ну, сготовить вам, покушать, да?</f>
        <v>#ERROR!</v>
      </c>
      <c r="P138" s="2" t="s">
        <v>1300</v>
      </c>
    </row>
    <row r="139">
      <c r="A139" s="4" t="s">
        <v>32</v>
      </c>
      <c r="B139" s="5">
        <v>2274.0</v>
      </c>
      <c r="C139" s="5">
        <v>3594170.0</v>
      </c>
      <c r="D139" s="5">
        <v>3598460.0</v>
      </c>
      <c r="E139" s="2" t="s">
        <v>167</v>
      </c>
      <c r="F139" s="2"/>
      <c r="G139" s="2"/>
      <c r="H139" s="2"/>
      <c r="I139" s="2"/>
      <c r="J139" s="2"/>
      <c r="K139" s="2"/>
      <c r="L139" s="2"/>
      <c r="M139" s="2" t="s">
        <v>1544</v>
      </c>
      <c r="N139" s="2" t="s">
        <v>35</v>
      </c>
      <c r="O139" s="2" t="s">
        <v>1545</v>
      </c>
      <c r="P139" s="2" t="s">
        <v>1298</v>
      </c>
    </row>
    <row r="140">
      <c r="A140" s="4" t="s">
        <v>32</v>
      </c>
      <c r="B140" s="5">
        <v>2287.0</v>
      </c>
      <c r="C140" s="5">
        <v>3637905.0</v>
      </c>
      <c r="D140" s="5">
        <v>3642740.0</v>
      </c>
      <c r="E140" s="2" t="s">
        <v>167</v>
      </c>
      <c r="F140" s="2"/>
      <c r="G140" s="2"/>
      <c r="H140" s="2"/>
      <c r="I140" s="2"/>
      <c r="J140" s="2"/>
      <c r="K140" s="2"/>
      <c r="L140" s="2"/>
      <c r="M140" s="2" t="s">
        <v>1536</v>
      </c>
      <c r="N140" s="2" t="s">
        <v>35</v>
      </c>
      <c r="O140" s="2" t="s">
        <v>1537</v>
      </c>
      <c r="P140" s="2" t="s">
        <v>1316</v>
      </c>
    </row>
    <row r="141">
      <c r="A141" s="4" t="s">
        <v>32</v>
      </c>
      <c r="B141" s="5">
        <v>2291.0</v>
      </c>
      <c r="C141" s="5">
        <v>3654030.0</v>
      </c>
      <c r="D141" s="5">
        <v>3660200.0</v>
      </c>
      <c r="E141" s="2" t="s">
        <v>167</v>
      </c>
      <c r="F141" s="2"/>
      <c r="G141" s="2"/>
      <c r="H141" s="2"/>
      <c r="I141" s="2"/>
      <c r="J141" s="2"/>
      <c r="K141" s="2"/>
      <c r="L141" s="2"/>
      <c r="M141" s="2" t="s">
        <v>1546</v>
      </c>
      <c r="N141" s="2" t="s">
        <v>35</v>
      </c>
      <c r="O141" s="2" t="s">
        <v>1547</v>
      </c>
      <c r="P141" s="2" t="s">
        <v>1296</v>
      </c>
    </row>
    <row r="142">
      <c r="A142" s="4" t="s">
        <v>32</v>
      </c>
      <c r="B142" s="5">
        <v>2324.0</v>
      </c>
      <c r="C142" s="5">
        <v>3809315.0</v>
      </c>
      <c r="D142" s="5">
        <v>3824565.0</v>
      </c>
      <c r="E142" s="2" t="s">
        <v>167</v>
      </c>
      <c r="F142" s="2"/>
      <c r="G142" s="2"/>
      <c r="H142" s="2"/>
      <c r="I142" s="2"/>
      <c r="J142" s="2"/>
      <c r="K142" s="2"/>
      <c r="L142" s="2"/>
      <c r="M142" s="2" t="s">
        <v>1548</v>
      </c>
      <c r="N142" s="2" t="s">
        <v>35</v>
      </c>
      <c r="O142" s="2" t="s">
        <v>1549</v>
      </c>
      <c r="P142" s="2" t="s">
        <v>1316</v>
      </c>
    </row>
    <row r="143">
      <c r="A143" s="4" t="s">
        <v>32</v>
      </c>
      <c r="B143" s="5">
        <v>2337.0</v>
      </c>
      <c r="C143" s="5">
        <v>3883935.0</v>
      </c>
      <c r="D143" s="5">
        <v>3889520.0</v>
      </c>
      <c r="E143" s="2" t="s">
        <v>167</v>
      </c>
      <c r="F143" s="2"/>
      <c r="G143" s="2"/>
      <c r="H143" s="2"/>
      <c r="I143" s="2"/>
      <c r="J143" s="2"/>
      <c r="K143" s="2"/>
      <c r="L143" s="2"/>
      <c r="M143" s="2" t="s">
        <v>201</v>
      </c>
      <c r="N143" s="2" t="s">
        <v>35</v>
      </c>
      <c r="O143" s="2" t="s">
        <v>202</v>
      </c>
      <c r="P143" s="2" t="s">
        <v>1316</v>
      </c>
    </row>
    <row r="144">
      <c r="A144" s="4" t="s">
        <v>32</v>
      </c>
      <c r="B144" s="5">
        <v>2353.0</v>
      </c>
      <c r="C144" s="5">
        <v>3959205.0</v>
      </c>
      <c r="D144" s="5">
        <v>3964155.0</v>
      </c>
      <c r="E144" s="2" t="s">
        <v>167</v>
      </c>
      <c r="F144" s="2"/>
      <c r="G144" s="2"/>
      <c r="H144" s="2"/>
      <c r="I144" s="2"/>
      <c r="J144" s="2"/>
      <c r="K144" s="2"/>
      <c r="L144" s="2"/>
      <c r="M144" s="2" t="s">
        <v>1550</v>
      </c>
      <c r="N144" s="2" t="s">
        <v>35</v>
      </c>
      <c r="O144" s="2" t="s">
        <v>1551</v>
      </c>
      <c r="P144" s="2" t="s">
        <v>1296</v>
      </c>
    </row>
    <row r="145">
      <c r="A145" s="4" t="s">
        <v>32</v>
      </c>
      <c r="B145" s="5">
        <v>2354.0</v>
      </c>
      <c r="C145" s="5">
        <v>3964670.0</v>
      </c>
      <c r="D145" s="5">
        <v>3967090.0</v>
      </c>
      <c r="E145" s="2" t="s">
        <v>167</v>
      </c>
      <c r="F145" s="2"/>
      <c r="G145" s="2"/>
      <c r="H145" s="2"/>
      <c r="I145" s="2"/>
      <c r="J145" s="2"/>
      <c r="K145" s="2"/>
      <c r="L145" s="2"/>
      <c r="M145" s="2" t="s">
        <v>1552</v>
      </c>
      <c r="N145" s="2" t="s">
        <v>35</v>
      </c>
      <c r="O145" s="2" t="s">
        <v>1553</v>
      </c>
      <c r="P145" s="2" t="s">
        <v>1296</v>
      </c>
    </row>
    <row r="146">
      <c r="A146" s="4" t="s">
        <v>32</v>
      </c>
      <c r="B146" s="5">
        <v>2368.0</v>
      </c>
      <c r="C146" s="5">
        <v>4044305.0</v>
      </c>
      <c r="D146" s="5">
        <v>4048280.0</v>
      </c>
      <c r="E146" s="2" t="s">
        <v>167</v>
      </c>
      <c r="F146" s="2"/>
      <c r="G146" s="2"/>
      <c r="H146" s="2"/>
      <c r="I146" s="2"/>
      <c r="J146" s="2"/>
      <c r="K146" s="2"/>
      <c r="L146" s="2"/>
      <c r="M146" s="2" t="s">
        <v>1554</v>
      </c>
      <c r="N146" s="2" t="s">
        <v>35</v>
      </c>
      <c r="O146" s="2" t="s">
        <v>1555</v>
      </c>
      <c r="P146" s="2" t="s">
        <v>1296</v>
      </c>
    </row>
    <row r="147">
      <c r="A147" s="4" t="s">
        <v>32</v>
      </c>
      <c r="B147" s="5">
        <v>2393.0</v>
      </c>
      <c r="C147" s="5">
        <v>4205942.0</v>
      </c>
      <c r="D147" s="5">
        <v>4211590.0</v>
      </c>
      <c r="E147" s="2" t="s">
        <v>167</v>
      </c>
      <c r="F147" s="2"/>
      <c r="G147" s="2"/>
      <c r="H147" s="2"/>
      <c r="I147" s="2"/>
      <c r="J147" s="2"/>
      <c r="K147" s="2"/>
      <c r="L147" s="2"/>
      <c r="M147" s="2" t="s">
        <v>1556</v>
      </c>
      <c r="N147" s="2" t="s">
        <v>35</v>
      </c>
      <c r="O147" s="2" t="s">
        <v>1557</v>
      </c>
      <c r="P147" s="2" t="s">
        <v>1316</v>
      </c>
    </row>
    <row r="148">
      <c r="A148" s="4" t="s">
        <v>32</v>
      </c>
      <c r="B148" s="5">
        <v>2399.0</v>
      </c>
      <c r="C148" s="5">
        <v>4245305.0</v>
      </c>
      <c r="D148" s="5">
        <v>4248516.0</v>
      </c>
      <c r="E148" s="2" t="s">
        <v>167</v>
      </c>
      <c r="F148" s="2"/>
      <c r="G148" s="2"/>
      <c r="H148" s="2"/>
      <c r="I148" s="2"/>
      <c r="J148" s="2"/>
      <c r="K148" s="2"/>
      <c r="L148" s="2"/>
      <c r="M148" s="2" t="s">
        <v>1558</v>
      </c>
      <c r="N148" s="2" t="s">
        <v>45</v>
      </c>
      <c r="O148" s="2" t="s">
        <v>1559</v>
      </c>
      <c r="P148" s="2" t="s">
        <v>1296</v>
      </c>
    </row>
    <row r="149">
      <c r="A149" s="4" t="s">
        <v>32</v>
      </c>
      <c r="B149" s="5">
        <v>2400.0</v>
      </c>
      <c r="C149" s="5">
        <v>4249200.0</v>
      </c>
      <c r="D149" s="5">
        <v>4251216.0</v>
      </c>
      <c r="E149" s="2" t="s">
        <v>167</v>
      </c>
      <c r="F149" s="2"/>
      <c r="G149" s="2"/>
      <c r="H149" s="2"/>
      <c r="I149" s="2"/>
      <c r="J149" s="2"/>
      <c r="K149" s="2"/>
      <c r="L149" s="2"/>
      <c r="M149" s="2" t="s">
        <v>1560</v>
      </c>
      <c r="N149" s="2" t="s">
        <v>35</v>
      </c>
      <c r="O149" s="2" t="s">
        <v>1561</v>
      </c>
      <c r="P149" s="2" t="s">
        <v>1296</v>
      </c>
    </row>
    <row r="150">
      <c r="A150" s="4" t="s">
        <v>32</v>
      </c>
      <c r="B150" s="5">
        <v>2400.0</v>
      </c>
      <c r="C150" s="5">
        <v>4249200.0</v>
      </c>
      <c r="D150" s="5">
        <v>4251216.0</v>
      </c>
      <c r="E150" s="2" t="s">
        <v>167</v>
      </c>
      <c r="F150" s="2"/>
      <c r="G150" s="2"/>
      <c r="H150" s="2"/>
      <c r="I150" s="2"/>
      <c r="J150" s="2"/>
      <c r="K150" s="2"/>
      <c r="L150" s="2"/>
      <c r="M150" s="2" t="s">
        <v>1562</v>
      </c>
      <c r="N150" s="2" t="s">
        <v>35</v>
      </c>
      <c r="O150" s="2" t="s">
        <v>1563</v>
      </c>
      <c r="P150" s="2" t="s">
        <v>1296</v>
      </c>
    </row>
    <row r="151">
      <c r="A151" s="4" t="s">
        <v>32</v>
      </c>
      <c r="B151" s="5">
        <v>2442.0</v>
      </c>
      <c r="C151" s="5">
        <v>85315.0</v>
      </c>
      <c r="D151" s="5">
        <v>87043.0</v>
      </c>
      <c r="E151" s="2" t="s">
        <v>204</v>
      </c>
      <c r="F151" s="2"/>
      <c r="G151" s="2"/>
      <c r="H151" s="2"/>
      <c r="I151" s="2"/>
      <c r="J151" s="2"/>
      <c r="K151" s="2"/>
      <c r="L151" s="2"/>
      <c r="M151" s="2" t="s">
        <v>1564</v>
      </c>
      <c r="N151" s="2" t="s">
        <v>35</v>
      </c>
      <c r="O151" s="2" t="s">
        <v>1565</v>
      </c>
      <c r="P151" s="2" t="s">
        <v>1316</v>
      </c>
    </row>
    <row r="152">
      <c r="A152" s="4" t="s">
        <v>32</v>
      </c>
      <c r="B152" s="5">
        <v>2488.0</v>
      </c>
      <c r="C152" s="5">
        <v>304540.0</v>
      </c>
      <c r="D152" s="5">
        <v>310500.0</v>
      </c>
      <c r="E152" s="2" t="s">
        <v>204</v>
      </c>
      <c r="F152" s="2"/>
      <c r="G152" s="2"/>
      <c r="H152" s="2"/>
      <c r="I152" s="2"/>
      <c r="J152" s="2"/>
      <c r="K152" s="2"/>
      <c r="L152" s="2"/>
      <c r="M152" s="2" t="s">
        <v>1566</v>
      </c>
      <c r="N152" s="2" t="s">
        <v>35</v>
      </c>
      <c r="O152" s="2" t="s">
        <v>1567</v>
      </c>
      <c r="P152" s="2" t="s">
        <v>1296</v>
      </c>
    </row>
    <row r="153">
      <c r="A153" s="4" t="s">
        <v>32</v>
      </c>
      <c r="B153" s="5">
        <v>2501.0</v>
      </c>
      <c r="C153" s="5">
        <v>376220.0</v>
      </c>
      <c r="D153" s="5">
        <v>380480.0</v>
      </c>
      <c r="E153" s="2" t="s">
        <v>204</v>
      </c>
      <c r="F153" s="2"/>
      <c r="G153" s="2"/>
      <c r="H153" s="2"/>
      <c r="I153" s="2"/>
      <c r="J153" s="2"/>
      <c r="K153" s="2"/>
      <c r="L153" s="2"/>
      <c r="M153" s="2" t="s">
        <v>1568</v>
      </c>
      <c r="N153" s="2" t="s">
        <v>35</v>
      </c>
      <c r="O153" s="2" t="s">
        <v>1569</v>
      </c>
      <c r="P153" s="2" t="s">
        <v>1296</v>
      </c>
    </row>
    <row r="154">
      <c r="A154" s="4" t="s">
        <v>32</v>
      </c>
      <c r="B154" s="5">
        <v>2503.0</v>
      </c>
      <c r="C154" s="5">
        <v>384000.0</v>
      </c>
      <c r="D154" s="5">
        <v>387610.0</v>
      </c>
      <c r="E154" s="2" t="s">
        <v>204</v>
      </c>
      <c r="F154" s="2"/>
      <c r="G154" s="2"/>
      <c r="H154" s="2"/>
      <c r="I154" s="2"/>
      <c r="J154" s="2"/>
      <c r="K154" s="2"/>
      <c r="L154" s="2"/>
      <c r="M154" s="2" t="s">
        <v>1570</v>
      </c>
      <c r="N154" s="2" t="s">
        <v>35</v>
      </c>
      <c r="O154" s="2" t="s">
        <v>1571</v>
      </c>
      <c r="P154" s="2" t="s">
        <v>1296</v>
      </c>
    </row>
    <row r="155">
      <c r="A155" s="4" t="s">
        <v>32</v>
      </c>
      <c r="B155" s="5">
        <v>2504.0</v>
      </c>
      <c r="C155" s="5">
        <v>387750.0</v>
      </c>
      <c r="D155" s="5">
        <v>392620.0</v>
      </c>
      <c r="E155" s="2" t="s">
        <v>204</v>
      </c>
      <c r="F155" s="2"/>
      <c r="G155" s="2"/>
      <c r="H155" s="2"/>
      <c r="I155" s="2"/>
      <c r="J155" s="2"/>
      <c r="K155" s="2"/>
      <c r="L155" s="2"/>
      <c r="M155" s="2" t="s">
        <v>1572</v>
      </c>
      <c r="N155" s="2" t="s">
        <v>35</v>
      </c>
      <c r="O155" s="2" t="s">
        <v>1573</v>
      </c>
      <c r="P155" s="2" t="s">
        <v>1296</v>
      </c>
    </row>
    <row r="156">
      <c r="A156" s="4" t="s">
        <v>32</v>
      </c>
      <c r="B156" s="5">
        <v>2517.0</v>
      </c>
      <c r="C156" s="5">
        <v>462030.0</v>
      </c>
      <c r="D156" s="5">
        <v>468240.0</v>
      </c>
      <c r="E156" s="2" t="s">
        <v>204</v>
      </c>
      <c r="F156" s="2"/>
      <c r="G156" s="2"/>
      <c r="H156" s="2"/>
      <c r="I156" s="2"/>
      <c r="J156" s="2"/>
      <c r="K156" s="2"/>
      <c r="L156" s="2"/>
      <c r="M156" s="2" t="s">
        <v>1574</v>
      </c>
      <c r="N156" s="2" t="s">
        <v>35</v>
      </c>
      <c r="O156" s="16" t="str">
        <f> картошку посажаю, я и вытягиваю борщевик оттуда. Он он такой уже, хотя каждый год...</f>
        <v>#ERROR!</v>
      </c>
      <c r="P156" s="2" t="s">
        <v>1300</v>
      </c>
    </row>
    <row r="157">
      <c r="A157" s="4" t="s">
        <v>32</v>
      </c>
      <c r="B157" s="5">
        <v>2537.0</v>
      </c>
      <c r="C157" s="5">
        <v>550650.0</v>
      </c>
      <c r="D157" s="5">
        <v>554640.0</v>
      </c>
      <c r="E157" s="2" t="s">
        <v>204</v>
      </c>
      <c r="F157" s="2"/>
      <c r="G157" s="2"/>
      <c r="H157" s="2"/>
      <c r="I157" s="2"/>
      <c r="J157" s="2"/>
      <c r="K157" s="2"/>
      <c r="L157" s="2"/>
      <c r="M157" s="2" t="s">
        <v>1575</v>
      </c>
      <c r="N157" s="2" t="s">
        <v>35</v>
      </c>
      <c r="O157" s="2" t="s">
        <v>1576</v>
      </c>
      <c r="P157" s="2" t="s">
        <v>1296</v>
      </c>
    </row>
    <row r="158">
      <c r="A158" s="4" t="s">
        <v>32</v>
      </c>
      <c r="B158" s="5">
        <v>2567.0</v>
      </c>
      <c r="C158" s="5">
        <v>690330.0</v>
      </c>
      <c r="D158" s="5">
        <v>692640.0</v>
      </c>
      <c r="E158" s="2" t="s">
        <v>204</v>
      </c>
      <c r="F158" s="2"/>
      <c r="G158" s="2"/>
      <c r="H158" s="2"/>
      <c r="I158" s="2"/>
      <c r="J158" s="2"/>
      <c r="K158" s="2"/>
      <c r="L158" s="2"/>
      <c r="M158" s="2" t="s">
        <v>1577</v>
      </c>
      <c r="N158" s="2" t="s">
        <v>35</v>
      </c>
      <c r="O158" s="2" t="s">
        <v>1578</v>
      </c>
      <c r="P158" s="2" t="s">
        <v>1316</v>
      </c>
    </row>
    <row r="159">
      <c r="A159" s="4" t="s">
        <v>32</v>
      </c>
      <c r="B159" s="5">
        <v>2607.0</v>
      </c>
      <c r="C159" s="5">
        <v>836340.0</v>
      </c>
      <c r="D159" s="5">
        <v>843400.0</v>
      </c>
      <c r="E159" s="2" t="s">
        <v>204</v>
      </c>
      <c r="F159" s="2"/>
      <c r="G159" s="2"/>
      <c r="H159" s="2"/>
      <c r="I159" s="2"/>
      <c r="J159" s="2"/>
      <c r="K159" s="2"/>
      <c r="L159" s="2"/>
      <c r="M159" s="2" t="s">
        <v>869</v>
      </c>
      <c r="N159" s="2" t="s">
        <v>35</v>
      </c>
      <c r="O159" s="2" t="s">
        <v>1579</v>
      </c>
      <c r="P159" s="2" t="s">
        <v>1316</v>
      </c>
    </row>
    <row r="160">
      <c r="A160" s="4" t="s">
        <v>32</v>
      </c>
      <c r="B160" s="5">
        <v>2620.0</v>
      </c>
      <c r="C160" s="5">
        <v>889870.0</v>
      </c>
      <c r="D160" s="5">
        <v>896630.0</v>
      </c>
      <c r="E160" s="2" t="s">
        <v>204</v>
      </c>
      <c r="F160" s="2"/>
      <c r="G160" s="2"/>
      <c r="H160" s="2"/>
      <c r="I160" s="2"/>
      <c r="J160" s="2"/>
      <c r="K160" s="2"/>
      <c r="L160" s="2"/>
      <c r="M160" s="2" t="s">
        <v>1580</v>
      </c>
      <c r="N160" s="2" t="s">
        <v>35</v>
      </c>
      <c r="O160" s="2" t="s">
        <v>1581</v>
      </c>
      <c r="P160" s="2" t="s">
        <v>1316</v>
      </c>
    </row>
    <row r="161">
      <c r="A161" s="4" t="s">
        <v>32</v>
      </c>
      <c r="B161" s="5">
        <v>2633.0</v>
      </c>
      <c r="C161" s="5">
        <v>957760.0</v>
      </c>
      <c r="D161" s="5">
        <v>960250.0</v>
      </c>
      <c r="E161" s="2" t="s">
        <v>204</v>
      </c>
      <c r="F161" s="2"/>
      <c r="G161" s="2"/>
      <c r="H161" s="2"/>
      <c r="I161" s="2"/>
      <c r="J161" s="2"/>
      <c r="K161" s="2"/>
      <c r="L161" s="2"/>
      <c r="M161" s="2" t="s">
        <v>410</v>
      </c>
      <c r="N161" s="2" t="s">
        <v>35</v>
      </c>
      <c r="O161" s="2" t="s">
        <v>1582</v>
      </c>
      <c r="P161" s="2" t="s">
        <v>1316</v>
      </c>
    </row>
    <row r="162">
      <c r="A162" s="4" t="s">
        <v>32</v>
      </c>
      <c r="B162" s="5">
        <v>2634.0</v>
      </c>
      <c r="C162" s="5">
        <v>960280.0</v>
      </c>
      <c r="D162" s="5">
        <v>963370.0</v>
      </c>
      <c r="E162" s="2" t="s">
        <v>204</v>
      </c>
      <c r="F162" s="2"/>
      <c r="G162" s="2"/>
      <c r="H162" s="2"/>
      <c r="I162" s="2"/>
      <c r="J162" s="2"/>
      <c r="K162" s="2"/>
      <c r="L162" s="2"/>
      <c r="M162" s="2" t="s">
        <v>410</v>
      </c>
      <c r="N162" s="2" t="s">
        <v>35</v>
      </c>
      <c r="O162" s="2" t="s">
        <v>1583</v>
      </c>
      <c r="P162" s="2" t="s">
        <v>1316</v>
      </c>
    </row>
    <row r="163">
      <c r="A163" s="4" t="s">
        <v>32</v>
      </c>
      <c r="B163" s="5">
        <v>2642.0</v>
      </c>
      <c r="C163" s="5">
        <v>997500.0</v>
      </c>
      <c r="D163" s="5">
        <v>1001200.0</v>
      </c>
      <c r="E163" s="2" t="s">
        <v>204</v>
      </c>
      <c r="F163" s="2"/>
      <c r="G163" s="2"/>
      <c r="H163" s="2"/>
      <c r="I163" s="2"/>
      <c r="J163" s="2"/>
      <c r="K163" s="2"/>
      <c r="L163" s="2"/>
      <c r="M163" s="2" t="s">
        <v>1584</v>
      </c>
      <c r="N163" s="2" t="s">
        <v>35</v>
      </c>
      <c r="O163" s="2" t="s">
        <v>1585</v>
      </c>
      <c r="P163" s="2" t="s">
        <v>1316</v>
      </c>
    </row>
    <row r="164">
      <c r="A164" s="4" t="s">
        <v>32</v>
      </c>
      <c r="B164" s="5">
        <v>2667.0</v>
      </c>
      <c r="C164" s="5">
        <v>1108750.0</v>
      </c>
      <c r="D164" s="5">
        <v>1112980.0</v>
      </c>
      <c r="E164" s="2" t="s">
        <v>204</v>
      </c>
      <c r="F164" s="2"/>
      <c r="G164" s="2"/>
      <c r="H164" s="2"/>
      <c r="I164" s="2"/>
      <c r="J164" s="2"/>
      <c r="K164" s="2"/>
      <c r="L164" s="2"/>
      <c r="M164" s="2" t="s">
        <v>1586</v>
      </c>
      <c r="N164" s="2" t="s">
        <v>35</v>
      </c>
      <c r="O164" s="2" t="s">
        <v>1587</v>
      </c>
      <c r="P164" s="2" t="s">
        <v>1296</v>
      </c>
    </row>
    <row r="165">
      <c r="A165" s="4" t="s">
        <v>32</v>
      </c>
      <c r="B165" s="5">
        <v>2717.0</v>
      </c>
      <c r="C165" s="5">
        <v>1291790.0</v>
      </c>
      <c r="D165" s="5">
        <v>1295430.0</v>
      </c>
      <c r="E165" s="2" t="s">
        <v>204</v>
      </c>
      <c r="F165" s="2"/>
      <c r="G165" s="2"/>
      <c r="H165" s="2"/>
      <c r="I165" s="2"/>
      <c r="J165" s="2"/>
      <c r="K165" s="2"/>
      <c r="L165" s="2"/>
      <c r="M165" s="2" t="s">
        <v>1588</v>
      </c>
      <c r="N165" s="2" t="s">
        <v>35</v>
      </c>
      <c r="O165" s="2" t="s">
        <v>1589</v>
      </c>
      <c r="P165" s="2" t="s">
        <v>1296</v>
      </c>
    </row>
    <row r="166">
      <c r="A166" s="4" t="s">
        <v>32</v>
      </c>
      <c r="B166" s="5">
        <v>2724.0</v>
      </c>
      <c r="C166" s="5">
        <v>1319250.0</v>
      </c>
      <c r="D166" s="5">
        <v>1325140.0</v>
      </c>
      <c r="E166" s="2" t="s">
        <v>204</v>
      </c>
      <c r="F166" s="2"/>
      <c r="G166" s="2"/>
      <c r="H166" s="2"/>
      <c r="I166" s="2"/>
      <c r="J166" s="2"/>
      <c r="K166" s="2"/>
      <c r="L166" s="2"/>
      <c r="M166" s="2" t="s">
        <v>1590</v>
      </c>
      <c r="N166" s="2" t="s">
        <v>35</v>
      </c>
      <c r="O166" s="2" t="s">
        <v>1591</v>
      </c>
      <c r="P166" s="2" t="s">
        <v>1296</v>
      </c>
    </row>
    <row r="167">
      <c r="A167" s="4" t="s">
        <v>32</v>
      </c>
      <c r="B167" s="5">
        <v>2724.0</v>
      </c>
      <c r="C167" s="5">
        <v>1319250.0</v>
      </c>
      <c r="D167" s="5">
        <v>1325140.0</v>
      </c>
      <c r="E167" s="2" t="s">
        <v>204</v>
      </c>
      <c r="F167" s="2"/>
      <c r="G167" s="2"/>
      <c r="H167" s="2"/>
      <c r="I167" s="2"/>
      <c r="J167" s="2"/>
      <c r="K167" s="2"/>
      <c r="L167" s="2"/>
      <c r="M167" s="2" t="s">
        <v>1592</v>
      </c>
      <c r="N167" s="2" t="s">
        <v>35</v>
      </c>
      <c r="O167" s="2" t="s">
        <v>1593</v>
      </c>
      <c r="P167" s="2" t="s">
        <v>1296</v>
      </c>
    </row>
    <row r="168">
      <c r="A168" s="4" t="s">
        <v>32</v>
      </c>
      <c r="B168" s="5">
        <v>2749.0</v>
      </c>
      <c r="C168" s="5">
        <v>1409700.0</v>
      </c>
      <c r="D168" s="5">
        <v>1411620.0</v>
      </c>
      <c r="E168" s="2" t="s">
        <v>204</v>
      </c>
      <c r="F168" s="2"/>
      <c r="G168" s="2"/>
      <c r="H168" s="2"/>
      <c r="I168" s="2"/>
      <c r="J168" s="2"/>
      <c r="K168" s="2"/>
      <c r="L168" s="2"/>
      <c r="M168" s="2" t="s">
        <v>1594</v>
      </c>
      <c r="N168" s="2" t="s">
        <v>35</v>
      </c>
      <c r="O168" s="2" t="s">
        <v>1595</v>
      </c>
      <c r="P168" s="2" t="s">
        <v>1316</v>
      </c>
    </row>
    <row r="169">
      <c r="A169" s="4" t="s">
        <v>32</v>
      </c>
      <c r="B169" s="5">
        <v>2787.0</v>
      </c>
      <c r="C169" s="5">
        <v>1587638.0</v>
      </c>
      <c r="D169" s="5">
        <v>1590208.0</v>
      </c>
      <c r="E169" s="2" t="s">
        <v>204</v>
      </c>
      <c r="F169" s="2"/>
      <c r="G169" s="2"/>
      <c r="H169" s="2"/>
      <c r="I169" s="2"/>
      <c r="J169" s="2"/>
      <c r="K169" s="2"/>
      <c r="L169" s="2"/>
      <c r="M169" s="2" t="s">
        <v>1596</v>
      </c>
      <c r="N169" s="2" t="s">
        <v>35</v>
      </c>
      <c r="O169" s="2" t="s">
        <v>1597</v>
      </c>
      <c r="P169" s="2" t="s">
        <v>1296</v>
      </c>
    </row>
    <row r="170">
      <c r="A170" s="4" t="s">
        <v>32</v>
      </c>
      <c r="B170" s="5">
        <v>2805.0</v>
      </c>
      <c r="C170" s="5">
        <v>1655749.0</v>
      </c>
      <c r="D170" s="5">
        <v>1658444.0</v>
      </c>
      <c r="E170" s="2" t="s">
        <v>204</v>
      </c>
      <c r="F170" s="2"/>
      <c r="G170" s="2"/>
      <c r="H170" s="2"/>
      <c r="I170" s="2"/>
      <c r="J170" s="2"/>
      <c r="K170" s="2"/>
      <c r="L170" s="2"/>
      <c r="M170" s="2" t="s">
        <v>1598</v>
      </c>
      <c r="N170" s="2" t="s">
        <v>35</v>
      </c>
      <c r="O170" s="2" t="s">
        <v>1599</v>
      </c>
      <c r="P170" s="2" t="s">
        <v>1296</v>
      </c>
    </row>
    <row r="171">
      <c r="A171" s="4" t="s">
        <v>32</v>
      </c>
      <c r="B171" s="5">
        <v>2813.0</v>
      </c>
      <c r="C171" s="5">
        <v>1685722.0</v>
      </c>
      <c r="D171" s="5">
        <v>1689083.0</v>
      </c>
      <c r="E171" s="2" t="s">
        <v>204</v>
      </c>
      <c r="F171" s="2"/>
      <c r="G171" s="2"/>
      <c r="H171" s="2"/>
      <c r="I171" s="2"/>
      <c r="J171" s="2"/>
      <c r="K171" s="2"/>
      <c r="L171" s="2"/>
      <c r="M171" s="2" t="s">
        <v>1600</v>
      </c>
      <c r="N171" s="2" t="s">
        <v>35</v>
      </c>
      <c r="O171" s="2" t="s">
        <v>1601</v>
      </c>
      <c r="P171" s="2" t="s">
        <v>1296</v>
      </c>
    </row>
    <row r="172">
      <c r="A172" s="4" t="s">
        <v>32</v>
      </c>
      <c r="B172" s="5">
        <v>2817.0</v>
      </c>
      <c r="C172" s="5">
        <v>1704888.0</v>
      </c>
      <c r="D172" s="5">
        <v>1707319.0</v>
      </c>
      <c r="E172" s="2" t="s">
        <v>204</v>
      </c>
      <c r="F172" s="2"/>
      <c r="G172" s="2"/>
      <c r="H172" s="2"/>
      <c r="I172" s="2"/>
      <c r="J172" s="2"/>
      <c r="K172" s="2"/>
      <c r="L172" s="2"/>
      <c r="M172" s="2" t="s">
        <v>1602</v>
      </c>
      <c r="N172" s="2" t="s">
        <v>35</v>
      </c>
      <c r="O172" s="2" t="s">
        <v>1603</v>
      </c>
      <c r="P172" s="2" t="s">
        <v>1296</v>
      </c>
    </row>
    <row r="173">
      <c r="A173" s="4" t="s">
        <v>32</v>
      </c>
      <c r="B173" s="5">
        <v>2826.0</v>
      </c>
      <c r="C173" s="5">
        <v>1740861.0</v>
      </c>
      <c r="D173" s="5">
        <v>1746902.0</v>
      </c>
      <c r="E173" s="2" t="s">
        <v>204</v>
      </c>
      <c r="F173" s="2"/>
      <c r="G173" s="2"/>
      <c r="H173" s="2"/>
      <c r="I173" s="2"/>
      <c r="J173" s="2"/>
      <c r="K173" s="2"/>
      <c r="L173" s="2"/>
      <c r="M173" s="2" t="s">
        <v>1604</v>
      </c>
      <c r="N173" s="2" t="s">
        <v>35</v>
      </c>
      <c r="O173" s="16" t="str">
        <f>, скот па = пастуха постоянного не было.</f>
        <v>#ERROR!</v>
      </c>
      <c r="P173" s="2" t="s">
        <v>1300</v>
      </c>
    </row>
    <row r="174">
      <c r="A174" s="4" t="s">
        <v>32</v>
      </c>
      <c r="B174" s="5">
        <v>2833.0</v>
      </c>
      <c r="C174" s="5">
        <v>1766861.0</v>
      </c>
      <c r="D174" s="5">
        <v>1771347.0</v>
      </c>
      <c r="E174" s="2" t="s">
        <v>204</v>
      </c>
      <c r="F174" s="2"/>
      <c r="G174" s="2"/>
      <c r="H174" s="2"/>
      <c r="I174" s="2"/>
      <c r="J174" s="2"/>
      <c r="K174" s="2"/>
      <c r="L174" s="2"/>
      <c r="M174" s="2" t="s">
        <v>1605</v>
      </c>
      <c r="N174" s="2" t="s">
        <v>35</v>
      </c>
      <c r="O174" s="2" t="s">
        <v>1606</v>
      </c>
      <c r="P174" s="2" t="s">
        <v>1296</v>
      </c>
    </row>
    <row r="175">
      <c r="A175" s="4" t="s">
        <v>32</v>
      </c>
      <c r="B175" s="5">
        <v>3025.0</v>
      </c>
      <c r="C175" s="5">
        <v>2666578.0</v>
      </c>
      <c r="D175" s="5">
        <v>2673026.0</v>
      </c>
      <c r="E175" s="2" t="s">
        <v>204</v>
      </c>
      <c r="F175" s="2"/>
      <c r="G175" s="2"/>
      <c r="H175" s="2"/>
      <c r="I175" s="2"/>
      <c r="J175" s="2"/>
      <c r="K175" s="2"/>
      <c r="L175" s="2"/>
      <c r="M175" s="2" t="s">
        <v>1607</v>
      </c>
      <c r="N175" s="2" t="s">
        <v>35</v>
      </c>
      <c r="O175" s="16" t="e">
        <v>#NAME?</v>
      </c>
      <c r="P175" s="2" t="s">
        <v>1300</v>
      </c>
    </row>
    <row r="176">
      <c r="A176" s="4" t="s">
        <v>32</v>
      </c>
      <c r="B176" s="5">
        <v>3039.0</v>
      </c>
      <c r="C176" s="5">
        <v>2748263.0</v>
      </c>
      <c r="D176" s="5">
        <v>2752421.0</v>
      </c>
      <c r="E176" s="2" t="s">
        <v>204</v>
      </c>
      <c r="F176" s="2"/>
      <c r="G176" s="2"/>
      <c r="H176" s="2"/>
      <c r="I176" s="2"/>
      <c r="J176" s="2"/>
      <c r="K176" s="2"/>
      <c r="L176" s="2"/>
      <c r="M176" s="2" t="s">
        <v>1608</v>
      </c>
      <c r="N176" s="2" t="s">
        <v>35</v>
      </c>
      <c r="O176" s="16" t="e">
        <v>#NAME?</v>
      </c>
      <c r="P176" s="2" t="s">
        <v>1300</v>
      </c>
    </row>
    <row r="177">
      <c r="A177" s="4" t="s">
        <v>32</v>
      </c>
      <c r="B177" s="5">
        <v>3041.0</v>
      </c>
      <c r="C177" s="5">
        <v>2754828.0</v>
      </c>
      <c r="D177" s="5">
        <v>2766328.0</v>
      </c>
      <c r="E177" s="2" t="s">
        <v>204</v>
      </c>
      <c r="F177" s="2"/>
      <c r="G177" s="2"/>
      <c r="H177" s="2"/>
      <c r="I177" s="2"/>
      <c r="J177" s="2"/>
      <c r="K177" s="2"/>
      <c r="L177" s="2"/>
      <c r="M177" s="2" t="s">
        <v>1609</v>
      </c>
      <c r="N177" s="2" t="s">
        <v>35</v>
      </c>
      <c r="O177" s="2" t="s">
        <v>1610</v>
      </c>
      <c r="P177" s="2" t="s">
        <v>1296</v>
      </c>
    </row>
    <row r="178">
      <c r="A178" s="4" t="s">
        <v>32</v>
      </c>
      <c r="B178" s="5">
        <v>3052.0</v>
      </c>
      <c r="C178" s="5">
        <v>2830105.0</v>
      </c>
      <c r="D178" s="5">
        <v>2836223.0</v>
      </c>
      <c r="E178" s="2" t="s">
        <v>204</v>
      </c>
      <c r="F178" s="2"/>
      <c r="G178" s="2"/>
      <c r="H178" s="2"/>
      <c r="I178" s="2"/>
      <c r="J178" s="2"/>
      <c r="K178" s="2"/>
      <c r="L178" s="2"/>
      <c r="M178" s="2" t="s">
        <v>1611</v>
      </c>
      <c r="N178" s="2" t="s">
        <v>35</v>
      </c>
      <c r="O178" s="16" t="str">
        <f> кладут вот так и все колотят(колотют), все.</f>
        <v>#ERROR!</v>
      </c>
      <c r="P178" s="2" t="s">
        <v>1300</v>
      </c>
    </row>
    <row r="179">
      <c r="A179" s="4" t="s">
        <v>32</v>
      </c>
      <c r="B179" s="5">
        <v>3057.0</v>
      </c>
      <c r="C179" s="5">
        <v>2858776.0</v>
      </c>
      <c r="D179" s="5">
        <v>2863776.0</v>
      </c>
      <c r="E179" s="2" t="s">
        <v>204</v>
      </c>
      <c r="F179" s="2"/>
      <c r="G179" s="2"/>
      <c r="H179" s="2"/>
      <c r="I179" s="2"/>
      <c r="J179" s="2"/>
      <c r="K179" s="2"/>
      <c r="L179" s="2"/>
      <c r="M179" s="2" t="s">
        <v>1612</v>
      </c>
      <c r="N179" s="2" t="s">
        <v>35</v>
      </c>
      <c r="O179" s="16" t="e">
        <v>#VALUE!</v>
      </c>
      <c r="P179" s="2" t="s">
        <v>1300</v>
      </c>
    </row>
    <row r="180">
      <c r="A180" s="4" t="s">
        <v>32</v>
      </c>
      <c r="B180" s="5">
        <v>3106.0</v>
      </c>
      <c r="C180" s="5">
        <v>3149270.0</v>
      </c>
      <c r="D180" s="5">
        <v>3153355.0</v>
      </c>
      <c r="E180" s="2" t="s">
        <v>204</v>
      </c>
      <c r="F180" s="2"/>
      <c r="G180" s="2"/>
      <c r="H180" s="2"/>
      <c r="I180" s="2"/>
      <c r="J180" s="2"/>
      <c r="K180" s="2"/>
      <c r="L180" s="2"/>
      <c r="M180" s="2" t="s">
        <v>1613</v>
      </c>
      <c r="N180" s="2" t="s">
        <v>35</v>
      </c>
      <c r="O180" s="2" t="s">
        <v>1614</v>
      </c>
      <c r="P180" s="2" t="s">
        <v>1296</v>
      </c>
    </row>
    <row r="181">
      <c r="A181" s="4" t="s">
        <v>32</v>
      </c>
      <c r="B181" s="5">
        <v>3118.0</v>
      </c>
      <c r="C181" s="5">
        <v>3209342.0</v>
      </c>
      <c r="D181" s="5">
        <v>3215842.0</v>
      </c>
      <c r="E181" s="2" t="s">
        <v>204</v>
      </c>
      <c r="F181" s="2"/>
      <c r="G181" s="2"/>
      <c r="H181" s="2"/>
      <c r="I181" s="2"/>
      <c r="J181" s="2"/>
      <c r="K181" s="2"/>
      <c r="L181" s="2"/>
      <c r="M181" s="2" t="s">
        <v>1615</v>
      </c>
      <c r="N181" s="2" t="s">
        <v>35</v>
      </c>
      <c r="O181" s="2" t="s">
        <v>1616</v>
      </c>
      <c r="P181" s="2" t="s">
        <v>1296</v>
      </c>
    </row>
    <row r="182">
      <c r="A182" s="4" t="s">
        <v>32</v>
      </c>
      <c r="B182" s="5">
        <v>3131.0</v>
      </c>
      <c r="C182" s="5">
        <v>3265868.0</v>
      </c>
      <c r="D182" s="5">
        <v>3272157.0</v>
      </c>
      <c r="E182" s="2" t="s">
        <v>204</v>
      </c>
      <c r="F182" s="2"/>
      <c r="G182" s="2"/>
      <c r="H182" s="2"/>
      <c r="I182" s="2"/>
      <c r="J182" s="2"/>
      <c r="K182" s="2"/>
      <c r="L182" s="2"/>
      <c r="M182" s="2" t="s">
        <v>1617</v>
      </c>
      <c r="N182" s="2" t="s">
        <v>35</v>
      </c>
      <c r="O182" s="2" t="s">
        <v>1618</v>
      </c>
      <c r="P182" s="2" t="s">
        <v>1316</v>
      </c>
    </row>
    <row r="183">
      <c r="A183" s="4" t="s">
        <v>32</v>
      </c>
      <c r="B183" s="5">
        <v>3131.0</v>
      </c>
      <c r="C183" s="5">
        <v>3265868.0</v>
      </c>
      <c r="D183" s="5">
        <v>3272157.0</v>
      </c>
      <c r="E183" s="2" t="s">
        <v>204</v>
      </c>
      <c r="F183" s="2"/>
      <c r="G183" s="2"/>
      <c r="H183" s="2"/>
      <c r="I183" s="2"/>
      <c r="J183" s="2"/>
      <c r="K183" s="2"/>
      <c r="L183" s="2"/>
      <c r="M183" s="2" t="s">
        <v>1619</v>
      </c>
      <c r="N183" s="2" t="s">
        <v>35</v>
      </c>
      <c r="O183" s="2" t="s">
        <v>1620</v>
      </c>
      <c r="P183" s="2" t="s">
        <v>1316</v>
      </c>
    </row>
    <row r="184">
      <c r="A184" s="4" t="s">
        <v>32</v>
      </c>
      <c r="B184" s="5">
        <v>3148.0</v>
      </c>
      <c r="C184" s="5">
        <v>3359973.0</v>
      </c>
      <c r="D184" s="5">
        <v>3372749.0</v>
      </c>
      <c r="E184" s="2" t="s">
        <v>204</v>
      </c>
      <c r="F184" s="2"/>
      <c r="G184" s="2"/>
      <c r="H184" s="2"/>
      <c r="I184" s="2"/>
      <c r="J184" s="2"/>
      <c r="K184" s="2"/>
      <c r="L184" s="2"/>
      <c r="M184" s="2" t="s">
        <v>1621</v>
      </c>
      <c r="N184" s="2" t="s">
        <v>35</v>
      </c>
      <c r="O184" s="2" t="s">
        <v>1622</v>
      </c>
      <c r="P184" s="2" t="s">
        <v>1298</v>
      </c>
    </row>
    <row r="185">
      <c r="A185" s="4" t="s">
        <v>32</v>
      </c>
      <c r="B185" s="5">
        <v>3161.0</v>
      </c>
      <c r="C185" s="5">
        <v>3432670.0</v>
      </c>
      <c r="D185" s="5">
        <v>3439394.0</v>
      </c>
      <c r="E185" s="2" t="s">
        <v>204</v>
      </c>
      <c r="F185" s="2"/>
      <c r="G185" s="2"/>
      <c r="H185" s="2"/>
      <c r="I185" s="2"/>
      <c r="J185" s="2"/>
      <c r="K185" s="2"/>
      <c r="L185" s="2"/>
      <c r="M185" s="2" t="s">
        <v>1623</v>
      </c>
      <c r="N185" s="2" t="s">
        <v>35</v>
      </c>
      <c r="O185" s="2" t="s">
        <v>1624</v>
      </c>
      <c r="P185" s="2" t="s">
        <v>1296</v>
      </c>
    </row>
    <row r="186">
      <c r="A186" s="4" t="s">
        <v>32</v>
      </c>
      <c r="B186" s="5">
        <v>3279.0</v>
      </c>
      <c r="C186" s="5">
        <v>4216947.0</v>
      </c>
      <c r="D186" s="5">
        <v>4224381.0</v>
      </c>
      <c r="E186" s="2" t="s">
        <v>204</v>
      </c>
      <c r="F186" s="2"/>
      <c r="G186" s="2"/>
      <c r="H186" s="2"/>
      <c r="I186" s="2"/>
      <c r="J186" s="2"/>
      <c r="K186" s="2"/>
      <c r="L186" s="2"/>
      <c r="M186" s="2"/>
      <c r="N186" s="2" t="s">
        <v>35</v>
      </c>
      <c r="O186" s="2" t="s">
        <v>1625</v>
      </c>
      <c r="P186" s="5" t="s">
        <v>1298</v>
      </c>
    </row>
    <row r="187">
      <c r="A187" s="4" t="s">
        <v>32</v>
      </c>
      <c r="B187" s="5">
        <v>3220.0</v>
      </c>
      <c r="C187" s="5">
        <v>3778865.0</v>
      </c>
      <c r="D187" s="5">
        <v>3788977.0</v>
      </c>
      <c r="E187" s="2" t="s">
        <v>204</v>
      </c>
      <c r="F187" s="2"/>
      <c r="G187" s="2"/>
      <c r="H187" s="2"/>
      <c r="I187" s="2"/>
      <c r="J187" s="2"/>
      <c r="K187" s="2"/>
      <c r="L187" s="2"/>
      <c r="M187" s="2" t="s">
        <v>1626</v>
      </c>
      <c r="N187" s="2" t="s">
        <v>35</v>
      </c>
      <c r="O187" s="2" t="s">
        <v>1627</v>
      </c>
      <c r="P187" s="2" t="s">
        <v>1298</v>
      </c>
    </row>
    <row r="188">
      <c r="A188" s="4" t="s">
        <v>32</v>
      </c>
      <c r="B188" s="5">
        <v>3161.0</v>
      </c>
      <c r="C188" s="5">
        <v>3432670.0</v>
      </c>
      <c r="D188" s="5">
        <v>3439394.0</v>
      </c>
      <c r="E188" s="2" t="s">
        <v>204</v>
      </c>
      <c r="F188" s="2"/>
      <c r="G188" s="2"/>
      <c r="H188" s="2"/>
      <c r="I188" s="2"/>
      <c r="J188" s="2"/>
      <c r="K188" s="2"/>
      <c r="L188" s="2"/>
      <c r="M188" s="2" t="s">
        <v>1628</v>
      </c>
      <c r="N188" s="2" t="s">
        <v>35</v>
      </c>
      <c r="O188" s="2" t="s">
        <v>1629</v>
      </c>
      <c r="P188" s="2" t="s">
        <v>1296</v>
      </c>
    </row>
    <row r="189">
      <c r="A189" s="4" t="s">
        <v>32</v>
      </c>
      <c r="B189" s="5">
        <v>3176.0</v>
      </c>
      <c r="C189" s="5">
        <v>3508115.0</v>
      </c>
      <c r="D189" s="5">
        <v>3511415.0</v>
      </c>
      <c r="E189" s="2" t="s">
        <v>204</v>
      </c>
      <c r="F189" s="2"/>
      <c r="G189" s="2"/>
      <c r="H189" s="2"/>
      <c r="I189" s="2"/>
      <c r="J189" s="2"/>
      <c r="K189" s="2"/>
      <c r="L189" s="2"/>
      <c r="M189" s="2" t="s">
        <v>1630</v>
      </c>
      <c r="N189" s="2" t="s">
        <v>35</v>
      </c>
      <c r="O189" s="2" t="s">
        <v>1631</v>
      </c>
      <c r="P189" s="2" t="s">
        <v>1296</v>
      </c>
    </row>
    <row r="190">
      <c r="A190" s="4" t="s">
        <v>32</v>
      </c>
      <c r="B190" s="5">
        <v>3192.0</v>
      </c>
      <c r="C190" s="5">
        <v>3591115.0</v>
      </c>
      <c r="D190" s="5">
        <v>3602352.0</v>
      </c>
      <c r="E190" s="2" t="s">
        <v>204</v>
      </c>
      <c r="F190" s="2"/>
      <c r="G190" s="2"/>
      <c r="H190" s="2"/>
      <c r="I190" s="2"/>
      <c r="J190" s="2"/>
      <c r="K190" s="2"/>
      <c r="L190" s="2"/>
      <c r="M190" s="2" t="s">
        <v>1632</v>
      </c>
      <c r="N190" s="2" t="s">
        <v>35</v>
      </c>
      <c r="O190" s="2" t="s">
        <v>1633</v>
      </c>
      <c r="P190" s="2" t="s">
        <v>1296</v>
      </c>
    </row>
    <row r="191">
      <c r="A191" s="4" t="s">
        <v>32</v>
      </c>
      <c r="B191" s="5">
        <v>3206.0</v>
      </c>
      <c r="C191" s="5">
        <v>3672884.0</v>
      </c>
      <c r="D191" s="5">
        <v>3688064.0</v>
      </c>
      <c r="E191" s="2" t="s">
        <v>204</v>
      </c>
      <c r="F191" s="2"/>
      <c r="G191" s="2"/>
      <c r="H191" s="2"/>
      <c r="I191" s="2"/>
      <c r="J191" s="2"/>
      <c r="K191" s="2"/>
      <c r="L191" s="2"/>
      <c r="M191" s="2" t="s">
        <v>1634</v>
      </c>
      <c r="N191" s="2" t="s">
        <v>35</v>
      </c>
      <c r="O191" s="2" t="s">
        <v>1635</v>
      </c>
      <c r="P191" s="2" t="s">
        <v>1296</v>
      </c>
    </row>
    <row r="192">
      <c r="A192" s="4" t="s">
        <v>32</v>
      </c>
      <c r="B192" s="5">
        <v>3210.0</v>
      </c>
      <c r="C192" s="5">
        <v>3710815.0</v>
      </c>
      <c r="D192" s="5">
        <v>3716940.0</v>
      </c>
      <c r="E192" s="2" t="s">
        <v>204</v>
      </c>
      <c r="F192" s="2"/>
      <c r="G192" s="2"/>
      <c r="H192" s="2"/>
      <c r="I192" s="2"/>
      <c r="J192" s="2"/>
      <c r="K192" s="2"/>
      <c r="L192" s="2"/>
      <c r="M192" s="2" t="s">
        <v>1636</v>
      </c>
      <c r="N192" s="2" t="s">
        <v>35</v>
      </c>
      <c r="O192" s="2" t="s">
        <v>1637</v>
      </c>
      <c r="P192" s="2" t="s">
        <v>1296</v>
      </c>
    </row>
    <row r="193">
      <c r="A193" s="4" t="s">
        <v>32</v>
      </c>
      <c r="B193" s="5">
        <v>3220.0</v>
      </c>
      <c r="C193" s="5">
        <v>3778865.0</v>
      </c>
      <c r="D193" s="5">
        <v>3788977.0</v>
      </c>
      <c r="E193" s="2" t="s">
        <v>204</v>
      </c>
      <c r="F193" s="2"/>
      <c r="G193" s="2"/>
      <c r="H193" s="2"/>
      <c r="I193" s="2"/>
      <c r="J193" s="2"/>
      <c r="K193" s="2"/>
      <c r="L193" s="2"/>
      <c r="M193" s="2" t="s">
        <v>1626</v>
      </c>
      <c r="N193" s="2" t="s">
        <v>35</v>
      </c>
      <c r="O193" s="2" t="s">
        <v>1627</v>
      </c>
      <c r="P193" s="2" t="s">
        <v>1298</v>
      </c>
    </row>
    <row r="194">
      <c r="A194" s="4" t="s">
        <v>32</v>
      </c>
      <c r="B194" s="5">
        <v>3227.0</v>
      </c>
      <c r="C194" s="5">
        <v>3835777.0</v>
      </c>
      <c r="D194" s="5">
        <v>3843627.0</v>
      </c>
      <c r="E194" s="2" t="s">
        <v>204</v>
      </c>
      <c r="F194" s="2"/>
      <c r="G194" s="2"/>
      <c r="H194" s="2"/>
      <c r="I194" s="2"/>
      <c r="J194" s="2"/>
      <c r="K194" s="2"/>
      <c r="L194" s="2"/>
      <c r="M194" s="2" t="s">
        <v>1638</v>
      </c>
      <c r="N194" s="2" t="s">
        <v>35</v>
      </c>
      <c r="O194" s="2" t="s">
        <v>1639</v>
      </c>
      <c r="P194" s="2" t="s">
        <v>1298</v>
      </c>
    </row>
    <row r="195">
      <c r="A195" s="4" t="s">
        <v>32</v>
      </c>
      <c r="B195" s="5">
        <v>3227.0</v>
      </c>
      <c r="C195" s="5">
        <v>3835777.0</v>
      </c>
      <c r="D195" s="5">
        <v>3843627.0</v>
      </c>
      <c r="E195" s="2" t="s">
        <v>204</v>
      </c>
      <c r="F195" s="2"/>
      <c r="G195" s="2"/>
      <c r="H195" s="2"/>
      <c r="I195" s="2"/>
      <c r="J195" s="2"/>
      <c r="K195" s="2"/>
      <c r="L195" s="2"/>
      <c r="M195" s="2" t="s">
        <v>1640</v>
      </c>
      <c r="N195" s="2" t="s">
        <v>35</v>
      </c>
      <c r="O195" s="2" t="s">
        <v>1641</v>
      </c>
      <c r="P195" s="2" t="s">
        <v>1298</v>
      </c>
    </row>
    <row r="196">
      <c r="A196" s="4" t="s">
        <v>32</v>
      </c>
      <c r="B196" s="5">
        <v>3229.0</v>
      </c>
      <c r="C196" s="5">
        <v>3851052.0</v>
      </c>
      <c r="D196" s="5">
        <v>3855327.0</v>
      </c>
      <c r="E196" s="2" t="s">
        <v>204</v>
      </c>
      <c r="F196" s="2"/>
      <c r="G196" s="2"/>
      <c r="H196" s="2"/>
      <c r="I196" s="2"/>
      <c r="J196" s="2"/>
      <c r="K196" s="2"/>
      <c r="L196" s="2"/>
      <c r="M196" s="2" t="s">
        <v>1642</v>
      </c>
      <c r="N196" s="2" t="s">
        <v>35</v>
      </c>
      <c r="O196" s="2" t="s">
        <v>1643</v>
      </c>
      <c r="P196" s="2" t="s">
        <v>1298</v>
      </c>
    </row>
    <row r="197">
      <c r="A197" s="4" t="s">
        <v>32</v>
      </c>
      <c r="B197" s="5">
        <v>3229.0</v>
      </c>
      <c r="C197" s="5">
        <v>3851052.0</v>
      </c>
      <c r="D197" s="5">
        <v>3855327.0</v>
      </c>
      <c r="E197" s="2" t="s">
        <v>204</v>
      </c>
      <c r="F197" s="2"/>
      <c r="G197" s="2"/>
      <c r="H197" s="2"/>
      <c r="I197" s="2"/>
      <c r="J197" s="2"/>
      <c r="K197" s="2"/>
      <c r="L197" s="2"/>
      <c r="M197" s="2" t="s">
        <v>1644</v>
      </c>
      <c r="N197" s="2" t="s">
        <v>35</v>
      </c>
      <c r="O197" s="2" t="s">
        <v>1645</v>
      </c>
      <c r="P197" s="2" t="s">
        <v>1298</v>
      </c>
    </row>
    <row r="198">
      <c r="A198" s="4" t="s">
        <v>32</v>
      </c>
      <c r="B198" s="5">
        <v>3256.0</v>
      </c>
      <c r="C198" s="5">
        <v>4077190.0</v>
      </c>
      <c r="D198" s="5">
        <v>4086003.0</v>
      </c>
      <c r="E198" s="2" t="s">
        <v>204</v>
      </c>
      <c r="F198" s="2"/>
      <c r="G198" s="2"/>
      <c r="H198" s="2"/>
      <c r="I198" s="2"/>
      <c r="J198" s="2"/>
      <c r="K198" s="2"/>
      <c r="L198" s="2"/>
      <c r="M198" s="2" t="s">
        <v>1646</v>
      </c>
      <c r="N198" s="2" t="s">
        <v>35</v>
      </c>
      <c r="O198" s="2" t="s">
        <v>1647</v>
      </c>
      <c r="P198" s="2" t="s">
        <v>1296</v>
      </c>
    </row>
    <row r="199">
      <c r="A199" s="4" t="s">
        <v>32</v>
      </c>
      <c r="B199" s="5">
        <v>3279.0</v>
      </c>
      <c r="C199" s="5">
        <v>4216947.0</v>
      </c>
      <c r="D199" s="5">
        <v>4224381.0</v>
      </c>
      <c r="E199" s="2" t="s">
        <v>204</v>
      </c>
      <c r="F199" s="2"/>
      <c r="G199" s="2"/>
      <c r="H199" s="2"/>
      <c r="I199" s="2"/>
      <c r="J199" s="2"/>
      <c r="K199" s="2"/>
      <c r="L199" s="2"/>
      <c r="M199" s="2"/>
      <c r="N199" s="2" t="s">
        <v>35</v>
      </c>
      <c r="O199" s="2" t="s">
        <v>1625</v>
      </c>
      <c r="P199" s="2" t="s">
        <v>1298</v>
      </c>
    </row>
    <row r="200">
      <c r="A200" s="4" t="s">
        <v>32</v>
      </c>
      <c r="B200" s="5">
        <v>3287.0</v>
      </c>
      <c r="C200" s="5">
        <v>4267775.0</v>
      </c>
      <c r="D200" s="5">
        <v>4278875.0</v>
      </c>
      <c r="E200" s="2" t="s">
        <v>204</v>
      </c>
      <c r="F200" s="2"/>
      <c r="G200" s="2"/>
      <c r="H200" s="2"/>
      <c r="I200" s="2"/>
      <c r="J200" s="2"/>
      <c r="K200" s="2"/>
      <c r="L200" s="2"/>
      <c r="M200" s="2" t="s">
        <v>1648</v>
      </c>
      <c r="N200" s="2" t="s">
        <v>35</v>
      </c>
      <c r="O200" s="2" t="s">
        <v>1649</v>
      </c>
      <c r="P200" s="2" t="s">
        <v>1296</v>
      </c>
    </row>
    <row r="201">
      <c r="A201" s="4" t="s">
        <v>32</v>
      </c>
      <c r="B201" s="5">
        <v>3287.0</v>
      </c>
      <c r="C201" s="5">
        <v>4267775.0</v>
      </c>
      <c r="D201" s="5">
        <v>4278875.0</v>
      </c>
      <c r="E201" s="2" t="s">
        <v>204</v>
      </c>
      <c r="F201" s="2"/>
      <c r="G201" s="2"/>
      <c r="H201" s="2"/>
      <c r="I201" s="2"/>
      <c r="J201" s="2"/>
      <c r="K201" s="2"/>
      <c r="L201" s="2"/>
      <c r="M201" s="2" t="s">
        <v>1650</v>
      </c>
      <c r="N201" s="2" t="s">
        <v>35</v>
      </c>
      <c r="O201" s="2" t="s">
        <v>1651</v>
      </c>
      <c r="P201" s="2" t="s">
        <v>1296</v>
      </c>
    </row>
    <row r="202">
      <c r="A202" s="4" t="s">
        <v>32</v>
      </c>
      <c r="B202" s="5">
        <v>3288.0</v>
      </c>
      <c r="C202" s="5">
        <v>4279160.0</v>
      </c>
      <c r="D202" s="5">
        <v>4284460.0</v>
      </c>
      <c r="E202" s="2" t="s">
        <v>204</v>
      </c>
      <c r="F202" s="2"/>
      <c r="G202" s="2"/>
      <c r="H202" s="2"/>
      <c r="I202" s="2"/>
      <c r="J202" s="2"/>
      <c r="K202" s="2"/>
      <c r="L202" s="2"/>
      <c r="M202" s="2" t="s">
        <v>1652</v>
      </c>
      <c r="N202" s="2" t="s">
        <v>35</v>
      </c>
      <c r="O202" s="2" t="s">
        <v>1653</v>
      </c>
      <c r="P202" s="2" t="s">
        <v>1296</v>
      </c>
    </row>
    <row r="203">
      <c r="A203" s="4" t="s">
        <v>32</v>
      </c>
      <c r="B203" s="5">
        <v>3288.0</v>
      </c>
      <c r="C203" s="5">
        <v>4279160.0</v>
      </c>
      <c r="D203" s="5">
        <v>4284460.0</v>
      </c>
      <c r="E203" s="2" t="s">
        <v>204</v>
      </c>
      <c r="F203" s="2"/>
      <c r="G203" s="2"/>
      <c r="H203" s="2"/>
      <c r="I203" s="2"/>
      <c r="J203" s="2"/>
      <c r="K203" s="2"/>
      <c r="L203" s="2"/>
      <c r="M203" s="2" t="s">
        <v>1654</v>
      </c>
      <c r="N203" s="2" t="s">
        <v>35</v>
      </c>
      <c r="O203" s="2" t="s">
        <v>1367</v>
      </c>
      <c r="P203" s="2" t="s">
        <v>1296</v>
      </c>
    </row>
    <row r="204">
      <c r="A204" s="4" t="s">
        <v>32</v>
      </c>
      <c r="B204" s="5">
        <v>3298.0</v>
      </c>
      <c r="C204" s="5">
        <v>4366303.0</v>
      </c>
      <c r="D204" s="5">
        <v>4381232.0</v>
      </c>
      <c r="E204" s="2" t="s">
        <v>204</v>
      </c>
      <c r="F204" s="2"/>
      <c r="G204" s="2"/>
      <c r="H204" s="2"/>
      <c r="I204" s="2"/>
      <c r="J204" s="2"/>
      <c r="K204" s="2"/>
      <c r="L204" s="2"/>
      <c r="M204" s="2" t="s">
        <v>1655</v>
      </c>
      <c r="N204" s="2" t="s">
        <v>35</v>
      </c>
      <c r="O204" s="2" t="s">
        <v>1656</v>
      </c>
      <c r="P204" s="2" t="s">
        <v>1296</v>
      </c>
    </row>
    <row r="205">
      <c r="A205" s="4" t="s">
        <v>32</v>
      </c>
      <c r="B205" s="5">
        <v>3338.0</v>
      </c>
      <c r="C205" s="5">
        <v>4767558.0</v>
      </c>
      <c r="D205" s="5">
        <v>4787100.0</v>
      </c>
      <c r="E205" s="2" t="s">
        <v>204</v>
      </c>
      <c r="F205" s="2"/>
      <c r="G205" s="2"/>
      <c r="H205" s="2"/>
      <c r="I205" s="2"/>
      <c r="J205" s="2"/>
      <c r="K205" s="2"/>
      <c r="L205" s="2"/>
      <c r="M205" s="2" t="s">
        <v>1657</v>
      </c>
      <c r="N205" s="2" t="s">
        <v>35</v>
      </c>
      <c r="O205" s="16" t="str">
        <f> с Макеева я = я = я только знаю, что вот, а = я = я = этот тогда зрение было ездила в Западную ездила, на автобусе больше часа едем. Ехала на Старую Торопу, ехала поездом, а оттуда автобусом ехали. И ехал = езжали в Макеево.</f>
        <v>#ERROR!</v>
      </c>
      <c r="P205" s="2" t="s">
        <v>1300</v>
      </c>
    </row>
    <row r="206">
      <c r="A206" s="4" t="s">
        <v>32</v>
      </c>
      <c r="B206" s="5">
        <v>3340.0</v>
      </c>
      <c r="C206" s="5">
        <v>4791486.0</v>
      </c>
      <c r="D206" s="5">
        <v>4805486.0</v>
      </c>
      <c r="E206" s="2" t="s">
        <v>204</v>
      </c>
      <c r="F206" s="2"/>
      <c r="G206" s="2"/>
      <c r="H206" s="2"/>
      <c r="I206" s="2"/>
      <c r="J206" s="2"/>
      <c r="K206" s="2"/>
      <c r="L206" s="2"/>
      <c r="M206" s="2" t="s">
        <v>1658</v>
      </c>
      <c r="N206" s="2" t="s">
        <v>35</v>
      </c>
      <c r="O206" s="2" t="s">
        <v>1659</v>
      </c>
      <c r="P206" s="2" t="s">
        <v>1296</v>
      </c>
    </row>
    <row r="207">
      <c r="A207" s="4" t="s">
        <v>32</v>
      </c>
      <c r="B207" s="5">
        <v>3343.0</v>
      </c>
      <c r="C207" s="5">
        <v>4818715.0</v>
      </c>
      <c r="D207" s="5">
        <v>4825786.0</v>
      </c>
      <c r="E207" s="2" t="s">
        <v>204</v>
      </c>
      <c r="F207" s="2"/>
      <c r="G207" s="2"/>
      <c r="H207" s="2"/>
      <c r="I207" s="2"/>
      <c r="J207" s="2"/>
      <c r="K207" s="2"/>
      <c r="L207" s="2"/>
      <c r="M207" s="2" t="s">
        <v>1660</v>
      </c>
      <c r="N207" s="2" t="s">
        <v>35</v>
      </c>
      <c r="O207" s="2" t="s">
        <v>1661</v>
      </c>
      <c r="P207" s="2" t="s">
        <v>1296</v>
      </c>
    </row>
    <row r="208">
      <c r="A208" s="4" t="s">
        <v>32</v>
      </c>
      <c r="B208" s="5">
        <v>3346.0</v>
      </c>
      <c r="C208" s="5">
        <v>4844929.0</v>
      </c>
      <c r="D208" s="5">
        <v>4848229.0</v>
      </c>
      <c r="E208" s="2" t="s">
        <v>204</v>
      </c>
      <c r="F208" s="2"/>
      <c r="G208" s="2"/>
      <c r="H208" s="2"/>
      <c r="I208" s="2"/>
      <c r="J208" s="2"/>
      <c r="K208" s="2"/>
      <c r="L208" s="2"/>
      <c r="M208" s="2"/>
      <c r="N208" s="2" t="s">
        <v>45</v>
      </c>
      <c r="O208" s="2" t="s">
        <v>1662</v>
      </c>
      <c r="P208" s="2" t="s">
        <v>1296</v>
      </c>
    </row>
    <row r="209">
      <c r="A209" s="4" t="s">
        <v>32</v>
      </c>
      <c r="B209" s="5">
        <v>3351.0</v>
      </c>
      <c r="C209" s="5">
        <v>4884929.0</v>
      </c>
      <c r="D209" s="5">
        <v>4893486.0</v>
      </c>
      <c r="E209" s="2" t="s">
        <v>204</v>
      </c>
      <c r="F209" s="2"/>
      <c r="G209" s="2"/>
      <c r="H209" s="2"/>
      <c r="I209" s="2"/>
      <c r="J209" s="2"/>
      <c r="K209" s="2"/>
      <c r="L209" s="2"/>
      <c r="M209" s="2" t="s">
        <v>1663</v>
      </c>
      <c r="N209" s="2" t="s">
        <v>45</v>
      </c>
      <c r="O209" s="2" t="s">
        <v>1664</v>
      </c>
      <c r="P209" s="2" t="s">
        <v>1296</v>
      </c>
    </row>
    <row r="210">
      <c r="A210" s="4" t="s">
        <v>32</v>
      </c>
      <c r="B210" s="5">
        <v>3360.0</v>
      </c>
      <c r="C210" s="5">
        <v>4963115.0</v>
      </c>
      <c r="D210" s="5">
        <v>4971115.0</v>
      </c>
      <c r="E210" s="2" t="s">
        <v>204</v>
      </c>
      <c r="F210" s="2"/>
      <c r="G210" s="2"/>
      <c r="H210" s="2"/>
      <c r="I210" s="2"/>
      <c r="J210" s="2"/>
      <c r="K210" s="2"/>
      <c r="L210" s="2"/>
      <c r="M210" s="2" t="s">
        <v>1665</v>
      </c>
      <c r="N210" s="2" t="s">
        <v>35</v>
      </c>
      <c r="O210" s="16" t="str">
        <f> сын мне(мене) привозит таблеток, невестка у меня работают(работають) тут(тута) у нас в медпункте в нашем.</f>
        <v>#ERROR!</v>
      </c>
      <c r="P210" s="2" t="s">
        <v>1300</v>
      </c>
    </row>
    <row r="211">
      <c r="A211" s="4" t="s">
        <v>32</v>
      </c>
      <c r="B211" s="5">
        <v>3417.0</v>
      </c>
      <c r="C211" s="5">
        <v>50180.0</v>
      </c>
      <c r="D211" s="5">
        <v>59770.0</v>
      </c>
      <c r="E211" s="2" t="s">
        <v>248</v>
      </c>
      <c r="F211" s="2"/>
      <c r="G211" s="2"/>
      <c r="H211" s="2"/>
      <c r="I211" s="2"/>
      <c r="J211" s="2"/>
      <c r="K211" s="2"/>
      <c r="L211" s="2"/>
      <c r="M211" s="2" t="s">
        <v>1666</v>
      </c>
      <c r="N211" s="2" t="s">
        <v>35</v>
      </c>
      <c r="O211" s="16" t="e">
        <v>#NAME?</v>
      </c>
      <c r="P211" s="2" t="s">
        <v>1300</v>
      </c>
    </row>
    <row r="212">
      <c r="A212" s="4" t="s">
        <v>32</v>
      </c>
      <c r="B212" s="5">
        <v>3434.0</v>
      </c>
      <c r="C212" s="5">
        <v>87030.0</v>
      </c>
      <c r="D212" s="5">
        <v>88310.0</v>
      </c>
      <c r="E212" s="2" t="s">
        <v>248</v>
      </c>
      <c r="F212" s="2"/>
      <c r="G212" s="2"/>
      <c r="H212" s="2"/>
      <c r="I212" s="2"/>
      <c r="J212" s="2"/>
      <c r="K212" s="2"/>
      <c r="L212" s="2"/>
      <c r="M212" s="2" t="s">
        <v>1667</v>
      </c>
      <c r="N212" s="2" t="s">
        <v>35</v>
      </c>
      <c r="O212" s="2" t="s">
        <v>1668</v>
      </c>
      <c r="P212" s="2" t="s">
        <v>1296</v>
      </c>
    </row>
    <row r="213">
      <c r="A213" s="4" t="s">
        <v>32</v>
      </c>
      <c r="B213" s="5">
        <v>3486.0</v>
      </c>
      <c r="C213" s="5">
        <v>221050.0</v>
      </c>
      <c r="D213" s="5">
        <v>229170.0</v>
      </c>
      <c r="E213" s="2" t="s">
        <v>248</v>
      </c>
      <c r="F213" s="2"/>
      <c r="G213" s="2"/>
      <c r="H213" s="2"/>
      <c r="I213" s="2"/>
      <c r="J213" s="2"/>
      <c r="K213" s="2"/>
      <c r="L213" s="2"/>
      <c r="M213" s="2" t="s">
        <v>1669</v>
      </c>
      <c r="N213" s="2" t="s">
        <v>35</v>
      </c>
      <c r="O213" s="2" t="s">
        <v>1670</v>
      </c>
      <c r="P213" s="2" t="s">
        <v>1388</v>
      </c>
    </row>
    <row r="214">
      <c r="A214" s="4" t="s">
        <v>32</v>
      </c>
      <c r="B214" s="5">
        <v>3513.0</v>
      </c>
      <c r="C214" s="5">
        <v>298925.0</v>
      </c>
      <c r="D214" s="5">
        <v>303265.0</v>
      </c>
      <c r="E214" s="2" t="s">
        <v>248</v>
      </c>
      <c r="F214" s="2"/>
      <c r="G214" s="2"/>
      <c r="H214" s="2"/>
      <c r="I214" s="2"/>
      <c r="J214" s="2"/>
      <c r="K214" s="2"/>
      <c r="L214" s="2"/>
      <c r="M214" s="2" t="s">
        <v>1671</v>
      </c>
      <c r="N214" s="2" t="s">
        <v>35</v>
      </c>
      <c r="O214" s="2" t="s">
        <v>1672</v>
      </c>
      <c r="P214" s="2" t="s">
        <v>1296</v>
      </c>
    </row>
    <row r="215">
      <c r="A215" s="4" t="s">
        <v>32</v>
      </c>
      <c r="B215" s="5">
        <v>3513.0</v>
      </c>
      <c r="C215" s="5">
        <v>298925.0</v>
      </c>
      <c r="D215" s="5">
        <v>303265.0</v>
      </c>
      <c r="E215" s="2" t="s">
        <v>248</v>
      </c>
      <c r="F215" s="2"/>
      <c r="G215" s="2"/>
      <c r="H215" s="2"/>
      <c r="I215" s="2"/>
      <c r="J215" s="2"/>
      <c r="K215" s="2"/>
      <c r="L215" s="2"/>
      <c r="M215" s="2" t="s">
        <v>1673</v>
      </c>
      <c r="N215" s="2" t="s">
        <v>35</v>
      </c>
      <c r="O215" s="2" t="s">
        <v>1674</v>
      </c>
      <c r="P215" s="2" t="s">
        <v>1296</v>
      </c>
    </row>
    <row r="216">
      <c r="A216" s="4" t="s">
        <v>32</v>
      </c>
      <c r="B216" s="5">
        <v>3526.0</v>
      </c>
      <c r="C216" s="5">
        <v>337660.0</v>
      </c>
      <c r="D216" s="5">
        <v>341630.0</v>
      </c>
      <c r="E216" s="2" t="s">
        <v>248</v>
      </c>
      <c r="F216" s="2"/>
      <c r="G216" s="2"/>
      <c r="H216" s="2"/>
      <c r="I216" s="2"/>
      <c r="J216" s="2"/>
      <c r="K216" s="2"/>
      <c r="L216" s="2"/>
      <c r="M216" s="2" t="s">
        <v>1675</v>
      </c>
      <c r="N216" s="2" t="s">
        <v>35</v>
      </c>
      <c r="O216" s="2" t="s">
        <v>1676</v>
      </c>
      <c r="P216" s="2" t="s">
        <v>1296</v>
      </c>
    </row>
    <row r="217">
      <c r="A217" s="4" t="s">
        <v>32</v>
      </c>
      <c r="B217" s="5">
        <v>3551.0</v>
      </c>
      <c r="C217" s="5">
        <v>419170.0</v>
      </c>
      <c r="D217" s="5">
        <v>423240.0</v>
      </c>
      <c r="E217" s="2" t="s">
        <v>248</v>
      </c>
      <c r="F217" s="2"/>
      <c r="G217" s="2"/>
      <c r="H217" s="2"/>
      <c r="I217" s="2"/>
      <c r="J217" s="2"/>
      <c r="K217" s="2"/>
      <c r="L217" s="2"/>
      <c r="M217" s="2" t="s">
        <v>1677</v>
      </c>
      <c r="N217" s="2" t="s">
        <v>35</v>
      </c>
      <c r="O217" s="2" t="s">
        <v>1678</v>
      </c>
      <c r="P217" s="2" t="s">
        <v>1316</v>
      </c>
    </row>
    <row r="218">
      <c r="A218" s="4" t="s">
        <v>32</v>
      </c>
      <c r="B218" s="5">
        <v>3552.0</v>
      </c>
      <c r="C218" s="5">
        <v>423500.0</v>
      </c>
      <c r="D218" s="5">
        <v>427040.0</v>
      </c>
      <c r="E218" s="2" t="s">
        <v>248</v>
      </c>
      <c r="F218" s="2"/>
      <c r="G218" s="2"/>
      <c r="H218" s="2"/>
      <c r="I218" s="2"/>
      <c r="J218" s="2"/>
      <c r="K218" s="2"/>
      <c r="L218" s="2"/>
      <c r="M218" s="2"/>
      <c r="N218" s="2" t="s">
        <v>45</v>
      </c>
      <c r="O218" s="2" t="s">
        <v>1679</v>
      </c>
      <c r="P218" s="2" t="s">
        <v>1316</v>
      </c>
    </row>
    <row r="219">
      <c r="A219" s="4" t="s">
        <v>32</v>
      </c>
      <c r="B219" s="5">
        <v>3562.0</v>
      </c>
      <c r="C219" s="5">
        <v>457560.0</v>
      </c>
      <c r="D219" s="5">
        <v>470480.0</v>
      </c>
      <c r="E219" s="2" t="s">
        <v>248</v>
      </c>
      <c r="F219" s="2"/>
      <c r="G219" s="2"/>
      <c r="H219" s="2"/>
      <c r="I219" s="2"/>
      <c r="J219" s="2"/>
      <c r="K219" s="2"/>
      <c r="L219" s="2"/>
      <c r="M219" s="2" t="s">
        <v>1680</v>
      </c>
      <c r="N219" s="2" t="s">
        <v>35</v>
      </c>
      <c r="O219" s="2" t="s">
        <v>1681</v>
      </c>
      <c r="P219" s="2" t="s">
        <v>1296</v>
      </c>
    </row>
    <row r="220">
      <c r="A220" s="4" t="s">
        <v>32</v>
      </c>
      <c r="B220" s="5">
        <v>3567.0</v>
      </c>
      <c r="C220" s="5">
        <v>480690.0</v>
      </c>
      <c r="D220" s="5">
        <v>482430.0</v>
      </c>
      <c r="E220" s="2" t="s">
        <v>248</v>
      </c>
      <c r="F220" s="2"/>
      <c r="G220" s="2"/>
      <c r="H220" s="2"/>
      <c r="I220" s="2"/>
      <c r="J220" s="2"/>
      <c r="K220" s="2"/>
      <c r="L220" s="2"/>
      <c r="M220" s="2" t="s">
        <v>1682</v>
      </c>
      <c r="N220" s="2" t="s">
        <v>35</v>
      </c>
      <c r="O220" s="2" t="s">
        <v>1683</v>
      </c>
      <c r="P220" s="2" t="s">
        <v>1316</v>
      </c>
    </row>
    <row r="221">
      <c r="A221" s="4" t="s">
        <v>32</v>
      </c>
      <c r="B221" s="5">
        <v>3568.0</v>
      </c>
      <c r="C221" s="5">
        <v>481980.0</v>
      </c>
      <c r="D221" s="5">
        <v>483950.0</v>
      </c>
      <c r="E221" s="2" t="s">
        <v>248</v>
      </c>
      <c r="F221" s="2"/>
      <c r="G221" s="2"/>
      <c r="H221" s="2"/>
      <c r="I221" s="2"/>
      <c r="J221" s="2"/>
      <c r="K221" s="2"/>
      <c r="L221" s="2"/>
      <c r="M221" s="2"/>
      <c r="N221" s="2" t="s">
        <v>45</v>
      </c>
      <c r="O221" s="2" t="s">
        <v>1684</v>
      </c>
      <c r="P221" s="2" t="s">
        <v>1316</v>
      </c>
    </row>
    <row r="222">
      <c r="A222" s="4" t="s">
        <v>32</v>
      </c>
      <c r="B222" s="5">
        <v>3568.0</v>
      </c>
      <c r="C222" s="5">
        <v>481980.0</v>
      </c>
      <c r="D222" s="5">
        <v>483950.0</v>
      </c>
      <c r="E222" s="2" t="s">
        <v>248</v>
      </c>
      <c r="F222" s="2"/>
      <c r="G222" s="2"/>
      <c r="H222" s="2"/>
      <c r="I222" s="2"/>
      <c r="J222" s="2"/>
      <c r="K222" s="2"/>
      <c r="L222" s="2"/>
      <c r="M222" s="2" t="s">
        <v>1685</v>
      </c>
      <c r="N222" s="2" t="s">
        <v>45</v>
      </c>
      <c r="O222" s="2" t="s">
        <v>1686</v>
      </c>
      <c r="P222" s="2" t="s">
        <v>1316</v>
      </c>
    </row>
    <row r="223">
      <c r="A223" s="4" t="s">
        <v>32</v>
      </c>
      <c r="B223" s="5">
        <v>3570.0</v>
      </c>
      <c r="C223" s="5">
        <v>487410.0</v>
      </c>
      <c r="D223" s="5">
        <v>491320.0</v>
      </c>
      <c r="E223" s="2" t="s">
        <v>248</v>
      </c>
      <c r="F223" s="2"/>
      <c r="G223" s="2"/>
      <c r="H223" s="2"/>
      <c r="I223" s="2"/>
      <c r="J223" s="2"/>
      <c r="K223" s="2"/>
      <c r="L223" s="2"/>
      <c r="M223" s="2" t="s">
        <v>1687</v>
      </c>
      <c r="N223" s="2" t="s">
        <v>35</v>
      </c>
      <c r="O223" s="2" t="s">
        <v>1688</v>
      </c>
      <c r="P223" s="2" t="s">
        <v>1316</v>
      </c>
    </row>
    <row r="224">
      <c r="A224" s="4" t="s">
        <v>32</v>
      </c>
      <c r="B224" s="5">
        <v>3585.0</v>
      </c>
      <c r="C224" s="5">
        <v>541920.0</v>
      </c>
      <c r="D224" s="5">
        <v>545710.0</v>
      </c>
      <c r="E224" s="2" t="s">
        <v>248</v>
      </c>
      <c r="F224" s="2"/>
      <c r="G224" s="2"/>
      <c r="H224" s="2"/>
      <c r="I224" s="2"/>
      <c r="J224" s="2"/>
      <c r="K224" s="2"/>
      <c r="L224" s="2"/>
      <c r="M224" s="2" t="s">
        <v>410</v>
      </c>
      <c r="N224" s="2" t="s">
        <v>35</v>
      </c>
      <c r="O224" s="2" t="s">
        <v>1689</v>
      </c>
      <c r="P224" s="2" t="s">
        <v>1296</v>
      </c>
    </row>
    <row r="225">
      <c r="A225" s="4" t="s">
        <v>32</v>
      </c>
      <c r="B225" s="5">
        <v>3591.0</v>
      </c>
      <c r="C225" s="5">
        <v>561530.0</v>
      </c>
      <c r="D225" s="5">
        <v>570900.0</v>
      </c>
      <c r="E225" s="2" t="s">
        <v>248</v>
      </c>
      <c r="F225" s="2"/>
      <c r="G225" s="2"/>
      <c r="H225" s="2"/>
      <c r="I225" s="2"/>
      <c r="J225" s="2"/>
      <c r="K225" s="2"/>
      <c r="L225" s="2"/>
      <c r="M225" s="2" t="s">
        <v>1690</v>
      </c>
      <c r="N225" s="2" t="s">
        <v>35</v>
      </c>
      <c r="O225" s="2" t="s">
        <v>1691</v>
      </c>
      <c r="P225" s="2" t="s">
        <v>1296</v>
      </c>
    </row>
    <row r="226">
      <c r="A226" s="4" t="s">
        <v>32</v>
      </c>
      <c r="B226" s="5">
        <v>3591.0</v>
      </c>
      <c r="C226" s="5">
        <v>561530.0</v>
      </c>
      <c r="D226" s="5">
        <v>570900.0</v>
      </c>
      <c r="E226" s="2" t="s">
        <v>248</v>
      </c>
      <c r="F226" s="2"/>
      <c r="G226" s="2"/>
      <c r="H226" s="2"/>
      <c r="I226" s="2"/>
      <c r="J226" s="2"/>
      <c r="K226" s="2"/>
      <c r="L226" s="2"/>
      <c r="M226" s="2" t="s">
        <v>1692</v>
      </c>
      <c r="N226" s="2" t="s">
        <v>35</v>
      </c>
      <c r="O226" s="2" t="s">
        <v>1693</v>
      </c>
      <c r="P226" s="2" t="s">
        <v>1296</v>
      </c>
    </row>
    <row r="227">
      <c r="A227" s="4" t="s">
        <v>32</v>
      </c>
      <c r="B227" s="5">
        <v>3591.0</v>
      </c>
      <c r="C227" s="5">
        <v>561530.0</v>
      </c>
      <c r="D227" s="5">
        <v>570900.0</v>
      </c>
      <c r="E227" s="2" t="s">
        <v>248</v>
      </c>
      <c r="F227" s="2"/>
      <c r="G227" s="2"/>
      <c r="H227" s="2"/>
      <c r="I227" s="2"/>
      <c r="J227" s="2"/>
      <c r="K227" s="2"/>
      <c r="L227" s="2"/>
      <c r="M227" s="2" t="s">
        <v>1694</v>
      </c>
      <c r="N227" s="2" t="s">
        <v>45</v>
      </c>
      <c r="O227" s="2" t="s">
        <v>1695</v>
      </c>
      <c r="P227" s="2" t="s">
        <v>1296</v>
      </c>
    </row>
    <row r="228">
      <c r="A228" s="4" t="s">
        <v>32</v>
      </c>
      <c r="B228" s="5">
        <v>3598.0</v>
      </c>
      <c r="C228" s="5">
        <v>594840.0</v>
      </c>
      <c r="D228" s="5">
        <v>597360.0</v>
      </c>
      <c r="E228" s="2" t="s">
        <v>248</v>
      </c>
      <c r="F228" s="2"/>
      <c r="G228" s="2"/>
      <c r="H228" s="2"/>
      <c r="I228" s="2"/>
      <c r="J228" s="2"/>
      <c r="K228" s="2"/>
      <c r="L228" s="2"/>
      <c r="M228" s="2" t="s">
        <v>1696</v>
      </c>
      <c r="N228" s="2" t="s">
        <v>35</v>
      </c>
      <c r="O228" s="16" t="e">
        <v>#NAME?</v>
      </c>
      <c r="P228" s="2" t="s">
        <v>1300</v>
      </c>
    </row>
    <row r="229">
      <c r="A229" s="4" t="s">
        <v>32</v>
      </c>
      <c r="B229" s="5">
        <v>3645.0</v>
      </c>
      <c r="C229" s="5">
        <v>764170.0</v>
      </c>
      <c r="D229" s="5">
        <v>769860.0</v>
      </c>
      <c r="E229" s="2" t="s">
        <v>248</v>
      </c>
      <c r="F229" s="2"/>
      <c r="G229" s="2"/>
      <c r="H229" s="2"/>
      <c r="I229" s="2"/>
      <c r="J229" s="2"/>
      <c r="K229" s="2"/>
      <c r="L229" s="2"/>
      <c r="M229" s="2" t="s">
        <v>1697</v>
      </c>
      <c r="N229" s="2" t="s">
        <v>35</v>
      </c>
      <c r="O229" s="2" t="s">
        <v>1698</v>
      </c>
      <c r="P229" s="2" t="s">
        <v>1316</v>
      </c>
    </row>
    <row r="230">
      <c r="A230" s="4" t="s">
        <v>32</v>
      </c>
      <c r="B230" s="5">
        <v>3649.0</v>
      </c>
      <c r="C230" s="5">
        <v>774320.0</v>
      </c>
      <c r="D230" s="5">
        <v>777940.0</v>
      </c>
      <c r="E230" s="2" t="s">
        <v>248</v>
      </c>
      <c r="F230" s="2"/>
      <c r="G230" s="2"/>
      <c r="H230" s="2"/>
      <c r="I230" s="2"/>
      <c r="J230" s="2"/>
      <c r="K230" s="2"/>
      <c r="L230" s="2"/>
      <c r="M230" s="2" t="s">
        <v>1699</v>
      </c>
      <c r="N230" s="2" t="s">
        <v>35</v>
      </c>
      <c r="O230" s="2" t="s">
        <v>1700</v>
      </c>
      <c r="P230" s="2" t="s">
        <v>1296</v>
      </c>
    </row>
    <row r="231">
      <c r="A231" s="4" t="s">
        <v>32</v>
      </c>
      <c r="B231" s="5">
        <v>3671.0</v>
      </c>
      <c r="C231" s="5">
        <v>831280.0</v>
      </c>
      <c r="D231" s="5">
        <v>839430.0</v>
      </c>
      <c r="E231" s="2" t="s">
        <v>248</v>
      </c>
      <c r="F231" s="2"/>
      <c r="G231" s="2"/>
      <c r="H231" s="2"/>
      <c r="I231" s="2"/>
      <c r="J231" s="2"/>
      <c r="K231" s="2"/>
      <c r="L231" s="2"/>
      <c r="M231" s="2" t="s">
        <v>1701</v>
      </c>
      <c r="N231" s="2" t="s">
        <v>35</v>
      </c>
      <c r="O231" s="16" t="str">
        <f>. А сын живёт... В(у) доме(дома) ли сын - - зовёт её. Она на ночь у него, как мы. Старая теперь, начнём охать, хоть вай там болит, там болит, везде болит.</f>
        <v>#ERROR!</v>
      </c>
      <c r="P231" s="2" t="s">
        <v>1300</v>
      </c>
    </row>
    <row r="232">
      <c r="A232" s="4" t="s">
        <v>32</v>
      </c>
      <c r="B232" s="5">
        <v>3675.0</v>
      </c>
      <c r="C232" s="5">
        <v>847710.0</v>
      </c>
      <c r="D232" s="5">
        <v>852530.0</v>
      </c>
      <c r="E232" s="2" t="s">
        <v>248</v>
      </c>
      <c r="F232" s="2"/>
      <c r="G232" s="2"/>
      <c r="H232" s="2"/>
      <c r="I232" s="2"/>
      <c r="J232" s="2"/>
      <c r="K232" s="2"/>
      <c r="L232" s="2"/>
      <c r="M232" s="2" t="s">
        <v>1702</v>
      </c>
      <c r="N232" s="2" t="s">
        <v>35</v>
      </c>
      <c r="O232" s="2" t="s">
        <v>1703</v>
      </c>
      <c r="P232" s="2" t="s">
        <v>1296</v>
      </c>
    </row>
    <row r="233">
      <c r="A233" s="4" t="s">
        <v>32</v>
      </c>
      <c r="B233" s="5">
        <v>3682.0</v>
      </c>
      <c r="C233" s="5">
        <v>870030.0</v>
      </c>
      <c r="D233" s="5">
        <v>872770.0</v>
      </c>
      <c r="E233" s="2" t="s">
        <v>248</v>
      </c>
      <c r="F233" s="2"/>
      <c r="G233" s="2"/>
      <c r="H233" s="2"/>
      <c r="I233" s="2"/>
      <c r="J233" s="2"/>
      <c r="K233" s="2"/>
      <c r="L233" s="2"/>
      <c r="M233" s="2" t="s">
        <v>1704</v>
      </c>
      <c r="N233" s="2" t="s">
        <v>35</v>
      </c>
      <c r="O233" s="16" t="e">
        <v>#NAME?</v>
      </c>
      <c r="P233" s="2" t="s">
        <v>1300</v>
      </c>
    </row>
    <row r="234">
      <c r="A234" s="4" t="s">
        <v>32</v>
      </c>
      <c r="B234" s="5">
        <v>3699.0</v>
      </c>
      <c r="C234" s="5">
        <v>927450.0</v>
      </c>
      <c r="D234" s="5">
        <v>932500.0</v>
      </c>
      <c r="E234" s="2" t="s">
        <v>248</v>
      </c>
      <c r="F234" s="2"/>
      <c r="G234" s="2"/>
      <c r="H234" s="2"/>
      <c r="I234" s="2"/>
      <c r="J234" s="2"/>
      <c r="K234" s="2"/>
      <c r="L234" s="2"/>
      <c r="M234" s="2" t="s">
        <v>1705</v>
      </c>
      <c r="N234" s="2" t="s">
        <v>35</v>
      </c>
      <c r="O234" s="16" t="e">
        <v>#NAME?</v>
      </c>
      <c r="P234" s="2" t="s">
        <v>1300</v>
      </c>
    </row>
    <row r="235">
      <c r="A235" s="4" t="s">
        <v>32</v>
      </c>
      <c r="B235" s="5">
        <v>3703.0</v>
      </c>
      <c r="C235" s="5">
        <v>944140.0</v>
      </c>
      <c r="D235" s="5">
        <v>948970.0</v>
      </c>
      <c r="E235" s="2" t="s">
        <v>248</v>
      </c>
      <c r="F235" s="2"/>
      <c r="G235" s="2"/>
      <c r="H235" s="2"/>
      <c r="I235" s="2"/>
      <c r="J235" s="2"/>
      <c r="K235" s="2"/>
      <c r="L235" s="2"/>
      <c r="M235" s="2" t="s">
        <v>1706</v>
      </c>
      <c r="N235" s="2" t="s">
        <v>35</v>
      </c>
      <c r="O235" s="2" t="s">
        <v>1707</v>
      </c>
      <c r="P235" s="2"/>
    </row>
    <row r="236">
      <c r="A236" s="4" t="s">
        <v>32</v>
      </c>
      <c r="B236" s="5">
        <v>3703.0</v>
      </c>
      <c r="C236" s="5">
        <v>944140.0</v>
      </c>
      <c r="D236" s="5">
        <v>948970.0</v>
      </c>
      <c r="E236" s="2" t="s">
        <v>248</v>
      </c>
      <c r="F236" s="2"/>
      <c r="G236" s="2"/>
      <c r="H236" s="2"/>
      <c r="I236" s="2"/>
      <c r="J236" s="2"/>
      <c r="K236" s="2"/>
      <c r="L236" s="2"/>
      <c r="M236" s="2" t="s">
        <v>1708</v>
      </c>
      <c r="N236" s="2" t="s">
        <v>35</v>
      </c>
      <c r="O236" s="2" t="s">
        <v>1709</v>
      </c>
      <c r="P236" s="2" t="s">
        <v>1316</v>
      </c>
    </row>
    <row r="237">
      <c r="A237" s="4" t="s">
        <v>32</v>
      </c>
      <c r="B237" s="5">
        <v>3706.0</v>
      </c>
      <c r="C237" s="5">
        <v>953040.0</v>
      </c>
      <c r="D237" s="5">
        <v>954540.0</v>
      </c>
      <c r="E237" s="2" t="s">
        <v>248</v>
      </c>
      <c r="F237" s="2"/>
      <c r="G237" s="2"/>
      <c r="H237" s="2"/>
      <c r="I237" s="2"/>
      <c r="J237" s="2"/>
      <c r="K237" s="2"/>
      <c r="L237" s="2"/>
      <c r="M237" s="2" t="s">
        <v>1710</v>
      </c>
      <c r="N237" s="2" t="s">
        <v>35</v>
      </c>
      <c r="O237" s="2" t="s">
        <v>1711</v>
      </c>
      <c r="P237" s="2" t="s">
        <v>1316</v>
      </c>
    </row>
    <row r="238">
      <c r="A238" s="4" t="s">
        <v>32</v>
      </c>
      <c r="B238" s="5">
        <v>3766.0</v>
      </c>
      <c r="C238" s="5">
        <v>1147640.0</v>
      </c>
      <c r="D238" s="5">
        <v>1151410.0</v>
      </c>
      <c r="E238" s="2" t="s">
        <v>248</v>
      </c>
      <c r="F238" s="2"/>
      <c r="G238" s="2"/>
      <c r="H238" s="2"/>
      <c r="I238" s="2"/>
      <c r="J238" s="2"/>
      <c r="K238" s="2"/>
      <c r="L238" s="2"/>
      <c r="M238" s="2" t="s">
        <v>1712</v>
      </c>
      <c r="N238" s="2" t="s">
        <v>35</v>
      </c>
      <c r="O238" s="2" t="s">
        <v>1713</v>
      </c>
      <c r="P238" s="2" t="s">
        <v>1296</v>
      </c>
    </row>
    <row r="239">
      <c r="A239" s="4" t="s">
        <v>32</v>
      </c>
      <c r="B239" s="5">
        <v>3768.0</v>
      </c>
      <c r="C239" s="5">
        <v>1154120.0</v>
      </c>
      <c r="D239" s="5">
        <v>1156070.0</v>
      </c>
      <c r="E239" s="2" t="s">
        <v>248</v>
      </c>
      <c r="F239" s="2"/>
      <c r="G239" s="2"/>
      <c r="H239" s="2"/>
      <c r="I239" s="2"/>
      <c r="J239" s="2"/>
      <c r="K239" s="2"/>
      <c r="L239" s="2"/>
      <c r="M239" s="2" t="s">
        <v>1714</v>
      </c>
      <c r="N239" s="2" t="s">
        <v>35</v>
      </c>
      <c r="O239" s="2" t="s">
        <v>1715</v>
      </c>
      <c r="P239" s="2" t="s">
        <v>1296</v>
      </c>
    </row>
    <row r="240">
      <c r="A240" s="4" t="s">
        <v>32</v>
      </c>
      <c r="B240" s="5">
        <v>3816.0</v>
      </c>
      <c r="C240" s="5">
        <v>1311420.0</v>
      </c>
      <c r="D240" s="5">
        <v>1316740.0</v>
      </c>
      <c r="E240" s="2" t="s">
        <v>248</v>
      </c>
      <c r="F240" s="2"/>
      <c r="G240" s="2"/>
      <c r="H240" s="2"/>
      <c r="I240" s="2"/>
      <c r="J240" s="2"/>
      <c r="K240" s="2"/>
      <c r="L240" s="2"/>
      <c r="M240" s="2" t="s">
        <v>1716</v>
      </c>
      <c r="N240" s="2" t="s">
        <v>35</v>
      </c>
      <c r="O240" s="2" t="s">
        <v>1717</v>
      </c>
      <c r="P240" s="2" t="s">
        <v>1296</v>
      </c>
    </row>
    <row r="241">
      <c r="A241" s="4" t="s">
        <v>32</v>
      </c>
      <c r="B241" s="5">
        <v>3820.0</v>
      </c>
      <c r="C241" s="5">
        <v>1321030.0</v>
      </c>
      <c r="D241" s="5">
        <v>1323890.0</v>
      </c>
      <c r="E241" s="2" t="s">
        <v>248</v>
      </c>
      <c r="F241" s="2"/>
      <c r="G241" s="2"/>
      <c r="H241" s="2"/>
      <c r="I241" s="2"/>
      <c r="J241" s="2"/>
      <c r="K241" s="2"/>
      <c r="L241" s="2"/>
      <c r="M241" s="2" t="s">
        <v>1075</v>
      </c>
      <c r="N241" s="2" t="s">
        <v>35</v>
      </c>
      <c r="O241" s="16" t="str">
        <f>. Общежитие что ли какое - то.</f>
        <v>#ERROR!</v>
      </c>
      <c r="P241" s="2" t="s">
        <v>1300</v>
      </c>
    </row>
    <row r="242">
      <c r="A242" s="4" t="s">
        <v>32</v>
      </c>
      <c r="B242" s="5">
        <v>3900.0</v>
      </c>
      <c r="C242" s="5">
        <v>1531490.0</v>
      </c>
      <c r="D242" s="5">
        <v>1538210.0</v>
      </c>
      <c r="E242" s="2" t="s">
        <v>248</v>
      </c>
      <c r="F242" s="2"/>
      <c r="G242" s="2"/>
      <c r="H242" s="2"/>
      <c r="I242" s="2"/>
      <c r="J242" s="2"/>
      <c r="K242" s="2"/>
      <c r="L242" s="2"/>
      <c r="M242" s="2" t="s">
        <v>1718</v>
      </c>
      <c r="N242" s="2" t="s">
        <v>35</v>
      </c>
      <c r="O242" s="16" t="str">
        <f> крыша круглая была, это их(ихный) дом был.</f>
        <v>#ERROR!</v>
      </c>
      <c r="P242" s="2" t="s">
        <v>1300</v>
      </c>
    </row>
    <row r="243">
      <c r="A243" s="4" t="s">
        <v>32</v>
      </c>
      <c r="B243" s="5">
        <v>3919.0</v>
      </c>
      <c r="C243" s="5">
        <v>1596670.0</v>
      </c>
      <c r="D243" s="5">
        <v>1605900.0</v>
      </c>
      <c r="E243" s="2" t="s">
        <v>248</v>
      </c>
      <c r="F243" s="2"/>
      <c r="G243" s="2"/>
      <c r="H243" s="2"/>
      <c r="I243" s="2"/>
      <c r="J243" s="2"/>
      <c r="K243" s="2"/>
      <c r="L243" s="2"/>
      <c r="M243" s="2" t="s">
        <v>1719</v>
      </c>
      <c r="N243" s="2" t="s">
        <v>35</v>
      </c>
      <c r="O243" s="2" t="s">
        <v>1720</v>
      </c>
      <c r="P243" s="2" t="s">
        <v>1316</v>
      </c>
    </row>
    <row r="244">
      <c r="A244" s="4" t="s">
        <v>32</v>
      </c>
      <c r="B244" s="5">
        <v>3933.0</v>
      </c>
      <c r="C244" s="5">
        <v>1655540.0</v>
      </c>
      <c r="D244" s="5">
        <v>1658780.0</v>
      </c>
      <c r="E244" s="2" t="s">
        <v>248</v>
      </c>
      <c r="F244" s="2"/>
      <c r="G244" s="2"/>
      <c r="H244" s="2"/>
      <c r="I244" s="2"/>
      <c r="J244" s="2"/>
      <c r="K244" s="2"/>
      <c r="L244" s="2"/>
      <c r="M244" s="2" t="s">
        <v>1721</v>
      </c>
      <c r="N244" s="2" t="s">
        <v>35</v>
      </c>
      <c r="O244" s="2" t="s">
        <v>1722</v>
      </c>
      <c r="P244" s="2" t="s">
        <v>1296</v>
      </c>
    </row>
    <row r="245">
      <c r="A245" s="4" t="s">
        <v>32</v>
      </c>
      <c r="B245" s="5">
        <v>3967.0</v>
      </c>
      <c r="C245" s="5">
        <v>1765480.0</v>
      </c>
      <c r="D245" s="5">
        <v>1770310.0</v>
      </c>
      <c r="E245" s="2" t="s">
        <v>248</v>
      </c>
      <c r="F245" s="2"/>
      <c r="G245" s="2"/>
      <c r="H245" s="2"/>
      <c r="I245" s="2"/>
      <c r="J245" s="2"/>
      <c r="K245" s="2"/>
      <c r="L245" s="2"/>
      <c r="M245" s="2" t="s">
        <v>1723</v>
      </c>
      <c r="N245" s="2" t="s">
        <v>35</v>
      </c>
      <c r="O245" s="16" t="str">
        <f> вручную. Всё отбивали(оббивали) этот лёд, опять...</f>
        <v>#ERROR!</v>
      </c>
      <c r="P245" s="2" t="s">
        <v>1300</v>
      </c>
    </row>
    <row r="246">
      <c r="A246" s="4" t="s">
        <v>32</v>
      </c>
      <c r="B246" s="5">
        <v>3984.0</v>
      </c>
      <c r="C246" s="5">
        <v>1841130.0</v>
      </c>
      <c r="D246" s="5">
        <v>1849600.0</v>
      </c>
      <c r="E246" s="2" t="s">
        <v>248</v>
      </c>
      <c r="F246" s="2"/>
      <c r="G246" s="2"/>
      <c r="H246" s="2"/>
      <c r="I246" s="2"/>
      <c r="J246" s="2"/>
      <c r="K246" s="2"/>
      <c r="L246" s="2"/>
      <c r="M246" s="2" t="s">
        <v>1724</v>
      </c>
      <c r="N246" s="2" t="s">
        <v>35</v>
      </c>
      <c r="O246" s="16" t="str">
        <f> вагонетками(вагонеткам). Скотники, вагонетки проложены были, скотники.</f>
        <v>#ERROR!</v>
      </c>
      <c r="P246" s="2" t="s">
        <v>1296</v>
      </c>
    </row>
    <row r="247">
      <c r="A247" s="4" t="s">
        <v>32</v>
      </c>
      <c r="B247" s="5">
        <v>4008.0</v>
      </c>
      <c r="C247" s="5">
        <v>1931330.0</v>
      </c>
      <c r="D247" s="5">
        <v>1935540.0</v>
      </c>
      <c r="E247" s="2" t="s">
        <v>248</v>
      </c>
      <c r="F247" s="2"/>
      <c r="G247" s="2"/>
      <c r="H247" s="2"/>
      <c r="I247" s="2"/>
      <c r="J247" s="2"/>
      <c r="K247" s="2"/>
      <c r="L247" s="2"/>
      <c r="M247" s="2" t="s">
        <v>1725</v>
      </c>
      <c r="N247" s="2" t="s">
        <v>35</v>
      </c>
      <c r="O247" s="2" t="s">
        <v>1726</v>
      </c>
      <c r="P247" s="2" t="s">
        <v>1316</v>
      </c>
    </row>
    <row r="248">
      <c r="A248" s="4" t="s">
        <v>32</v>
      </c>
      <c r="B248" s="5">
        <v>4009.0</v>
      </c>
      <c r="C248" s="5">
        <v>1935870.0</v>
      </c>
      <c r="D248" s="5">
        <v>1936930.0</v>
      </c>
      <c r="E248" s="2" t="s">
        <v>248</v>
      </c>
      <c r="F248" s="2"/>
      <c r="G248" s="2"/>
      <c r="H248" s="2"/>
      <c r="I248" s="2"/>
      <c r="J248" s="2"/>
      <c r="K248" s="2"/>
      <c r="L248" s="2"/>
      <c r="M248" s="2"/>
      <c r="N248" s="2" t="s">
        <v>45</v>
      </c>
      <c r="O248" s="2" t="s">
        <v>1727</v>
      </c>
      <c r="P248" s="2" t="s">
        <v>1316</v>
      </c>
    </row>
    <row r="249">
      <c r="A249" s="4" t="s">
        <v>32</v>
      </c>
      <c r="B249" s="5">
        <v>4087.0</v>
      </c>
      <c r="C249" s="5">
        <v>2178910.0</v>
      </c>
      <c r="D249" s="5">
        <v>2181990.0</v>
      </c>
      <c r="E249" s="2" t="s">
        <v>248</v>
      </c>
      <c r="F249" s="2"/>
      <c r="G249" s="2"/>
      <c r="H249" s="2"/>
      <c r="I249" s="2"/>
      <c r="J249" s="2"/>
      <c r="K249" s="2"/>
      <c r="L249" s="2"/>
      <c r="M249" s="2" t="s">
        <v>1728</v>
      </c>
      <c r="N249" s="2" t="s">
        <v>35</v>
      </c>
      <c r="O249" s="2" t="s">
        <v>1729</v>
      </c>
      <c r="P249" s="2" t="s">
        <v>1300</v>
      </c>
    </row>
    <row r="250">
      <c r="A250" s="4" t="s">
        <v>32</v>
      </c>
      <c r="B250" s="5">
        <v>4099.0</v>
      </c>
      <c r="C250" s="5">
        <v>2208930.0</v>
      </c>
      <c r="D250" s="5">
        <v>2214370.0</v>
      </c>
      <c r="E250" s="2" t="s">
        <v>248</v>
      </c>
      <c r="F250" s="2"/>
      <c r="G250" s="2"/>
      <c r="H250" s="2"/>
      <c r="I250" s="2"/>
      <c r="J250" s="2"/>
      <c r="K250" s="2"/>
      <c r="L250" s="2"/>
      <c r="M250" s="2" t="s">
        <v>1730</v>
      </c>
      <c r="N250" s="2" t="s">
        <v>45</v>
      </c>
      <c r="O250" s="16" t="e">
        <v>#NAME?</v>
      </c>
      <c r="P250" s="2" t="s">
        <v>1300</v>
      </c>
    </row>
    <row r="251">
      <c r="A251" s="4" t="s">
        <v>32</v>
      </c>
      <c r="B251" s="5">
        <v>4111.0</v>
      </c>
      <c r="C251" s="5">
        <v>2242660.0</v>
      </c>
      <c r="D251" s="5">
        <v>2251400.0</v>
      </c>
      <c r="E251" s="2" t="s">
        <v>248</v>
      </c>
      <c r="F251" s="2"/>
      <c r="G251" s="2"/>
      <c r="H251" s="2"/>
      <c r="I251" s="2"/>
      <c r="J251" s="2"/>
      <c r="K251" s="2"/>
      <c r="L251" s="2"/>
      <c r="M251" s="2" t="s">
        <v>1731</v>
      </c>
      <c r="N251" s="2" t="s">
        <v>35</v>
      </c>
      <c r="O251" s="2" t="s">
        <v>1732</v>
      </c>
      <c r="P251" s="2" t="s">
        <v>1296</v>
      </c>
    </row>
    <row r="252">
      <c r="A252" s="4" t="s">
        <v>32</v>
      </c>
      <c r="B252" s="5">
        <v>4122.0</v>
      </c>
      <c r="C252" s="5">
        <v>2285640.0</v>
      </c>
      <c r="D252" s="5">
        <v>2287470.0</v>
      </c>
      <c r="E252" s="2" t="s">
        <v>248</v>
      </c>
      <c r="F252" s="2"/>
      <c r="G252" s="2"/>
      <c r="H252" s="2"/>
      <c r="I252" s="2"/>
      <c r="J252" s="2"/>
      <c r="K252" s="2"/>
      <c r="L252" s="2"/>
      <c r="M252" s="2" t="s">
        <v>1733</v>
      </c>
      <c r="N252" s="2" t="s">
        <v>35</v>
      </c>
      <c r="O252" s="2" t="s">
        <v>1734</v>
      </c>
      <c r="P252" s="2" t="s">
        <v>1296</v>
      </c>
    </row>
    <row r="253">
      <c r="A253" s="4" t="s">
        <v>32</v>
      </c>
      <c r="B253" s="5">
        <v>4152.0</v>
      </c>
      <c r="C253" s="5">
        <v>2390990.0</v>
      </c>
      <c r="D253" s="5">
        <v>2395130.0</v>
      </c>
      <c r="E253" s="2" t="s">
        <v>248</v>
      </c>
      <c r="F253" s="2"/>
      <c r="G253" s="2"/>
      <c r="H253" s="2"/>
      <c r="I253" s="2"/>
      <c r="J253" s="2"/>
      <c r="K253" s="2"/>
      <c r="L253" s="2"/>
      <c r="M253" s="2" t="s">
        <v>338</v>
      </c>
      <c r="N253" s="2" t="s">
        <v>35</v>
      </c>
      <c r="O253" s="16" t="str">
        <f> самый центр вот. Потому что где населения нету, там и...</f>
        <v>#ERROR!</v>
      </c>
      <c r="P253" s="2" t="s">
        <v>1300</v>
      </c>
    </row>
    <row r="254">
      <c r="A254" s="4" t="s">
        <v>32</v>
      </c>
      <c r="B254" s="5">
        <v>4207.0</v>
      </c>
      <c r="C254" s="5">
        <v>2547710.0</v>
      </c>
      <c r="D254" s="5">
        <v>2552730.0</v>
      </c>
      <c r="E254" s="2" t="s">
        <v>248</v>
      </c>
      <c r="F254" s="2"/>
      <c r="G254" s="2"/>
      <c r="H254" s="2"/>
      <c r="I254" s="2"/>
      <c r="J254" s="2"/>
      <c r="K254" s="2"/>
      <c r="L254" s="2"/>
      <c r="M254" s="2" t="s">
        <v>1735</v>
      </c>
      <c r="N254" s="2" t="s">
        <v>35</v>
      </c>
      <c r="O254" s="16" t="str">
        <f> выкапывать, вы будете её выкапы =?</f>
        <v>#ERROR!</v>
      </c>
      <c r="P254" s="2" t="s">
        <v>1300</v>
      </c>
    </row>
    <row r="255">
      <c r="A255" s="4" t="s">
        <v>32</v>
      </c>
      <c r="B255" s="5">
        <v>4214.0</v>
      </c>
      <c r="C255" s="5">
        <v>2570210.0</v>
      </c>
      <c r="D255" s="5">
        <v>2572460.0</v>
      </c>
      <c r="E255" s="2" t="s">
        <v>248</v>
      </c>
      <c r="F255" s="2"/>
      <c r="G255" s="2"/>
      <c r="H255" s="2"/>
      <c r="I255" s="2"/>
      <c r="J255" s="2"/>
      <c r="K255" s="2"/>
      <c r="L255" s="2"/>
      <c r="M255" s="2" t="s">
        <v>1736</v>
      </c>
      <c r="N255" s="2" t="s">
        <v>35</v>
      </c>
      <c r="O255" s="2" t="s">
        <v>1737</v>
      </c>
      <c r="P255" s="2" t="s">
        <v>1300</v>
      </c>
    </row>
    <row r="256">
      <c r="A256" s="4" t="s">
        <v>32</v>
      </c>
      <c r="B256" s="5">
        <v>4215.0</v>
      </c>
      <c r="C256" s="5">
        <v>2572700.0</v>
      </c>
      <c r="D256" s="5">
        <v>2579750.0</v>
      </c>
      <c r="E256" s="2" t="s">
        <v>248</v>
      </c>
      <c r="F256" s="2"/>
      <c r="G256" s="2"/>
      <c r="H256" s="2"/>
      <c r="I256" s="2"/>
      <c r="J256" s="2"/>
      <c r="K256" s="2"/>
      <c r="L256" s="2"/>
      <c r="M256" s="2" t="s">
        <v>1738</v>
      </c>
      <c r="N256" s="2" t="s">
        <v>35</v>
      </c>
      <c r="O256" s="2" t="s">
        <v>1739</v>
      </c>
      <c r="P256" s="2" t="s">
        <v>1316</v>
      </c>
    </row>
    <row r="257">
      <c r="A257" s="4" t="s">
        <v>32</v>
      </c>
      <c r="B257" s="5">
        <v>4220.0</v>
      </c>
      <c r="C257" s="5">
        <v>2597950.0</v>
      </c>
      <c r="D257" s="5">
        <v>2599640.0</v>
      </c>
      <c r="E257" s="2" t="s">
        <v>248</v>
      </c>
      <c r="F257" s="2"/>
      <c r="G257" s="2"/>
      <c r="H257" s="2"/>
      <c r="I257" s="2"/>
      <c r="J257" s="2"/>
      <c r="K257" s="2"/>
      <c r="L257" s="2"/>
      <c r="M257" s="2" t="s">
        <v>1740</v>
      </c>
      <c r="N257" s="2" t="s">
        <v>35</v>
      </c>
      <c r="O257" s="2" t="s">
        <v>1741</v>
      </c>
      <c r="P257" s="2" t="s">
        <v>1316</v>
      </c>
    </row>
    <row r="258">
      <c r="A258" s="4" t="s">
        <v>32</v>
      </c>
      <c r="B258" s="5">
        <v>4223.0</v>
      </c>
      <c r="C258" s="5">
        <v>2607900.0</v>
      </c>
      <c r="D258" s="5">
        <v>2610900.0</v>
      </c>
      <c r="E258" s="2" t="s">
        <v>248</v>
      </c>
      <c r="F258" s="2"/>
      <c r="G258" s="2"/>
      <c r="H258" s="2"/>
      <c r="I258" s="2"/>
      <c r="J258" s="2"/>
      <c r="K258" s="2"/>
      <c r="L258" s="2"/>
      <c r="M258" s="2" t="s">
        <v>1742</v>
      </c>
      <c r="N258" s="2" t="s">
        <v>35</v>
      </c>
      <c r="O258" s="2" t="s">
        <v>1743</v>
      </c>
      <c r="P258" s="2" t="s">
        <v>1316</v>
      </c>
    </row>
    <row r="259">
      <c r="A259" s="4" t="s">
        <v>32</v>
      </c>
      <c r="B259" s="5">
        <v>4224.0</v>
      </c>
      <c r="C259" s="5">
        <v>2611800.0</v>
      </c>
      <c r="D259" s="5">
        <v>2616420.0</v>
      </c>
      <c r="E259" s="2" t="s">
        <v>248</v>
      </c>
      <c r="F259" s="2"/>
      <c r="G259" s="2"/>
      <c r="H259" s="2"/>
      <c r="I259" s="2"/>
      <c r="J259" s="2"/>
      <c r="K259" s="2"/>
      <c r="L259" s="2"/>
      <c r="M259" s="2"/>
      <c r="N259" s="2" t="s">
        <v>45</v>
      </c>
      <c r="O259" s="2" t="s">
        <v>1744</v>
      </c>
      <c r="P259" s="2" t="s">
        <v>1316</v>
      </c>
    </row>
    <row r="260">
      <c r="A260" s="4" t="s">
        <v>32</v>
      </c>
      <c r="B260" s="5">
        <v>4224.0</v>
      </c>
      <c r="C260" s="5">
        <v>2611800.0</v>
      </c>
      <c r="D260" s="5">
        <v>2616420.0</v>
      </c>
      <c r="E260" s="2" t="s">
        <v>248</v>
      </c>
      <c r="F260" s="2"/>
      <c r="G260" s="2"/>
      <c r="H260" s="2"/>
      <c r="I260" s="2"/>
      <c r="J260" s="2"/>
      <c r="K260" s="2"/>
      <c r="L260" s="2"/>
      <c r="M260" s="2" t="s">
        <v>1745</v>
      </c>
      <c r="N260" s="2" t="s">
        <v>35</v>
      </c>
      <c r="O260" s="2" t="s">
        <v>1746</v>
      </c>
      <c r="P260" s="2" t="s">
        <v>1316</v>
      </c>
    </row>
    <row r="261">
      <c r="A261" s="4" t="s">
        <v>32</v>
      </c>
      <c r="B261" s="5">
        <v>4224.0</v>
      </c>
      <c r="C261" s="5">
        <v>2611800.0</v>
      </c>
      <c r="D261" s="5">
        <v>2616420.0</v>
      </c>
      <c r="E261" s="2" t="s">
        <v>248</v>
      </c>
      <c r="F261" s="2"/>
      <c r="G261" s="2"/>
      <c r="H261" s="2"/>
      <c r="I261" s="2"/>
      <c r="J261" s="2"/>
      <c r="K261" s="2"/>
      <c r="L261" s="2"/>
      <c r="M261" s="2" t="s">
        <v>1747</v>
      </c>
      <c r="N261" s="2" t="s">
        <v>35</v>
      </c>
      <c r="O261" s="2" t="s">
        <v>1741</v>
      </c>
      <c r="P261" s="2" t="s">
        <v>1316</v>
      </c>
    </row>
    <row r="262">
      <c r="A262" s="4" t="s">
        <v>32</v>
      </c>
      <c r="B262" s="5">
        <v>4225.0</v>
      </c>
      <c r="C262" s="5">
        <v>2617040.0</v>
      </c>
      <c r="D262" s="5">
        <v>2620600.0</v>
      </c>
      <c r="E262" s="2" t="s">
        <v>248</v>
      </c>
      <c r="F262" s="2"/>
      <c r="G262" s="2"/>
      <c r="H262" s="2"/>
      <c r="I262" s="2"/>
      <c r="J262" s="2"/>
      <c r="K262" s="2"/>
      <c r="L262" s="2"/>
      <c r="M262" s="2" t="s">
        <v>1748</v>
      </c>
      <c r="N262" s="2" t="s">
        <v>35</v>
      </c>
      <c r="O262" s="2" t="s">
        <v>1743</v>
      </c>
      <c r="P262" s="2" t="s">
        <v>1316</v>
      </c>
    </row>
    <row r="263">
      <c r="A263" s="4" t="s">
        <v>32</v>
      </c>
      <c r="B263" s="5">
        <v>4229.0</v>
      </c>
      <c r="C263" s="5">
        <v>2626340.0</v>
      </c>
      <c r="D263" s="5">
        <v>2637250.0</v>
      </c>
      <c r="E263" s="2" t="s">
        <v>248</v>
      </c>
      <c r="F263" s="2"/>
      <c r="G263" s="2"/>
      <c r="H263" s="2"/>
      <c r="I263" s="2"/>
      <c r="J263" s="2"/>
      <c r="K263" s="2"/>
      <c r="L263" s="2"/>
      <c r="M263" s="2" t="s">
        <v>1749</v>
      </c>
      <c r="N263" s="2" t="s">
        <v>35</v>
      </c>
      <c r="O263" s="16" t="str">
        <f>, копали поздно.</f>
        <v>#ERROR!</v>
      </c>
      <c r="P263" s="2" t="s">
        <v>1300</v>
      </c>
    </row>
    <row r="264">
      <c r="A264" s="4" t="s">
        <v>32</v>
      </c>
      <c r="B264" s="5">
        <v>4282.0</v>
      </c>
      <c r="C264" s="5">
        <v>2806650.0</v>
      </c>
      <c r="D264" s="5">
        <v>2809550.0</v>
      </c>
      <c r="E264" s="2" t="s">
        <v>248</v>
      </c>
      <c r="F264" s="2"/>
      <c r="G264" s="2"/>
      <c r="H264" s="2"/>
      <c r="I264" s="2"/>
      <c r="J264" s="2"/>
      <c r="K264" s="2"/>
      <c r="L264" s="2"/>
      <c r="M264" s="2" t="s">
        <v>1750</v>
      </c>
      <c r="N264" s="2" t="s">
        <v>35</v>
      </c>
      <c r="O264" s="2" t="s">
        <v>1751</v>
      </c>
      <c r="P264" s="2" t="s">
        <v>1296</v>
      </c>
    </row>
    <row r="265">
      <c r="A265" s="4" t="s">
        <v>32</v>
      </c>
      <c r="B265" s="5">
        <v>4304.0</v>
      </c>
      <c r="C265" s="5">
        <v>2856760.0</v>
      </c>
      <c r="D265" s="5">
        <v>2860500.0</v>
      </c>
      <c r="E265" s="2" t="s">
        <v>248</v>
      </c>
      <c r="F265" s="2"/>
      <c r="G265" s="2"/>
      <c r="H265" s="2"/>
      <c r="I265" s="2"/>
      <c r="J265" s="2"/>
      <c r="K265" s="2"/>
      <c r="L265" s="2"/>
      <c r="M265" s="2" t="s">
        <v>1752</v>
      </c>
      <c r="N265" s="2" t="s">
        <v>35</v>
      </c>
      <c r="O265" s="2" t="s">
        <v>1753</v>
      </c>
      <c r="P265" s="2" t="s">
        <v>1296</v>
      </c>
    </row>
    <row r="266">
      <c r="A266" s="4" t="s">
        <v>32</v>
      </c>
      <c r="B266" s="5">
        <v>4306.0</v>
      </c>
      <c r="C266" s="5">
        <v>2864250.0</v>
      </c>
      <c r="D266" s="5">
        <v>2867950.0</v>
      </c>
      <c r="E266" s="2" t="s">
        <v>248</v>
      </c>
      <c r="F266" s="2"/>
      <c r="G266" s="2"/>
      <c r="H266" s="2"/>
      <c r="I266" s="2"/>
      <c r="J266" s="2"/>
      <c r="K266" s="2"/>
      <c r="L266" s="2"/>
      <c r="M266" s="2" t="s">
        <v>1754</v>
      </c>
      <c r="N266" s="2" t="s">
        <v>35</v>
      </c>
      <c r="O266" s="2" t="s">
        <v>1755</v>
      </c>
      <c r="P266" s="2" t="s">
        <v>1296</v>
      </c>
    </row>
    <row r="267">
      <c r="A267" s="4" t="s">
        <v>32</v>
      </c>
      <c r="B267" s="5">
        <v>4314.0</v>
      </c>
      <c r="C267" s="5">
        <v>2881990.0</v>
      </c>
      <c r="D267" s="5">
        <v>2885760.0</v>
      </c>
      <c r="E267" s="2" t="s">
        <v>248</v>
      </c>
      <c r="F267" s="2"/>
      <c r="G267" s="2"/>
      <c r="H267" s="2"/>
      <c r="I267" s="2"/>
      <c r="J267" s="2"/>
      <c r="K267" s="2"/>
      <c r="L267" s="2"/>
      <c r="M267" s="2" t="s">
        <v>1756</v>
      </c>
      <c r="N267" s="2" t="s">
        <v>35</v>
      </c>
      <c r="O267" s="16" t="str">
        <f>, это, свисток даю. ё</f>
        <v>#ERROR!</v>
      </c>
      <c r="P267" s="2" t="s">
        <v>1300</v>
      </c>
    </row>
    <row r="268">
      <c r="A268" s="4" t="s">
        <v>32</v>
      </c>
      <c r="B268" s="5">
        <v>4341.0</v>
      </c>
      <c r="C268" s="5">
        <v>2952870.0</v>
      </c>
      <c r="D268" s="5">
        <v>2956900.0</v>
      </c>
      <c r="E268" s="2" t="s">
        <v>248</v>
      </c>
      <c r="F268" s="2"/>
      <c r="G268" s="2"/>
      <c r="H268" s="2"/>
      <c r="I268" s="2"/>
      <c r="J268" s="2"/>
      <c r="K268" s="2"/>
      <c r="L268" s="2"/>
      <c r="M268" s="2" t="s">
        <v>1757</v>
      </c>
      <c r="N268" s="2" t="s">
        <v>35</v>
      </c>
      <c r="O268" s="16" t="str">
        <f>, может, её позно сажать надо?</f>
        <v>#ERROR!</v>
      </c>
      <c r="P268" s="2" t="s">
        <v>1300</v>
      </c>
    </row>
    <row r="269">
      <c r="A269" s="4" t="s">
        <v>32</v>
      </c>
      <c r="B269" s="5">
        <v>4358.0</v>
      </c>
      <c r="C269" s="5">
        <v>3025120.0</v>
      </c>
      <c r="D269" s="5">
        <v>3034810.0</v>
      </c>
      <c r="E269" s="2" t="s">
        <v>248</v>
      </c>
      <c r="F269" s="2"/>
      <c r="G269" s="2"/>
      <c r="H269" s="2"/>
      <c r="I269" s="2"/>
      <c r="J269" s="2"/>
      <c r="K269" s="2"/>
      <c r="L269" s="2"/>
      <c r="M269" s="2" t="s">
        <v>1758</v>
      </c>
      <c r="N269" s="2" t="s">
        <v>35</v>
      </c>
      <c r="O269" s="2" t="s">
        <v>1759</v>
      </c>
      <c r="P269" s="2" t="s">
        <v>1316</v>
      </c>
    </row>
    <row r="270">
      <c r="A270" s="4" t="s">
        <v>32</v>
      </c>
      <c r="B270" s="5">
        <v>4361.0</v>
      </c>
      <c r="C270" s="5">
        <v>3035330.0</v>
      </c>
      <c r="D270" s="5">
        <v>3043490.0</v>
      </c>
      <c r="E270" s="2" t="s">
        <v>248</v>
      </c>
      <c r="F270" s="2"/>
      <c r="G270" s="2"/>
      <c r="H270" s="2"/>
      <c r="I270" s="2"/>
      <c r="J270" s="2"/>
      <c r="K270" s="2"/>
      <c r="L270" s="2"/>
      <c r="M270" s="2" t="s">
        <v>1760</v>
      </c>
      <c r="N270" s="2" t="s">
        <v>35</v>
      </c>
      <c r="O270" s="2" t="s">
        <v>1761</v>
      </c>
      <c r="P270" s="2" t="s">
        <v>1300</v>
      </c>
    </row>
    <row r="271">
      <c r="A271" s="4" t="s">
        <v>32</v>
      </c>
      <c r="B271" s="5">
        <v>4361.0</v>
      </c>
      <c r="C271" s="5">
        <v>3035330.0</v>
      </c>
      <c r="D271" s="5">
        <v>3043490.0</v>
      </c>
      <c r="E271" s="2" t="s">
        <v>248</v>
      </c>
      <c r="F271" s="2"/>
      <c r="G271" s="2"/>
      <c r="H271" s="2"/>
      <c r="I271" s="2"/>
      <c r="J271" s="2"/>
      <c r="K271" s="2"/>
      <c r="L271" s="2"/>
      <c r="M271" s="2" t="s">
        <v>1762</v>
      </c>
      <c r="N271" s="2" t="s">
        <v>35</v>
      </c>
      <c r="O271" s="2" t="s">
        <v>1763</v>
      </c>
      <c r="P271" s="2" t="s">
        <v>1298</v>
      </c>
    </row>
    <row r="272">
      <c r="A272" s="4" t="s">
        <v>32</v>
      </c>
      <c r="B272" s="5">
        <v>4361.0</v>
      </c>
      <c r="C272" s="5">
        <v>3035330.0</v>
      </c>
      <c r="D272" s="5">
        <v>3043490.0</v>
      </c>
      <c r="E272" s="2" t="s">
        <v>248</v>
      </c>
      <c r="F272" s="2"/>
      <c r="G272" s="2"/>
      <c r="H272" s="2"/>
      <c r="I272" s="2"/>
      <c r="J272" s="2"/>
      <c r="K272" s="2"/>
      <c r="L272" s="2"/>
      <c r="M272" s="2" t="s">
        <v>1764</v>
      </c>
      <c r="N272" s="2" t="s">
        <v>35</v>
      </c>
      <c r="O272" s="2" t="s">
        <v>1765</v>
      </c>
      <c r="P272" s="2" t="s">
        <v>1316</v>
      </c>
    </row>
    <row r="273">
      <c r="A273" s="4" t="s">
        <v>32</v>
      </c>
      <c r="B273" s="5">
        <v>4368.0</v>
      </c>
      <c r="C273" s="5">
        <v>3054980.0</v>
      </c>
      <c r="D273" s="5">
        <v>3062450.0</v>
      </c>
      <c r="E273" s="2" t="s">
        <v>248</v>
      </c>
      <c r="F273" s="2"/>
      <c r="G273" s="2"/>
      <c r="H273" s="2"/>
      <c r="I273" s="2"/>
      <c r="J273" s="2"/>
      <c r="K273" s="2"/>
      <c r="L273" s="2"/>
      <c r="M273" s="2" t="s">
        <v>1766</v>
      </c>
      <c r="N273" s="2" t="s">
        <v>35</v>
      </c>
      <c r="O273" s="2" t="s">
        <v>1767</v>
      </c>
      <c r="P273" s="2" t="s">
        <v>1296</v>
      </c>
    </row>
    <row r="274">
      <c r="A274" s="4" t="s">
        <v>32</v>
      </c>
      <c r="B274" s="5">
        <v>4375.0</v>
      </c>
      <c r="C274" s="5">
        <v>3080840.0</v>
      </c>
      <c r="D274" s="5">
        <v>3087100.0</v>
      </c>
      <c r="E274" s="2" t="s">
        <v>248</v>
      </c>
      <c r="F274" s="2"/>
      <c r="G274" s="2"/>
      <c r="H274" s="2"/>
      <c r="I274" s="2"/>
      <c r="J274" s="2"/>
      <c r="K274" s="2"/>
      <c r="L274" s="2"/>
      <c r="M274" s="2"/>
      <c r="N274" s="2" t="s">
        <v>45</v>
      </c>
      <c r="O274" s="2" t="s">
        <v>1768</v>
      </c>
      <c r="P274" s="2" t="s">
        <v>1296</v>
      </c>
    </row>
    <row r="275">
      <c r="A275" s="4" t="s">
        <v>32</v>
      </c>
      <c r="B275" s="5">
        <v>4408.0</v>
      </c>
      <c r="C275" s="5">
        <v>3175420.0</v>
      </c>
      <c r="D275" s="5">
        <v>3184220.0</v>
      </c>
      <c r="E275" s="2" t="s">
        <v>248</v>
      </c>
      <c r="F275" s="2"/>
      <c r="G275" s="2"/>
      <c r="H275" s="2"/>
      <c r="I275" s="2"/>
      <c r="J275" s="2"/>
      <c r="K275" s="2"/>
      <c r="L275" s="2"/>
      <c r="M275" s="2" t="s">
        <v>1769</v>
      </c>
      <c r="N275" s="2" t="s">
        <v>35</v>
      </c>
      <c r="O275" s="2" t="s">
        <v>1770</v>
      </c>
      <c r="P275" s="2" t="s">
        <v>1298</v>
      </c>
    </row>
    <row r="276">
      <c r="A276" s="4" t="s">
        <v>32</v>
      </c>
      <c r="B276" s="5">
        <v>4411.0</v>
      </c>
      <c r="C276" s="5">
        <v>3186850.0</v>
      </c>
      <c r="D276" s="5">
        <v>3190630.0</v>
      </c>
      <c r="E276" s="2" t="s">
        <v>248</v>
      </c>
      <c r="F276" s="2"/>
      <c r="G276" s="2"/>
      <c r="H276" s="2"/>
      <c r="I276" s="2"/>
      <c r="J276" s="2"/>
      <c r="K276" s="2"/>
      <c r="L276" s="2"/>
      <c r="M276" s="2" t="s">
        <v>1771</v>
      </c>
      <c r="N276" s="2" t="s">
        <v>45</v>
      </c>
      <c r="O276" s="16" t="e">
        <v>#NAME?</v>
      </c>
      <c r="P276" s="2" t="s">
        <v>1300</v>
      </c>
    </row>
    <row r="277">
      <c r="A277" s="4" t="s">
        <v>32</v>
      </c>
      <c r="B277" s="5">
        <v>4430.0</v>
      </c>
      <c r="C277" s="5">
        <v>3264550.0</v>
      </c>
      <c r="D277" s="5">
        <v>3267180.0</v>
      </c>
      <c r="E277" s="2" t="s">
        <v>248</v>
      </c>
      <c r="F277" s="2"/>
      <c r="G277" s="2"/>
      <c r="H277" s="2"/>
      <c r="I277" s="2"/>
      <c r="J277" s="2"/>
      <c r="K277" s="2"/>
      <c r="L277" s="2"/>
      <c r="M277" s="2" t="s">
        <v>1772</v>
      </c>
      <c r="N277" s="2" t="s">
        <v>35</v>
      </c>
      <c r="O277" s="2" t="s">
        <v>1773</v>
      </c>
      <c r="P277" s="2" t="s">
        <v>1296</v>
      </c>
    </row>
    <row r="278">
      <c r="A278" s="4" t="s">
        <v>32</v>
      </c>
      <c r="B278" s="5">
        <v>4434.0</v>
      </c>
      <c r="C278" s="5">
        <v>3275330.0</v>
      </c>
      <c r="D278" s="5">
        <v>3278290.0</v>
      </c>
      <c r="E278" s="2" t="s">
        <v>248</v>
      </c>
      <c r="F278" s="2"/>
      <c r="G278" s="2"/>
      <c r="H278" s="2"/>
      <c r="I278" s="2"/>
      <c r="J278" s="2"/>
      <c r="K278" s="2"/>
      <c r="L278" s="2"/>
      <c r="M278" s="2" t="s">
        <v>1774</v>
      </c>
      <c r="N278" s="2" t="s">
        <v>35</v>
      </c>
      <c r="O278" s="2" t="s">
        <v>1775</v>
      </c>
      <c r="P278" s="2" t="s">
        <v>1316</v>
      </c>
    </row>
    <row r="279">
      <c r="A279" s="4" t="s">
        <v>32</v>
      </c>
      <c r="B279" s="5">
        <v>4485.0</v>
      </c>
      <c r="C279" s="5">
        <v>3417550.0</v>
      </c>
      <c r="D279" s="5">
        <v>3422500.0</v>
      </c>
      <c r="E279" s="2" t="s">
        <v>248</v>
      </c>
      <c r="F279" s="2"/>
      <c r="G279" s="2"/>
      <c r="H279" s="2"/>
      <c r="I279" s="2"/>
      <c r="J279" s="2"/>
      <c r="K279" s="2"/>
      <c r="L279" s="2"/>
      <c r="M279" s="2" t="s">
        <v>1776</v>
      </c>
      <c r="N279" s="2" t="s">
        <v>35</v>
      </c>
      <c r="O279" s="2" t="s">
        <v>1777</v>
      </c>
      <c r="P279" s="2" t="s">
        <v>1296</v>
      </c>
    </row>
    <row r="280">
      <c r="A280" s="4" t="s">
        <v>32</v>
      </c>
      <c r="B280" s="5">
        <v>4514.0</v>
      </c>
      <c r="C280" s="5">
        <v>3515295.0</v>
      </c>
      <c r="D280" s="5">
        <v>3516735.0</v>
      </c>
      <c r="E280" s="2" t="s">
        <v>248</v>
      </c>
      <c r="F280" s="2"/>
      <c r="G280" s="2"/>
      <c r="H280" s="2"/>
      <c r="I280" s="2"/>
      <c r="J280" s="2"/>
      <c r="K280" s="2"/>
      <c r="L280" s="2"/>
      <c r="M280" s="2" t="s">
        <v>1778</v>
      </c>
      <c r="N280" s="2" t="s">
        <v>35</v>
      </c>
      <c r="O280" s="2" t="s">
        <v>1779</v>
      </c>
      <c r="P280" s="2" t="s">
        <v>1296</v>
      </c>
    </row>
    <row r="281">
      <c r="A281" s="4" t="s">
        <v>32</v>
      </c>
      <c r="B281" s="5">
        <v>4515.0</v>
      </c>
      <c r="C281" s="5">
        <v>3517140.0</v>
      </c>
      <c r="D281" s="5">
        <v>3521180.0</v>
      </c>
      <c r="E281" s="2" t="s">
        <v>248</v>
      </c>
      <c r="F281" s="2"/>
      <c r="G281" s="2"/>
      <c r="H281" s="2"/>
      <c r="I281" s="2"/>
      <c r="J281" s="2"/>
      <c r="K281" s="2"/>
      <c r="L281" s="2"/>
      <c r="M281" s="2" t="s">
        <v>410</v>
      </c>
      <c r="N281" s="2" t="s">
        <v>35</v>
      </c>
      <c r="O281" s="2" t="s">
        <v>1780</v>
      </c>
      <c r="P281" s="2" t="s">
        <v>1296</v>
      </c>
    </row>
    <row r="282">
      <c r="A282" s="4" t="s">
        <v>32</v>
      </c>
      <c r="B282" s="5">
        <v>4580.0</v>
      </c>
      <c r="C282" s="5">
        <v>3717700.0</v>
      </c>
      <c r="D282" s="5">
        <v>3724820.0</v>
      </c>
      <c r="E282" s="2" t="s">
        <v>248</v>
      </c>
      <c r="F282" s="2"/>
      <c r="G282" s="2"/>
      <c r="H282" s="2"/>
      <c r="I282" s="2"/>
      <c r="J282" s="2"/>
      <c r="K282" s="2"/>
      <c r="L282" s="2"/>
      <c r="M282" s="2" t="s">
        <v>1781</v>
      </c>
      <c r="N282" s="2" t="s">
        <v>35</v>
      </c>
      <c r="O282" s="2" t="s">
        <v>1782</v>
      </c>
      <c r="P282" s="2" t="s">
        <v>1388</v>
      </c>
    </row>
    <row r="283">
      <c r="A283" s="4" t="s">
        <v>32</v>
      </c>
      <c r="B283" s="5">
        <v>4600.0</v>
      </c>
      <c r="C283" s="5">
        <v>3764130.0</v>
      </c>
      <c r="D283" s="5">
        <v>3768990.0</v>
      </c>
      <c r="E283" s="2" t="s">
        <v>248</v>
      </c>
      <c r="F283" s="2"/>
      <c r="G283" s="2"/>
      <c r="H283" s="2"/>
      <c r="I283" s="2"/>
      <c r="J283" s="2"/>
      <c r="K283" s="2"/>
      <c r="L283" s="2"/>
      <c r="M283" s="2" t="s">
        <v>1783</v>
      </c>
      <c r="N283" s="2" t="s">
        <v>35</v>
      </c>
      <c r="O283" s="16" t="str">
        <f> у меня(мене) постройки, теперь хозяйства нету. Вот в хлеву(хлеве) ставлю.</f>
        <v>#ERROR!</v>
      </c>
      <c r="P283" s="2" t="s">
        <v>1300</v>
      </c>
    </row>
    <row r="284">
      <c r="A284" s="4" t="s">
        <v>32</v>
      </c>
      <c r="B284" s="5">
        <v>4729.0</v>
      </c>
      <c r="C284" s="5">
        <v>4122140.0</v>
      </c>
      <c r="D284" s="5">
        <v>4126480.0</v>
      </c>
      <c r="E284" s="2" t="s">
        <v>248</v>
      </c>
      <c r="F284" s="2"/>
      <c r="G284" s="2"/>
      <c r="H284" s="2"/>
      <c r="I284" s="2"/>
      <c r="J284" s="2"/>
      <c r="K284" s="2"/>
      <c r="L284" s="2"/>
      <c r="M284" s="2" t="s">
        <v>1784</v>
      </c>
      <c r="N284" s="2" t="s">
        <v>35</v>
      </c>
      <c r="O284" s="2" t="s">
        <v>1785</v>
      </c>
      <c r="P284" s="2" t="s">
        <v>1296</v>
      </c>
    </row>
    <row r="285">
      <c r="A285" s="4" t="s">
        <v>32</v>
      </c>
      <c r="B285" s="5">
        <v>4819.0</v>
      </c>
      <c r="C285" s="5">
        <v>4366970.0</v>
      </c>
      <c r="D285" s="5">
        <v>4371430.0</v>
      </c>
      <c r="E285" s="2" t="s">
        <v>248</v>
      </c>
      <c r="F285" s="2"/>
      <c r="G285" s="2"/>
      <c r="H285" s="2"/>
      <c r="I285" s="2"/>
      <c r="J285" s="2"/>
      <c r="K285" s="2"/>
      <c r="L285" s="2"/>
      <c r="M285" s="2" t="s">
        <v>1222</v>
      </c>
      <c r="N285" s="2" t="s">
        <v>35</v>
      </c>
      <c r="O285" s="2" t="s">
        <v>1786</v>
      </c>
      <c r="P285" s="2" t="s">
        <v>1296</v>
      </c>
    </row>
    <row r="286">
      <c r="A286" s="4" t="s">
        <v>32</v>
      </c>
      <c r="B286" s="5">
        <v>4909.0</v>
      </c>
      <c r="C286" s="5">
        <v>4588977.0</v>
      </c>
      <c r="D286" s="5">
        <v>4601000.0</v>
      </c>
      <c r="E286" s="2" t="s">
        <v>248</v>
      </c>
      <c r="F286" s="2"/>
      <c r="G286" s="2"/>
      <c r="H286" s="2"/>
      <c r="I286" s="2"/>
      <c r="J286" s="2"/>
      <c r="K286" s="2"/>
      <c r="L286" s="2"/>
      <c r="M286" s="2" t="s">
        <v>1787</v>
      </c>
      <c r="N286" s="2" t="s">
        <v>35</v>
      </c>
      <c r="O286" s="2" t="s">
        <v>1788</v>
      </c>
      <c r="P286" s="2" t="s">
        <v>1789</v>
      </c>
    </row>
    <row r="287">
      <c r="A287" s="4" t="s">
        <v>32</v>
      </c>
      <c r="B287" s="5">
        <v>4923.0</v>
      </c>
      <c r="C287" s="5">
        <v>4639060.0</v>
      </c>
      <c r="D287" s="5">
        <v>4642250.0</v>
      </c>
      <c r="E287" s="2" t="s">
        <v>248</v>
      </c>
      <c r="F287" s="2"/>
      <c r="G287" s="2"/>
      <c r="H287" s="2"/>
      <c r="I287" s="2"/>
      <c r="J287" s="2"/>
      <c r="K287" s="2"/>
      <c r="L287" s="2"/>
      <c r="M287" s="2" t="s">
        <v>1790</v>
      </c>
      <c r="N287" s="2" t="s">
        <v>35</v>
      </c>
      <c r="O287" s="2" t="s">
        <v>1791</v>
      </c>
      <c r="P287" s="2" t="s">
        <v>1316</v>
      </c>
    </row>
    <row r="288">
      <c r="A288" s="4" t="s">
        <v>32</v>
      </c>
      <c r="B288" s="5">
        <v>5010.0</v>
      </c>
      <c r="C288" s="5">
        <v>4914300.0</v>
      </c>
      <c r="D288" s="5">
        <v>4918870.0</v>
      </c>
      <c r="E288" s="2" t="s">
        <v>248</v>
      </c>
      <c r="F288" s="2"/>
      <c r="G288" s="2"/>
      <c r="H288" s="2"/>
      <c r="I288" s="2"/>
      <c r="J288" s="2"/>
      <c r="K288" s="2"/>
      <c r="L288" s="2"/>
      <c r="M288" s="2" t="s">
        <v>1792</v>
      </c>
      <c r="N288" s="2" t="s">
        <v>35</v>
      </c>
      <c r="O288" s="2" t="s">
        <v>1793</v>
      </c>
      <c r="P288" s="2" t="s">
        <v>1296</v>
      </c>
    </row>
    <row r="289">
      <c r="A289" s="4" t="s">
        <v>32</v>
      </c>
      <c r="B289" s="5">
        <v>5015.0</v>
      </c>
      <c r="C289" s="5">
        <v>4924420.0</v>
      </c>
      <c r="D289" s="5">
        <v>4929470.0</v>
      </c>
      <c r="E289" s="2" t="s">
        <v>248</v>
      </c>
      <c r="F289" s="2"/>
      <c r="G289" s="2"/>
      <c r="H289" s="2"/>
      <c r="I289" s="2"/>
      <c r="J289" s="2"/>
      <c r="K289" s="2"/>
      <c r="L289" s="2"/>
      <c r="M289" s="2" t="s">
        <v>1794</v>
      </c>
      <c r="N289" s="2" t="s">
        <v>45</v>
      </c>
      <c r="O289" s="2" t="s">
        <v>1795</v>
      </c>
      <c r="P289" s="2" t="s">
        <v>1789</v>
      </c>
    </row>
    <row r="290">
      <c r="A290" s="4" t="s">
        <v>32</v>
      </c>
      <c r="B290" s="5">
        <v>5016.0</v>
      </c>
      <c r="C290" s="5">
        <v>4929850.0</v>
      </c>
      <c r="D290" s="5">
        <v>4935860.0</v>
      </c>
      <c r="E290" s="2" t="s">
        <v>248</v>
      </c>
      <c r="F290" s="2"/>
      <c r="G290" s="2"/>
      <c r="H290" s="2"/>
      <c r="I290" s="2"/>
      <c r="J290" s="2"/>
      <c r="K290" s="2"/>
      <c r="L290" s="2"/>
      <c r="M290" s="2" t="s">
        <v>1796</v>
      </c>
      <c r="N290" s="2" t="s">
        <v>45</v>
      </c>
      <c r="O290" s="2" t="s">
        <v>1797</v>
      </c>
      <c r="P290" s="2" t="s">
        <v>1789</v>
      </c>
    </row>
    <row r="291">
      <c r="A291" s="4" t="s">
        <v>32</v>
      </c>
      <c r="B291" s="5">
        <v>5024.0</v>
      </c>
      <c r="C291" s="5">
        <v>4955820.0</v>
      </c>
      <c r="D291" s="5">
        <v>4959220.0</v>
      </c>
      <c r="E291" s="2" t="s">
        <v>248</v>
      </c>
      <c r="F291" s="2"/>
      <c r="G291" s="2"/>
      <c r="H291" s="2"/>
      <c r="I291" s="2"/>
      <c r="J291" s="2"/>
      <c r="K291" s="2"/>
      <c r="L291" s="2"/>
      <c r="M291" s="2" t="s">
        <v>1798</v>
      </c>
      <c r="N291" s="2" t="s">
        <v>35</v>
      </c>
      <c r="O291" s="2" t="s">
        <v>1799</v>
      </c>
      <c r="P291" s="2" t="s">
        <v>1296</v>
      </c>
    </row>
    <row r="292">
      <c r="A292" s="4" t="s">
        <v>32</v>
      </c>
      <c r="B292" s="5">
        <v>5035.0</v>
      </c>
      <c r="C292" s="5">
        <v>4982560.0</v>
      </c>
      <c r="D292" s="5">
        <v>4985790.0</v>
      </c>
      <c r="E292" s="2" t="s">
        <v>248</v>
      </c>
      <c r="F292" s="2"/>
      <c r="G292" s="2"/>
      <c r="H292" s="2"/>
      <c r="I292" s="2"/>
      <c r="J292" s="2"/>
      <c r="K292" s="2"/>
      <c r="L292" s="2"/>
      <c r="M292" s="2" t="s">
        <v>1800</v>
      </c>
      <c r="N292" s="2" t="s">
        <v>35</v>
      </c>
      <c r="O292" s="2" t="s">
        <v>1801</v>
      </c>
      <c r="P292" s="2" t="s">
        <v>1296</v>
      </c>
    </row>
    <row r="293">
      <c r="A293" s="4" t="s">
        <v>32</v>
      </c>
      <c r="B293" s="5">
        <v>5036.0</v>
      </c>
      <c r="C293" s="5">
        <v>4985650.0</v>
      </c>
      <c r="D293" s="5">
        <v>4992590.0</v>
      </c>
      <c r="E293" s="2" t="s">
        <v>248</v>
      </c>
      <c r="F293" s="2"/>
      <c r="G293" s="2"/>
      <c r="H293" s="2"/>
      <c r="I293" s="2"/>
      <c r="J293" s="2"/>
      <c r="K293" s="2"/>
      <c r="L293" s="2"/>
      <c r="M293" s="2" t="s">
        <v>1802</v>
      </c>
      <c r="N293" s="2" t="s">
        <v>35</v>
      </c>
      <c r="O293" s="2" t="s">
        <v>1803</v>
      </c>
      <c r="P293" s="2" t="s">
        <v>1296</v>
      </c>
    </row>
    <row r="294">
      <c r="A294" s="4" t="s">
        <v>32</v>
      </c>
      <c r="B294" s="5">
        <v>5161.0</v>
      </c>
      <c r="C294" s="5">
        <v>254966.0</v>
      </c>
      <c r="D294" s="5">
        <v>285766.0</v>
      </c>
      <c r="E294" s="2" t="s">
        <v>284</v>
      </c>
      <c r="F294" s="2"/>
      <c r="G294" s="2"/>
      <c r="H294" s="2"/>
      <c r="I294" s="2"/>
      <c r="J294" s="2"/>
      <c r="K294" s="2"/>
      <c r="L294" s="2"/>
      <c r="M294" s="2" t="s">
        <v>1804</v>
      </c>
      <c r="N294" s="2" t="s">
        <v>35</v>
      </c>
      <c r="O294" s="2" t="s">
        <v>1805</v>
      </c>
      <c r="P294" s="2" t="s">
        <v>1296</v>
      </c>
    </row>
    <row r="295">
      <c r="A295" s="4" t="s">
        <v>32</v>
      </c>
      <c r="B295" s="5">
        <v>5163.0</v>
      </c>
      <c r="C295" s="5">
        <v>334548.0</v>
      </c>
      <c r="D295" s="5">
        <v>390648.0</v>
      </c>
      <c r="E295" s="2" t="s">
        <v>284</v>
      </c>
      <c r="F295" s="2"/>
      <c r="G295" s="2"/>
      <c r="H295" s="2"/>
      <c r="I295" s="2"/>
      <c r="J295" s="2"/>
      <c r="K295" s="2"/>
      <c r="L295" s="2"/>
      <c r="M295" s="2" t="s">
        <v>1806</v>
      </c>
      <c r="N295" s="2" t="s">
        <v>35</v>
      </c>
      <c r="O295" s="2" t="s">
        <v>1807</v>
      </c>
      <c r="P295" s="2" t="s">
        <v>1316</v>
      </c>
    </row>
    <row r="296">
      <c r="A296" s="4" t="s">
        <v>32</v>
      </c>
      <c r="B296" s="5">
        <v>5164.0</v>
      </c>
      <c r="C296" s="5">
        <v>390699.0</v>
      </c>
      <c r="D296" s="5">
        <v>402148.0</v>
      </c>
      <c r="E296" s="2" t="s">
        <v>284</v>
      </c>
      <c r="F296" s="2"/>
      <c r="G296" s="2"/>
      <c r="H296" s="2"/>
      <c r="I296" s="2"/>
      <c r="J296" s="2"/>
      <c r="K296" s="2"/>
      <c r="L296" s="2"/>
      <c r="M296" s="2" t="s">
        <v>1808</v>
      </c>
      <c r="N296" s="2" t="s">
        <v>35</v>
      </c>
      <c r="O296" s="2" t="s">
        <v>1809</v>
      </c>
      <c r="P296" s="2" t="s">
        <v>1316</v>
      </c>
    </row>
    <row r="297">
      <c r="A297" s="4" t="s">
        <v>32</v>
      </c>
      <c r="B297" s="5">
        <v>5182.0</v>
      </c>
      <c r="C297" s="5">
        <v>776857.0</v>
      </c>
      <c r="D297" s="5">
        <v>790000.0</v>
      </c>
      <c r="E297" s="2" t="s">
        <v>284</v>
      </c>
      <c r="F297" s="2"/>
      <c r="G297" s="2"/>
      <c r="H297" s="2"/>
      <c r="I297" s="2"/>
      <c r="J297" s="2"/>
      <c r="K297" s="2"/>
      <c r="L297" s="2"/>
      <c r="M297" s="2" t="s">
        <v>1810</v>
      </c>
      <c r="N297" s="2" t="s">
        <v>35</v>
      </c>
      <c r="O297" s="2" t="s">
        <v>1811</v>
      </c>
      <c r="P297" s="2" t="s">
        <v>1296</v>
      </c>
    </row>
    <row r="298">
      <c r="A298" s="4" t="s">
        <v>32</v>
      </c>
      <c r="B298" s="5">
        <v>5187.0</v>
      </c>
      <c r="C298" s="5">
        <v>872619.0</v>
      </c>
      <c r="D298" s="5">
        <v>894905.0</v>
      </c>
      <c r="E298" s="2" t="s">
        <v>284</v>
      </c>
      <c r="F298" s="2"/>
      <c r="G298" s="2"/>
      <c r="H298" s="2"/>
      <c r="I298" s="2"/>
      <c r="J298" s="2"/>
      <c r="K298" s="2"/>
      <c r="L298" s="2"/>
      <c r="M298" s="2" t="s">
        <v>1812</v>
      </c>
      <c r="N298" s="2" t="s">
        <v>35</v>
      </c>
      <c r="O298" s="2" t="s">
        <v>1813</v>
      </c>
      <c r="P298" s="2" t="s">
        <v>1296</v>
      </c>
    </row>
    <row r="299">
      <c r="A299" s="4" t="s">
        <v>32</v>
      </c>
      <c r="B299" s="5">
        <v>5196.0</v>
      </c>
      <c r="C299" s="5">
        <v>1180720.0</v>
      </c>
      <c r="D299" s="5">
        <v>1243620.0</v>
      </c>
      <c r="E299" s="2" t="s">
        <v>284</v>
      </c>
      <c r="F299" s="2"/>
      <c r="G299" s="2"/>
      <c r="H299" s="2"/>
      <c r="I299" s="2"/>
      <c r="J299" s="2"/>
      <c r="K299" s="2"/>
      <c r="L299" s="2"/>
      <c r="M299" s="2" t="s">
        <v>1814</v>
      </c>
      <c r="N299" s="2" t="s">
        <v>35</v>
      </c>
      <c r="O299" s="2" t="s">
        <v>1815</v>
      </c>
      <c r="P299" s="2" t="s">
        <v>1296</v>
      </c>
    </row>
    <row r="300">
      <c r="A300" s="4" t="s">
        <v>32</v>
      </c>
      <c r="B300" s="5">
        <v>5196.0</v>
      </c>
      <c r="C300" s="5">
        <v>1180720.0</v>
      </c>
      <c r="D300" s="5">
        <v>1243620.0</v>
      </c>
      <c r="E300" s="2" t="s">
        <v>284</v>
      </c>
      <c r="F300" s="2"/>
      <c r="G300" s="2"/>
      <c r="H300" s="2"/>
      <c r="I300" s="2"/>
      <c r="J300" s="2"/>
      <c r="K300" s="2"/>
      <c r="L300" s="2"/>
      <c r="M300" s="2" t="s">
        <v>1816</v>
      </c>
      <c r="N300" s="2" t="s">
        <v>35</v>
      </c>
      <c r="O300" s="2" t="s">
        <v>1817</v>
      </c>
      <c r="P300" s="2" t="s">
        <v>1388</v>
      </c>
    </row>
    <row r="301">
      <c r="A301" s="4" t="s">
        <v>32</v>
      </c>
      <c r="B301" s="5">
        <v>5196.0</v>
      </c>
      <c r="C301" s="5">
        <v>1180720.0</v>
      </c>
      <c r="D301" s="5">
        <v>1243620.0</v>
      </c>
      <c r="E301" s="2" t="s">
        <v>284</v>
      </c>
      <c r="F301" s="2"/>
      <c r="G301" s="2"/>
      <c r="H301" s="2"/>
      <c r="I301" s="2"/>
      <c r="J301" s="2"/>
      <c r="K301" s="2"/>
      <c r="L301" s="2"/>
      <c r="M301" s="2" t="s">
        <v>1818</v>
      </c>
      <c r="N301" s="2" t="s">
        <v>35</v>
      </c>
      <c r="O301" s="2" t="s">
        <v>1819</v>
      </c>
      <c r="P301" s="2" t="s">
        <v>1296</v>
      </c>
    </row>
    <row r="302">
      <c r="A302" s="4" t="s">
        <v>32</v>
      </c>
      <c r="B302" s="5">
        <v>5197.0</v>
      </c>
      <c r="C302" s="5">
        <v>1244900.0</v>
      </c>
      <c r="D302" s="5">
        <v>1299300.0</v>
      </c>
      <c r="E302" s="2" t="s">
        <v>284</v>
      </c>
      <c r="F302" s="2"/>
      <c r="G302" s="2"/>
      <c r="H302" s="2"/>
      <c r="I302" s="2"/>
      <c r="J302" s="2"/>
      <c r="K302" s="2"/>
      <c r="L302" s="2"/>
      <c r="M302" s="2" t="s">
        <v>1820</v>
      </c>
      <c r="N302" s="2" t="s">
        <v>35</v>
      </c>
      <c r="O302" s="2" t="s">
        <v>1821</v>
      </c>
      <c r="P302" s="2" t="s">
        <v>1296</v>
      </c>
    </row>
    <row r="303">
      <c r="A303" s="4" t="s">
        <v>32</v>
      </c>
      <c r="B303" s="5">
        <v>5208.0</v>
      </c>
      <c r="C303" s="5">
        <v>1564100.0</v>
      </c>
      <c r="D303" s="5">
        <v>1588200.0</v>
      </c>
      <c r="E303" s="2" t="s">
        <v>284</v>
      </c>
      <c r="F303" s="2"/>
      <c r="G303" s="2"/>
      <c r="H303" s="2"/>
      <c r="I303" s="2"/>
      <c r="J303" s="2"/>
      <c r="K303" s="2"/>
      <c r="L303" s="2"/>
      <c r="M303" s="2" t="s">
        <v>1822</v>
      </c>
      <c r="N303" s="2" t="s">
        <v>35</v>
      </c>
      <c r="O303" s="2" t="s">
        <v>1823</v>
      </c>
      <c r="P303" s="2" t="s">
        <v>1316</v>
      </c>
    </row>
    <row r="304">
      <c r="A304" s="4" t="s">
        <v>32</v>
      </c>
      <c r="B304" s="5">
        <v>5251.0</v>
      </c>
      <c r="C304" s="5">
        <v>1946300.0</v>
      </c>
      <c r="D304" s="5">
        <v>1958860.0</v>
      </c>
      <c r="E304" s="2" t="s">
        <v>284</v>
      </c>
      <c r="F304" s="2"/>
      <c r="G304" s="2"/>
      <c r="H304" s="2"/>
      <c r="I304" s="2"/>
      <c r="J304" s="2"/>
      <c r="K304" s="2"/>
      <c r="L304" s="2"/>
      <c r="M304" s="2" t="s">
        <v>1824</v>
      </c>
      <c r="N304" s="2" t="s">
        <v>35</v>
      </c>
      <c r="O304" s="2" t="s">
        <v>1825</v>
      </c>
      <c r="P304" s="2" t="s">
        <v>1316</v>
      </c>
    </row>
    <row r="305">
      <c r="A305" s="4" t="s">
        <v>32</v>
      </c>
      <c r="B305" s="5">
        <v>5254.0</v>
      </c>
      <c r="C305" s="5">
        <v>1988900.0</v>
      </c>
      <c r="D305" s="5">
        <v>2130100.0</v>
      </c>
      <c r="E305" s="2" t="s">
        <v>284</v>
      </c>
      <c r="F305" s="2"/>
      <c r="G305" s="2"/>
      <c r="H305" s="2"/>
      <c r="I305" s="2"/>
      <c r="J305" s="2"/>
      <c r="K305" s="2"/>
      <c r="L305" s="2"/>
      <c r="M305" s="2" t="s">
        <v>1826</v>
      </c>
      <c r="N305" s="2" t="s">
        <v>35</v>
      </c>
      <c r="O305" s="2" t="s">
        <v>1827</v>
      </c>
      <c r="P305" s="2" t="s">
        <v>1296</v>
      </c>
    </row>
    <row r="306">
      <c r="A306" s="4" t="s">
        <v>32</v>
      </c>
      <c r="B306" s="5">
        <v>5254.0</v>
      </c>
      <c r="C306" s="5">
        <v>1988900.0</v>
      </c>
      <c r="D306" s="5">
        <v>2130100.0</v>
      </c>
      <c r="E306" s="2" t="s">
        <v>284</v>
      </c>
      <c r="F306" s="2"/>
      <c r="G306" s="2"/>
      <c r="H306" s="2"/>
      <c r="I306" s="2"/>
      <c r="J306" s="2"/>
      <c r="K306" s="2"/>
      <c r="L306" s="2"/>
      <c r="M306" s="2" t="s">
        <v>1828</v>
      </c>
      <c r="N306" s="2" t="s">
        <v>35</v>
      </c>
      <c r="O306" s="2" t="s">
        <v>1829</v>
      </c>
      <c r="P306" s="2" t="s">
        <v>1316</v>
      </c>
    </row>
    <row r="307">
      <c r="A307" s="4" t="s">
        <v>32</v>
      </c>
      <c r="B307" s="5">
        <v>5254.0</v>
      </c>
      <c r="C307" s="5">
        <v>1988900.0</v>
      </c>
      <c r="D307" s="5">
        <v>2130100.0</v>
      </c>
      <c r="E307" s="2" t="s">
        <v>284</v>
      </c>
      <c r="F307" s="2"/>
      <c r="G307" s="2"/>
      <c r="H307" s="2"/>
      <c r="I307" s="2"/>
      <c r="J307" s="2"/>
      <c r="K307" s="2"/>
      <c r="L307" s="2"/>
      <c r="M307" s="2" t="s">
        <v>1830</v>
      </c>
      <c r="N307" s="2" t="s">
        <v>35</v>
      </c>
      <c r="O307" s="2" t="s">
        <v>1831</v>
      </c>
      <c r="P307" s="2" t="s">
        <v>1296</v>
      </c>
    </row>
    <row r="308">
      <c r="A308" s="4" t="s">
        <v>32</v>
      </c>
      <c r="B308" s="5">
        <v>5257.0</v>
      </c>
      <c r="C308" s="5">
        <v>2171100.0</v>
      </c>
      <c r="D308" s="5">
        <v>2291100.0</v>
      </c>
      <c r="E308" s="2" t="s">
        <v>284</v>
      </c>
      <c r="F308" s="2"/>
      <c r="G308" s="2"/>
      <c r="H308" s="2"/>
      <c r="I308" s="2"/>
      <c r="J308" s="2"/>
      <c r="K308" s="2"/>
      <c r="L308" s="2"/>
      <c r="M308" s="2" t="s">
        <v>1832</v>
      </c>
      <c r="N308" s="2" t="s">
        <v>35</v>
      </c>
      <c r="O308" s="2" t="s">
        <v>1833</v>
      </c>
      <c r="P308" s="2" t="s">
        <v>1316</v>
      </c>
    </row>
    <row r="309">
      <c r="A309" s="4" t="s">
        <v>32</v>
      </c>
      <c r="B309" s="5">
        <v>5257.0</v>
      </c>
      <c r="C309" s="5">
        <v>2171100.0</v>
      </c>
      <c r="D309" s="5">
        <v>2291100.0</v>
      </c>
      <c r="E309" s="2" t="s">
        <v>284</v>
      </c>
      <c r="F309" s="2"/>
      <c r="G309" s="2"/>
      <c r="H309" s="2"/>
      <c r="I309" s="2"/>
      <c r="J309" s="2"/>
      <c r="K309" s="2"/>
      <c r="L309" s="2"/>
      <c r="M309" s="2" t="s">
        <v>1834</v>
      </c>
      <c r="N309" s="2" t="s">
        <v>35</v>
      </c>
      <c r="O309" s="2" t="s">
        <v>1835</v>
      </c>
      <c r="P309" s="2" t="s">
        <v>1789</v>
      </c>
    </row>
    <row r="310">
      <c r="A310" s="4" t="s">
        <v>32</v>
      </c>
      <c r="B310" s="5">
        <v>5257.0</v>
      </c>
      <c r="C310" s="5">
        <v>2171100.0</v>
      </c>
      <c r="D310" s="5">
        <v>2291100.0</v>
      </c>
      <c r="E310" s="2" t="s">
        <v>284</v>
      </c>
      <c r="F310" s="2"/>
      <c r="G310" s="2"/>
      <c r="H310" s="2"/>
      <c r="I310" s="2"/>
      <c r="J310" s="2"/>
      <c r="K310" s="2"/>
      <c r="L310" s="2"/>
      <c r="M310" s="2" t="s">
        <v>1836</v>
      </c>
      <c r="N310" s="2" t="s">
        <v>35</v>
      </c>
      <c r="O310" s="16" t="str">
        <f>, лучше садись на пол, иначе будешь лежать. Вот так и полгода так мучалась, потом отошло. М = мне, такая сказала я, мне никакие уколы теперь не делают, вот. Что, дождь пошёл? Ну вот, вот такие дела в нашем районе.</f>
        <v>#ERROR!</v>
      </c>
      <c r="P310" s="2" t="s">
        <v>1300</v>
      </c>
    </row>
    <row r="311">
      <c r="A311" s="4" t="s">
        <v>32</v>
      </c>
      <c r="B311" s="5">
        <v>5258.0</v>
      </c>
      <c r="C311" s="5">
        <v>2293500.0</v>
      </c>
      <c r="D311" s="5">
        <v>2390622.0</v>
      </c>
      <c r="E311" s="2" t="s">
        <v>284</v>
      </c>
      <c r="F311" s="2"/>
      <c r="G311" s="2"/>
      <c r="H311" s="2"/>
      <c r="I311" s="2"/>
      <c r="J311" s="2"/>
      <c r="K311" s="2"/>
      <c r="L311" s="2"/>
      <c r="M311" s="2" t="s">
        <v>1837</v>
      </c>
      <c r="N311" s="2" t="s">
        <v>35</v>
      </c>
      <c r="O311" s="2" t="s">
        <v>1838</v>
      </c>
      <c r="P311" s="2" t="s">
        <v>1296</v>
      </c>
    </row>
    <row r="312">
      <c r="A312" s="4" t="s">
        <v>32</v>
      </c>
      <c r="B312" s="5">
        <v>5259.0</v>
      </c>
      <c r="C312" s="5">
        <v>2394800.0</v>
      </c>
      <c r="D312" s="5">
        <v>2494639.0</v>
      </c>
      <c r="E312" s="2" t="s">
        <v>284</v>
      </c>
      <c r="F312" s="2"/>
      <c r="G312" s="2"/>
      <c r="H312" s="2"/>
      <c r="I312" s="2"/>
      <c r="J312" s="2"/>
      <c r="K312" s="2"/>
      <c r="L312" s="2"/>
      <c r="M312" s="2" t="s">
        <v>1839</v>
      </c>
      <c r="N312" s="2" t="s">
        <v>35</v>
      </c>
      <c r="O312" s="2" t="s">
        <v>1840</v>
      </c>
      <c r="P312" s="2" t="s">
        <v>1316</v>
      </c>
    </row>
    <row r="313">
      <c r="A313" s="4" t="s">
        <v>32</v>
      </c>
      <c r="B313" s="5">
        <v>5261.0</v>
      </c>
      <c r="C313" s="5">
        <v>2614400.0</v>
      </c>
      <c r="D313" s="5">
        <v>2672000.0</v>
      </c>
      <c r="E313" s="2" t="s">
        <v>284</v>
      </c>
      <c r="F313" s="2"/>
      <c r="G313" s="2"/>
      <c r="H313" s="2"/>
      <c r="I313" s="2"/>
      <c r="J313" s="2"/>
      <c r="K313" s="2"/>
      <c r="L313" s="2"/>
      <c r="M313" s="2" t="s">
        <v>1841</v>
      </c>
      <c r="N313" s="2" t="s">
        <v>35</v>
      </c>
      <c r="O313" s="2" t="s">
        <v>1842</v>
      </c>
      <c r="P313" s="2" t="s">
        <v>1316</v>
      </c>
    </row>
    <row r="314">
      <c r="A314" s="4" t="s">
        <v>32</v>
      </c>
      <c r="B314" s="5">
        <v>5261.0</v>
      </c>
      <c r="C314" s="5">
        <v>2614400.0</v>
      </c>
      <c r="D314" s="5">
        <v>2672000.0</v>
      </c>
      <c r="E314" s="2" t="s">
        <v>284</v>
      </c>
      <c r="F314" s="2"/>
      <c r="G314" s="2"/>
      <c r="H314" s="2"/>
      <c r="I314" s="2"/>
      <c r="J314" s="2"/>
      <c r="K314" s="2"/>
      <c r="L314" s="2"/>
      <c r="M314" s="2" t="s">
        <v>1843</v>
      </c>
      <c r="N314" s="2" t="s">
        <v>35</v>
      </c>
      <c r="O314" s="2" t="s">
        <v>1844</v>
      </c>
      <c r="P314" s="2" t="s">
        <v>1296</v>
      </c>
    </row>
    <row r="315">
      <c r="A315" s="4" t="s">
        <v>32</v>
      </c>
      <c r="B315" s="5">
        <v>5261.0</v>
      </c>
      <c r="C315" s="5">
        <v>2614400.0</v>
      </c>
      <c r="D315" s="5">
        <v>2672000.0</v>
      </c>
      <c r="E315" s="2" t="s">
        <v>284</v>
      </c>
      <c r="F315" s="2"/>
      <c r="G315" s="2"/>
      <c r="H315" s="2"/>
      <c r="I315" s="2"/>
      <c r="J315" s="2"/>
      <c r="K315" s="2"/>
      <c r="L315" s="2"/>
      <c r="M315" s="2" t="s">
        <v>1845</v>
      </c>
      <c r="N315" s="2" t="s">
        <v>35</v>
      </c>
      <c r="O315" s="2" t="s">
        <v>1846</v>
      </c>
      <c r="P315" s="2" t="s">
        <v>1296</v>
      </c>
    </row>
    <row r="316">
      <c r="A316" s="4" t="s">
        <v>32</v>
      </c>
      <c r="B316" s="5">
        <v>5264.0</v>
      </c>
      <c r="C316" s="5">
        <v>2709040.0</v>
      </c>
      <c r="D316" s="5">
        <v>2733160.0</v>
      </c>
      <c r="E316" s="2" t="s">
        <v>284</v>
      </c>
      <c r="F316" s="2"/>
      <c r="G316" s="2"/>
      <c r="H316" s="2"/>
      <c r="I316" s="2"/>
      <c r="J316" s="2"/>
      <c r="K316" s="2"/>
      <c r="L316" s="2"/>
      <c r="M316" s="2" t="s">
        <v>1847</v>
      </c>
      <c r="N316" s="2" t="s">
        <v>35</v>
      </c>
      <c r="O316" s="2" t="s">
        <v>1848</v>
      </c>
      <c r="P316" s="2" t="s">
        <v>1296</v>
      </c>
    </row>
    <row r="317">
      <c r="A317" s="4" t="s">
        <v>32</v>
      </c>
      <c r="B317" s="5">
        <v>5264.0</v>
      </c>
      <c r="C317" s="5">
        <v>2709040.0</v>
      </c>
      <c r="D317" s="5">
        <v>2733160.0</v>
      </c>
      <c r="E317" s="2" t="s">
        <v>284</v>
      </c>
      <c r="F317" s="2"/>
      <c r="G317" s="2"/>
      <c r="H317" s="2"/>
      <c r="I317" s="2"/>
      <c r="J317" s="2"/>
      <c r="K317" s="2"/>
      <c r="L317" s="2"/>
      <c r="M317" s="2" t="s">
        <v>1849</v>
      </c>
      <c r="N317" s="2" t="s">
        <v>35</v>
      </c>
      <c r="O317" s="2" t="s">
        <v>1850</v>
      </c>
      <c r="P317" s="2" t="s">
        <v>1296</v>
      </c>
    </row>
    <row r="318">
      <c r="A318" s="4" t="s">
        <v>32</v>
      </c>
      <c r="B318" s="5">
        <v>5264.0</v>
      </c>
      <c r="C318" s="5">
        <v>2709040.0</v>
      </c>
      <c r="D318" s="5">
        <v>2733160.0</v>
      </c>
      <c r="E318" s="2" t="s">
        <v>284</v>
      </c>
      <c r="F318" s="2"/>
      <c r="G318" s="2"/>
      <c r="H318" s="2"/>
      <c r="I318" s="2"/>
      <c r="J318" s="2"/>
      <c r="K318" s="2"/>
      <c r="L318" s="2"/>
      <c r="M318" s="2" t="s">
        <v>1851</v>
      </c>
      <c r="N318" s="2" t="s">
        <v>35</v>
      </c>
      <c r="O318" s="2" t="s">
        <v>1852</v>
      </c>
      <c r="P318" s="2" t="s">
        <v>1296</v>
      </c>
    </row>
    <row r="319">
      <c r="A319" s="4" t="s">
        <v>32</v>
      </c>
      <c r="B319" s="5">
        <v>5264.0</v>
      </c>
      <c r="C319" s="5">
        <v>2709040.0</v>
      </c>
      <c r="D319" s="5">
        <v>2733160.0</v>
      </c>
      <c r="E319" s="2" t="s">
        <v>284</v>
      </c>
      <c r="F319" s="2"/>
      <c r="G319" s="2"/>
      <c r="H319" s="2"/>
      <c r="I319" s="2"/>
      <c r="J319" s="2"/>
      <c r="K319" s="2"/>
      <c r="L319" s="2"/>
      <c r="M319" s="2" t="s">
        <v>1853</v>
      </c>
      <c r="N319" s="2" t="s">
        <v>35</v>
      </c>
      <c r="O319" s="2" t="s">
        <v>1854</v>
      </c>
      <c r="P319" s="2" t="s">
        <v>1296</v>
      </c>
    </row>
    <row r="320">
      <c r="A320" s="4" t="s">
        <v>32</v>
      </c>
      <c r="B320" s="5">
        <v>5265.0</v>
      </c>
      <c r="C320" s="5">
        <v>2736600.0</v>
      </c>
      <c r="D320" s="5">
        <v>2769600.0</v>
      </c>
      <c r="E320" s="2" t="s">
        <v>284</v>
      </c>
      <c r="F320" s="2"/>
      <c r="G320" s="2"/>
      <c r="H320" s="2"/>
      <c r="I320" s="2"/>
      <c r="J320" s="2"/>
      <c r="K320" s="2"/>
      <c r="L320" s="2"/>
      <c r="M320" s="2" t="s">
        <v>1855</v>
      </c>
      <c r="N320" s="2" t="s">
        <v>35</v>
      </c>
      <c r="O320" s="2" t="s">
        <v>1856</v>
      </c>
      <c r="P320" s="2" t="s">
        <v>1296</v>
      </c>
    </row>
    <row r="321">
      <c r="A321" s="4" t="s">
        <v>32</v>
      </c>
      <c r="B321" s="5">
        <v>5266.0</v>
      </c>
      <c r="C321" s="5">
        <v>2782900.0</v>
      </c>
      <c r="D321" s="5">
        <v>2854700.0</v>
      </c>
      <c r="E321" s="2" t="s">
        <v>284</v>
      </c>
      <c r="F321" s="2"/>
      <c r="G321" s="2"/>
      <c r="H321" s="2"/>
      <c r="I321" s="2"/>
      <c r="J321" s="2"/>
      <c r="K321" s="2"/>
      <c r="L321" s="2"/>
      <c r="M321" s="2" t="s">
        <v>1857</v>
      </c>
      <c r="N321" s="2" t="s">
        <v>35</v>
      </c>
      <c r="O321" s="2" t="s">
        <v>1858</v>
      </c>
      <c r="P321" s="2" t="s">
        <v>1296</v>
      </c>
    </row>
    <row r="322">
      <c r="A322" s="4" t="s">
        <v>32</v>
      </c>
      <c r="B322" s="5">
        <v>5269.0</v>
      </c>
      <c r="C322" s="5">
        <v>2989600.0</v>
      </c>
      <c r="D322" s="5">
        <v>3072300.0</v>
      </c>
      <c r="E322" s="2" t="s">
        <v>284</v>
      </c>
      <c r="F322" s="2"/>
      <c r="G322" s="2"/>
      <c r="H322" s="2"/>
      <c r="I322" s="2"/>
      <c r="J322" s="2"/>
      <c r="K322" s="2"/>
      <c r="L322" s="2"/>
      <c r="M322" s="2" t="s">
        <v>1859</v>
      </c>
      <c r="N322" s="2" t="s">
        <v>35</v>
      </c>
      <c r="O322" s="2" t="s">
        <v>1860</v>
      </c>
      <c r="P322" s="2" t="s">
        <v>1296</v>
      </c>
    </row>
    <row r="323">
      <c r="A323" s="4" t="s">
        <v>32</v>
      </c>
      <c r="B323" s="5">
        <v>5271.0</v>
      </c>
      <c r="C323" s="5">
        <v>3091200.0</v>
      </c>
      <c r="D323" s="5">
        <v>3164300.0</v>
      </c>
      <c r="E323" s="2" t="s">
        <v>284</v>
      </c>
      <c r="F323" s="2"/>
      <c r="G323" s="2"/>
      <c r="H323" s="2"/>
      <c r="I323" s="2"/>
      <c r="J323" s="2"/>
      <c r="K323" s="2"/>
      <c r="L323" s="2"/>
      <c r="M323" s="2" t="s">
        <v>1861</v>
      </c>
      <c r="N323" s="2" t="s">
        <v>35</v>
      </c>
      <c r="O323" s="2" t="s">
        <v>1862</v>
      </c>
      <c r="P323" s="2" t="s">
        <v>1316</v>
      </c>
    </row>
    <row r="324">
      <c r="A324" s="4" t="s">
        <v>32</v>
      </c>
      <c r="B324" s="5">
        <v>5271.0</v>
      </c>
      <c r="C324" s="5">
        <v>3091200.0</v>
      </c>
      <c r="D324" s="5">
        <v>3164300.0</v>
      </c>
      <c r="E324" s="2" t="s">
        <v>284</v>
      </c>
      <c r="F324" s="2"/>
      <c r="G324" s="2"/>
      <c r="H324" s="2"/>
      <c r="I324" s="2"/>
      <c r="J324" s="2"/>
      <c r="K324" s="2"/>
      <c r="L324" s="2"/>
      <c r="M324" s="2" t="s">
        <v>1863</v>
      </c>
      <c r="N324" s="2" t="s">
        <v>35</v>
      </c>
      <c r="O324" s="2" t="s">
        <v>1864</v>
      </c>
      <c r="P324" s="2" t="s">
        <v>1316</v>
      </c>
    </row>
    <row r="325">
      <c r="A325" s="4" t="s">
        <v>32</v>
      </c>
      <c r="B325" s="5">
        <v>5271.0</v>
      </c>
      <c r="C325" s="5">
        <v>3091200.0</v>
      </c>
      <c r="D325" s="5">
        <v>3164300.0</v>
      </c>
      <c r="E325" s="2" t="s">
        <v>284</v>
      </c>
      <c r="F325" s="2"/>
      <c r="G325" s="2"/>
      <c r="H325" s="2"/>
      <c r="I325" s="2"/>
      <c r="J325" s="2"/>
      <c r="K325" s="2"/>
      <c r="L325" s="2"/>
      <c r="M325" s="2" t="s">
        <v>1865</v>
      </c>
      <c r="N325" s="2" t="s">
        <v>35</v>
      </c>
      <c r="O325" s="2" t="s">
        <v>1866</v>
      </c>
      <c r="P325" s="2" t="s">
        <v>1316</v>
      </c>
    </row>
    <row r="326">
      <c r="A326" s="4" t="s">
        <v>32</v>
      </c>
      <c r="B326" s="5">
        <v>5283.0</v>
      </c>
      <c r="C326" s="5">
        <v>3389940.0</v>
      </c>
      <c r="D326" s="5">
        <v>3405940.0</v>
      </c>
      <c r="E326" s="2" t="s">
        <v>284</v>
      </c>
      <c r="F326" s="2"/>
      <c r="G326" s="2"/>
      <c r="H326" s="2"/>
      <c r="I326" s="2"/>
      <c r="J326" s="2"/>
      <c r="K326" s="2"/>
      <c r="L326" s="2"/>
      <c r="M326" s="2" t="s">
        <v>1867</v>
      </c>
      <c r="N326" s="2" t="s">
        <v>35</v>
      </c>
      <c r="O326" s="16" t="str">
        <f> скота для совхозного, а для личного, а для личного у них сараи есть во многих &lt; нрзб &gt; сделано из досок, а может(може) сарай пустой сарай сыплют картошку.</f>
        <v>#ERROR!</v>
      </c>
      <c r="P326" s="2" t="s">
        <v>1300</v>
      </c>
    </row>
    <row r="327">
      <c r="A327" s="4" t="s">
        <v>32</v>
      </c>
      <c r="B327" s="5">
        <v>5288.0</v>
      </c>
      <c r="C327" s="5">
        <v>3500080.0</v>
      </c>
      <c r="D327" s="5">
        <v>3571400.0</v>
      </c>
      <c r="E327" s="2" t="s">
        <v>284</v>
      </c>
      <c r="F327" s="2"/>
      <c r="G327" s="2"/>
      <c r="H327" s="2"/>
      <c r="I327" s="2"/>
      <c r="J327" s="2"/>
      <c r="K327" s="2"/>
      <c r="L327" s="2"/>
      <c r="M327" s="2" t="s">
        <v>1868</v>
      </c>
      <c r="N327" s="2" t="s">
        <v>35</v>
      </c>
      <c r="O327" s="2" t="s">
        <v>1869</v>
      </c>
      <c r="P327" s="2" t="s">
        <v>1296</v>
      </c>
    </row>
    <row r="328">
      <c r="A328" s="4" t="s">
        <v>32</v>
      </c>
      <c r="B328" s="5">
        <v>5288.0</v>
      </c>
      <c r="C328" s="5">
        <v>3500080.0</v>
      </c>
      <c r="D328" s="5">
        <v>3571400.0</v>
      </c>
      <c r="E328" s="2" t="s">
        <v>284</v>
      </c>
      <c r="F328" s="2"/>
      <c r="G328" s="2"/>
      <c r="H328" s="2"/>
      <c r="I328" s="2"/>
      <c r="J328" s="2"/>
      <c r="K328" s="2"/>
      <c r="L328" s="2"/>
      <c r="M328" s="2" t="s">
        <v>1870</v>
      </c>
      <c r="N328" s="2" t="s">
        <v>35</v>
      </c>
      <c r="O328" s="2" t="s">
        <v>1871</v>
      </c>
      <c r="P328" s="2" t="s">
        <v>1296</v>
      </c>
    </row>
    <row r="329">
      <c r="A329" s="4" t="s">
        <v>32</v>
      </c>
      <c r="B329" s="5">
        <v>5288.0</v>
      </c>
      <c r="C329" s="5">
        <v>3500080.0</v>
      </c>
      <c r="D329" s="5">
        <v>3571400.0</v>
      </c>
      <c r="E329" s="2" t="s">
        <v>284</v>
      </c>
      <c r="F329" s="2"/>
      <c r="G329" s="2"/>
      <c r="H329" s="2"/>
      <c r="I329" s="2"/>
      <c r="J329" s="2"/>
      <c r="K329" s="2"/>
      <c r="L329" s="2"/>
      <c r="M329" s="2" t="s">
        <v>1872</v>
      </c>
      <c r="N329" s="2" t="s">
        <v>35</v>
      </c>
      <c r="O329" s="2" t="s">
        <v>1873</v>
      </c>
      <c r="P329" s="2" t="s">
        <v>1296</v>
      </c>
    </row>
    <row r="330">
      <c r="A330" s="4" t="s">
        <v>32</v>
      </c>
      <c r="B330" s="5">
        <v>5288.0</v>
      </c>
      <c r="C330" s="5">
        <v>3500080.0</v>
      </c>
      <c r="D330" s="5">
        <v>3571400.0</v>
      </c>
      <c r="E330" s="2" t="s">
        <v>284</v>
      </c>
      <c r="F330" s="2"/>
      <c r="G330" s="2"/>
      <c r="H330" s="2"/>
      <c r="I330" s="2"/>
      <c r="J330" s="2"/>
      <c r="K330" s="2"/>
      <c r="L330" s="2"/>
      <c r="M330" s="2" t="s">
        <v>1874</v>
      </c>
      <c r="N330" s="2" t="s">
        <v>35</v>
      </c>
      <c r="O330" s="2" t="s">
        <v>1875</v>
      </c>
      <c r="P330" s="2" t="s">
        <v>1296</v>
      </c>
    </row>
    <row r="331">
      <c r="A331" s="4" t="s">
        <v>32</v>
      </c>
      <c r="B331" s="5">
        <v>5288.0</v>
      </c>
      <c r="C331" s="5">
        <v>3500080.0</v>
      </c>
      <c r="D331" s="5">
        <v>3571400.0</v>
      </c>
      <c r="E331" s="2" t="s">
        <v>284</v>
      </c>
      <c r="F331" s="2"/>
      <c r="G331" s="2"/>
      <c r="H331" s="2"/>
      <c r="I331" s="2"/>
      <c r="J331" s="2"/>
      <c r="K331" s="2"/>
      <c r="L331" s="2"/>
      <c r="M331" s="2" t="s">
        <v>1876</v>
      </c>
      <c r="N331" s="2" t="s">
        <v>35</v>
      </c>
      <c r="O331" s="2" t="s">
        <v>1877</v>
      </c>
      <c r="P331" s="2" t="s">
        <v>1296</v>
      </c>
    </row>
    <row r="332">
      <c r="A332" s="4" t="s">
        <v>32</v>
      </c>
      <c r="B332" s="5">
        <v>5288.0</v>
      </c>
      <c r="C332" s="5">
        <v>3500080.0</v>
      </c>
      <c r="D332" s="5">
        <v>3571400.0</v>
      </c>
      <c r="E332" s="2" t="s">
        <v>284</v>
      </c>
      <c r="F332" s="2"/>
      <c r="G332" s="2"/>
      <c r="H332" s="2"/>
      <c r="I332" s="2"/>
      <c r="J332" s="2"/>
      <c r="K332" s="2"/>
      <c r="L332" s="2"/>
      <c r="M332" s="2" t="s">
        <v>1878</v>
      </c>
      <c r="N332" s="2" t="s">
        <v>35</v>
      </c>
      <c r="O332" s="2" t="s">
        <v>1879</v>
      </c>
      <c r="P332" s="2" t="s">
        <v>1296</v>
      </c>
    </row>
    <row r="333">
      <c r="A333" s="4" t="s">
        <v>32</v>
      </c>
      <c r="B333" s="5">
        <v>5289.0</v>
      </c>
      <c r="C333" s="5">
        <v>3572400.0</v>
      </c>
      <c r="D333" s="5">
        <v>3598120.0</v>
      </c>
      <c r="E333" s="2" t="s">
        <v>284</v>
      </c>
      <c r="F333" s="2"/>
      <c r="G333" s="2"/>
      <c r="H333" s="2"/>
      <c r="I333" s="2"/>
      <c r="J333" s="2"/>
      <c r="K333" s="2"/>
      <c r="L333" s="2"/>
      <c r="M333" s="2" t="s">
        <v>1880</v>
      </c>
      <c r="N333" s="2" t="s">
        <v>35</v>
      </c>
      <c r="O333" s="2" t="s">
        <v>1881</v>
      </c>
      <c r="P333" s="2" t="s">
        <v>1296</v>
      </c>
    </row>
    <row r="334">
      <c r="A334" s="4" t="s">
        <v>32</v>
      </c>
      <c r="B334" s="5">
        <v>5289.0</v>
      </c>
      <c r="C334" s="5">
        <v>3572400.0</v>
      </c>
      <c r="D334" s="5">
        <v>3598120.0</v>
      </c>
      <c r="E334" s="2" t="s">
        <v>284</v>
      </c>
      <c r="F334" s="2"/>
      <c r="G334" s="2"/>
      <c r="H334" s="2"/>
      <c r="I334" s="2"/>
      <c r="J334" s="2"/>
      <c r="K334" s="2"/>
      <c r="L334" s="2"/>
      <c r="M334" s="2" t="s">
        <v>1882</v>
      </c>
      <c r="N334" s="2" t="s">
        <v>35</v>
      </c>
      <c r="O334" s="2" t="s">
        <v>1883</v>
      </c>
      <c r="P334" s="2" t="s">
        <v>1296</v>
      </c>
    </row>
    <row r="335">
      <c r="A335" s="4" t="s">
        <v>32</v>
      </c>
      <c r="B335" s="5">
        <v>5293.0</v>
      </c>
      <c r="C335" s="5">
        <v>3716600.0</v>
      </c>
      <c r="D335" s="5">
        <v>3756520.0</v>
      </c>
      <c r="E335" s="2" t="s">
        <v>284</v>
      </c>
      <c r="F335" s="2"/>
      <c r="G335" s="2"/>
      <c r="H335" s="2"/>
      <c r="I335" s="2"/>
      <c r="J335" s="2"/>
      <c r="K335" s="2"/>
      <c r="L335" s="2"/>
      <c r="M335" s="2" t="s">
        <v>1884</v>
      </c>
      <c r="N335" s="2" t="s">
        <v>35</v>
      </c>
      <c r="O335" s="2" t="s">
        <v>1885</v>
      </c>
      <c r="P335" s="2" t="s">
        <v>1296</v>
      </c>
    </row>
    <row r="336">
      <c r="A336" s="4" t="s">
        <v>32</v>
      </c>
      <c r="B336" s="5">
        <v>5299.0</v>
      </c>
      <c r="C336" s="5">
        <v>3882880.0</v>
      </c>
      <c r="D336" s="5">
        <v>3906000.0</v>
      </c>
      <c r="E336" s="2" t="s">
        <v>284</v>
      </c>
      <c r="F336" s="2"/>
      <c r="G336" s="2"/>
      <c r="H336" s="2"/>
      <c r="I336" s="2"/>
      <c r="J336" s="2"/>
      <c r="K336" s="2"/>
      <c r="L336" s="2"/>
      <c r="M336" s="2" t="s">
        <v>1886</v>
      </c>
      <c r="N336" s="2" t="s">
        <v>35</v>
      </c>
      <c r="O336" s="2" t="s">
        <v>1887</v>
      </c>
      <c r="P336" s="2" t="s">
        <v>1296</v>
      </c>
    </row>
    <row r="337">
      <c r="A337" s="4" t="s">
        <v>32</v>
      </c>
      <c r="B337" s="5">
        <v>5301.0</v>
      </c>
      <c r="C337" s="5">
        <v>3962000.0</v>
      </c>
      <c r="D337" s="5">
        <v>4016218.0</v>
      </c>
      <c r="E337" s="2" t="s">
        <v>284</v>
      </c>
      <c r="F337" s="2"/>
      <c r="G337" s="2"/>
      <c r="H337" s="2"/>
      <c r="I337" s="2"/>
      <c r="J337" s="2"/>
      <c r="K337" s="2"/>
      <c r="L337" s="2"/>
      <c r="M337" s="2" t="s">
        <v>1888</v>
      </c>
      <c r="N337" s="2" t="s">
        <v>35</v>
      </c>
      <c r="O337" s="2" t="s">
        <v>1889</v>
      </c>
      <c r="P337" s="2" t="s">
        <v>1296</v>
      </c>
    </row>
    <row r="338">
      <c r="A338" s="4" t="s">
        <v>32</v>
      </c>
      <c r="B338" s="5">
        <v>5302.0</v>
      </c>
      <c r="C338" s="5">
        <v>4018120.0</v>
      </c>
      <c r="D338" s="5">
        <v>4072160.0</v>
      </c>
      <c r="E338" s="2" t="s">
        <v>284</v>
      </c>
      <c r="F338" s="2"/>
      <c r="G338" s="2"/>
      <c r="H338" s="2"/>
      <c r="I338" s="2"/>
      <c r="J338" s="2"/>
      <c r="K338" s="2"/>
      <c r="L338" s="2"/>
      <c r="M338" s="2" t="s">
        <v>1890</v>
      </c>
      <c r="N338" s="2" t="s">
        <v>35</v>
      </c>
      <c r="O338" s="2" t="s">
        <v>1891</v>
      </c>
      <c r="P338" s="2" t="s">
        <v>1296</v>
      </c>
    </row>
    <row r="339">
      <c r="A339" s="4" t="s">
        <v>32</v>
      </c>
      <c r="B339" s="5">
        <v>5307.0</v>
      </c>
      <c r="C339" s="5">
        <v>4186800.0</v>
      </c>
      <c r="D339" s="5">
        <v>4277560.0</v>
      </c>
      <c r="E339" s="2" t="s">
        <v>284</v>
      </c>
      <c r="F339" s="2"/>
      <c r="G339" s="2"/>
      <c r="H339" s="2"/>
      <c r="I339" s="2"/>
      <c r="J339" s="2"/>
      <c r="K339" s="2"/>
      <c r="L339" s="2"/>
      <c r="M339" s="2" t="s">
        <v>1892</v>
      </c>
      <c r="N339" s="2" t="s">
        <v>35</v>
      </c>
      <c r="O339" s="2" t="s">
        <v>1893</v>
      </c>
      <c r="P339" s="2" t="s">
        <v>1296</v>
      </c>
    </row>
    <row r="340">
      <c r="A340" s="4" t="s">
        <v>32</v>
      </c>
      <c r="B340" s="5">
        <v>5307.0</v>
      </c>
      <c r="C340" s="5">
        <v>4186800.0</v>
      </c>
      <c r="D340" s="5">
        <v>4277560.0</v>
      </c>
      <c r="E340" s="2" t="s">
        <v>284</v>
      </c>
      <c r="F340" s="2"/>
      <c r="G340" s="2"/>
      <c r="H340" s="2"/>
      <c r="I340" s="2"/>
      <c r="J340" s="2"/>
      <c r="K340" s="2"/>
      <c r="L340" s="2"/>
      <c r="M340" s="2" t="s">
        <v>1894</v>
      </c>
      <c r="N340" s="2" t="s">
        <v>35</v>
      </c>
      <c r="O340" s="2" t="s">
        <v>1895</v>
      </c>
      <c r="P340" s="2" t="s">
        <v>1300</v>
      </c>
    </row>
    <row r="341">
      <c r="A341" s="4" t="s">
        <v>32</v>
      </c>
      <c r="B341" s="5">
        <v>5314.0</v>
      </c>
      <c r="C341" s="5">
        <v>4414000.0</v>
      </c>
      <c r="D341" s="5">
        <v>4586120.0</v>
      </c>
      <c r="E341" s="2" t="s">
        <v>284</v>
      </c>
      <c r="F341" s="2"/>
      <c r="G341" s="2"/>
      <c r="H341" s="2"/>
      <c r="I341" s="2"/>
      <c r="J341" s="2"/>
      <c r="K341" s="2"/>
      <c r="L341" s="2"/>
      <c r="M341" s="2" t="s">
        <v>1896</v>
      </c>
      <c r="N341" s="2" t="s">
        <v>35</v>
      </c>
      <c r="O341" s="2" t="s">
        <v>1897</v>
      </c>
      <c r="P341" s="2" t="s">
        <v>1296</v>
      </c>
    </row>
    <row r="342">
      <c r="A342" s="4" t="s">
        <v>32</v>
      </c>
      <c r="B342" s="5">
        <v>5314.0</v>
      </c>
      <c r="C342" s="5">
        <v>4414000.0</v>
      </c>
      <c r="D342" s="5">
        <v>4586120.0</v>
      </c>
      <c r="E342" s="2" t="s">
        <v>284</v>
      </c>
      <c r="F342" s="2"/>
      <c r="G342" s="2"/>
      <c r="H342" s="2"/>
      <c r="I342" s="2"/>
      <c r="J342" s="2"/>
      <c r="K342" s="2"/>
      <c r="L342" s="2"/>
      <c r="M342" s="2" t="s">
        <v>1898</v>
      </c>
      <c r="N342" s="2" t="s">
        <v>35</v>
      </c>
      <c r="O342" s="2" t="s">
        <v>1899</v>
      </c>
      <c r="P342" s="2" t="s">
        <v>1296</v>
      </c>
    </row>
    <row r="343">
      <c r="A343" s="4" t="s">
        <v>32</v>
      </c>
      <c r="B343" s="5">
        <v>5314.0</v>
      </c>
      <c r="C343" s="5">
        <v>4414000.0</v>
      </c>
      <c r="D343" s="5">
        <v>4586120.0</v>
      </c>
      <c r="E343" s="2" t="s">
        <v>284</v>
      </c>
      <c r="F343" s="2"/>
      <c r="G343" s="2"/>
      <c r="H343" s="2"/>
      <c r="I343" s="2"/>
      <c r="J343" s="2"/>
      <c r="K343" s="2"/>
      <c r="L343" s="2"/>
      <c r="M343" s="2" t="s">
        <v>1900</v>
      </c>
      <c r="N343" s="2" t="s">
        <v>35</v>
      </c>
      <c r="O343" s="2" t="s">
        <v>1901</v>
      </c>
      <c r="P343" s="2" t="s">
        <v>1296</v>
      </c>
    </row>
    <row r="344">
      <c r="A344" s="4" t="s">
        <v>32</v>
      </c>
      <c r="B344" s="5">
        <v>5315.0</v>
      </c>
      <c r="C344" s="5">
        <v>4592360.0</v>
      </c>
      <c r="D344" s="5">
        <v>4653480.0</v>
      </c>
      <c r="E344" s="2" t="s">
        <v>284</v>
      </c>
      <c r="F344" s="2"/>
      <c r="G344" s="2"/>
      <c r="H344" s="2"/>
      <c r="I344" s="2"/>
      <c r="J344" s="2"/>
      <c r="K344" s="2"/>
      <c r="L344" s="2"/>
      <c r="M344" s="2" t="s">
        <v>1902</v>
      </c>
      <c r="N344" s="2" t="s">
        <v>35</v>
      </c>
      <c r="O344" s="16" t="str">
        <f> у нас в деревне капуста была, свёкла, картошка, огурцы, ещё что, морковка, ну такое, помидоры не сажали, так что вот. Помидора, когда вот дачники приехали в девяностом году, они сажали, во они делали, тогда не было парников, они делали сами(самы) у меня сосед там жил дачник, тоже напротив, и потом Валентинов жил такой там, они все делали в = их сами делали, во самоде = самодельные парники делали, мы не сажали.</f>
        <v>#ERROR!</v>
      </c>
      <c r="P344" s="2" t="s">
        <v>1300</v>
      </c>
    </row>
    <row r="345">
      <c r="A345" s="4" t="s">
        <v>32</v>
      </c>
      <c r="B345" s="5">
        <v>5316.0</v>
      </c>
      <c r="C345" s="5">
        <v>4658960.0</v>
      </c>
      <c r="D345" s="5">
        <v>4724960.0</v>
      </c>
      <c r="E345" s="2" t="s">
        <v>284</v>
      </c>
      <c r="F345" s="2"/>
      <c r="G345" s="2"/>
      <c r="H345" s="2"/>
      <c r="I345" s="2"/>
      <c r="J345" s="2"/>
      <c r="K345" s="2"/>
      <c r="L345" s="2"/>
      <c r="M345" s="2" t="s">
        <v>1903</v>
      </c>
      <c r="N345" s="2" t="s">
        <v>35</v>
      </c>
      <c r="O345" s="2" t="s">
        <v>1904</v>
      </c>
      <c r="P345" s="2" t="s">
        <v>1296</v>
      </c>
    </row>
    <row r="346">
      <c r="A346" s="4" t="s">
        <v>32</v>
      </c>
      <c r="B346" s="5">
        <v>5319.0</v>
      </c>
      <c r="C346" s="5">
        <v>4730800.0</v>
      </c>
      <c r="D346" s="5">
        <v>4767260.0</v>
      </c>
      <c r="E346" s="2" t="s">
        <v>284</v>
      </c>
      <c r="F346" s="2"/>
      <c r="G346" s="2"/>
      <c r="H346" s="2"/>
      <c r="I346" s="2"/>
      <c r="J346" s="2"/>
      <c r="K346" s="2"/>
      <c r="L346" s="2"/>
      <c r="M346" s="2" t="s">
        <v>1905</v>
      </c>
      <c r="N346" s="2" t="s">
        <v>35</v>
      </c>
      <c r="O346" s="2" t="s">
        <v>1906</v>
      </c>
      <c r="P346" s="2" t="s">
        <v>1296</v>
      </c>
    </row>
    <row r="347">
      <c r="A347" s="4" t="s">
        <v>32</v>
      </c>
      <c r="B347" s="5">
        <v>5322.0</v>
      </c>
      <c r="C347" s="5">
        <v>4853520.0</v>
      </c>
      <c r="D347" s="5">
        <v>4920590.0</v>
      </c>
      <c r="E347" s="2" t="s">
        <v>284</v>
      </c>
      <c r="F347" s="2"/>
      <c r="G347" s="2"/>
      <c r="H347" s="2"/>
      <c r="I347" s="2"/>
      <c r="J347" s="2"/>
      <c r="K347" s="2"/>
      <c r="L347" s="2"/>
      <c r="M347" s="2" t="s">
        <v>1907</v>
      </c>
      <c r="N347" s="2" t="s">
        <v>35</v>
      </c>
      <c r="O347" s="2" t="s">
        <v>1908</v>
      </c>
      <c r="P347" s="2" t="s">
        <v>1296</v>
      </c>
    </row>
    <row r="348">
      <c r="A348" s="4" t="s">
        <v>32</v>
      </c>
      <c r="B348" s="5">
        <v>5322.0</v>
      </c>
      <c r="C348" s="5">
        <v>4853520.0</v>
      </c>
      <c r="D348" s="5">
        <v>4920590.0</v>
      </c>
      <c r="E348" s="2" t="s">
        <v>284</v>
      </c>
      <c r="F348" s="2"/>
      <c r="G348" s="2"/>
      <c r="H348" s="2"/>
      <c r="I348" s="2"/>
      <c r="J348" s="2"/>
      <c r="K348" s="2"/>
      <c r="L348" s="2"/>
      <c r="M348" s="2" t="s">
        <v>1909</v>
      </c>
      <c r="N348" s="2" t="s">
        <v>35</v>
      </c>
      <c r="O348" s="16" t="str">
        <f> в каком городе живёте, я слушаю всё, скажите, в каком городе живёте, назовите улицу свою и назовите свою квартиру, номер квартиры, я всё слушаю, тогда я говорю, детка, я живу в деревне и крыша у меня(мне) завалилась(завалилши), крыша на боку, у меня(мне) нет ничего, год не звонили, ничего &lt; нрзб &gt;, наверное, побоялись, что я просить буду. Тогда тут недавно, не так давно, я этому говорила, мальцу вашему, звонит, вам причитается миллион, она там по - своему сказала, я слушаю, вам миллион надо получить денег, вы нажмите на номер один, ещё что - то, я говорю, большое вам спасибо и закрыла.</f>
        <v>#ERROR!</v>
      </c>
      <c r="P348" s="2" t="s">
        <v>1300</v>
      </c>
    </row>
    <row r="349">
      <c r="A349" s="4" t="s">
        <v>32</v>
      </c>
      <c r="B349" s="5">
        <v>5323.0</v>
      </c>
      <c r="C349" s="5">
        <v>4922780.0</v>
      </c>
      <c r="D349" s="5">
        <v>5017300.0</v>
      </c>
      <c r="E349" s="2" t="s">
        <v>284</v>
      </c>
      <c r="F349" s="2"/>
      <c r="G349" s="2"/>
      <c r="H349" s="2"/>
      <c r="I349" s="2"/>
      <c r="J349" s="2"/>
      <c r="K349" s="2"/>
      <c r="L349" s="2"/>
      <c r="M349" s="2" t="s">
        <v>1910</v>
      </c>
      <c r="N349" s="2" t="s">
        <v>35</v>
      </c>
      <c r="O349" s="2" t="s">
        <v>1911</v>
      </c>
      <c r="P349" s="2" t="s">
        <v>1296</v>
      </c>
    </row>
    <row r="350">
      <c r="A350" s="4" t="s">
        <v>32</v>
      </c>
      <c r="B350" s="5">
        <v>5323.0</v>
      </c>
      <c r="C350" s="5">
        <v>4922780.0</v>
      </c>
      <c r="D350" s="5">
        <v>5017300.0</v>
      </c>
      <c r="E350" s="2" t="s">
        <v>284</v>
      </c>
      <c r="F350" s="2"/>
      <c r="G350" s="2"/>
      <c r="H350" s="2"/>
      <c r="I350" s="2"/>
      <c r="J350" s="2"/>
      <c r="K350" s="2"/>
      <c r="L350" s="2"/>
      <c r="M350" s="2" t="s">
        <v>1912</v>
      </c>
      <c r="N350" s="2" t="s">
        <v>35</v>
      </c>
      <c r="O350" s="2" t="s">
        <v>1913</v>
      </c>
      <c r="P350" s="2" t="s">
        <v>1388</v>
      </c>
    </row>
    <row r="351">
      <c r="A351" s="4" t="s">
        <v>32</v>
      </c>
      <c r="B351" s="5">
        <v>5323.0</v>
      </c>
      <c r="C351" s="5">
        <v>4922780.0</v>
      </c>
      <c r="D351" s="5">
        <v>5017300.0</v>
      </c>
      <c r="E351" s="2" t="s">
        <v>284</v>
      </c>
      <c r="F351" s="2"/>
      <c r="G351" s="2"/>
      <c r="H351" s="2"/>
      <c r="I351" s="2"/>
      <c r="J351" s="2"/>
      <c r="K351" s="2"/>
      <c r="L351" s="2"/>
      <c r="M351" s="2" t="s">
        <v>1914</v>
      </c>
      <c r="N351" s="2" t="s">
        <v>35</v>
      </c>
      <c r="O351" s="2" t="s">
        <v>1915</v>
      </c>
      <c r="P351" s="2" t="s">
        <v>1388</v>
      </c>
    </row>
    <row r="352">
      <c r="A352" s="4" t="s">
        <v>32</v>
      </c>
      <c r="B352" s="5">
        <v>5323.0</v>
      </c>
      <c r="C352" s="5">
        <v>4922780.0</v>
      </c>
      <c r="D352" s="5">
        <v>5017300.0</v>
      </c>
      <c r="E352" s="2" t="s">
        <v>284</v>
      </c>
      <c r="F352" s="2"/>
      <c r="G352" s="2"/>
      <c r="H352" s="2"/>
      <c r="I352" s="2"/>
      <c r="J352" s="2"/>
      <c r="K352" s="2"/>
      <c r="L352" s="2"/>
      <c r="M352" s="2" t="s">
        <v>1916</v>
      </c>
      <c r="N352" s="2" t="s">
        <v>35</v>
      </c>
      <c r="O352" s="2" t="s">
        <v>1917</v>
      </c>
      <c r="P352" s="2" t="s">
        <v>1296</v>
      </c>
    </row>
    <row r="353">
      <c r="A353" s="4" t="s">
        <v>32</v>
      </c>
      <c r="B353" s="5">
        <v>5325.0</v>
      </c>
      <c r="C353" s="5">
        <v>5076880.0</v>
      </c>
      <c r="D353" s="5">
        <v>5105520.0</v>
      </c>
      <c r="E353" s="2" t="s">
        <v>284</v>
      </c>
      <c r="F353" s="2"/>
      <c r="G353" s="2"/>
      <c r="H353" s="2"/>
      <c r="I353" s="2"/>
      <c r="J353" s="2"/>
      <c r="K353" s="2"/>
      <c r="L353" s="2"/>
      <c r="M353" s="2" t="s">
        <v>1918</v>
      </c>
      <c r="N353" s="2" t="s">
        <v>35</v>
      </c>
      <c r="O353" s="2" t="s">
        <v>1919</v>
      </c>
      <c r="P353" s="2" t="s">
        <v>1296</v>
      </c>
    </row>
    <row r="354">
      <c r="A354" s="4" t="s">
        <v>32</v>
      </c>
      <c r="B354" s="5">
        <v>5325.0</v>
      </c>
      <c r="C354" s="5">
        <v>5076880.0</v>
      </c>
      <c r="D354" s="5">
        <v>5105520.0</v>
      </c>
      <c r="E354" s="2" t="s">
        <v>284</v>
      </c>
      <c r="F354" s="2"/>
      <c r="G354" s="2"/>
      <c r="H354" s="2"/>
      <c r="I354" s="2"/>
      <c r="J354" s="2"/>
      <c r="K354" s="2"/>
      <c r="L354" s="2"/>
      <c r="M354" s="2" t="s">
        <v>1920</v>
      </c>
      <c r="N354" s="2" t="s">
        <v>35</v>
      </c>
      <c r="O354" s="2" t="s">
        <v>1921</v>
      </c>
      <c r="P354" s="2" t="s">
        <v>1296</v>
      </c>
    </row>
    <row r="355">
      <c r="A355" s="4" t="s">
        <v>32</v>
      </c>
      <c r="B355" s="5">
        <v>5326.0</v>
      </c>
      <c r="C355" s="5">
        <v>5108680.0</v>
      </c>
      <c r="D355" s="5">
        <v>5217320.0</v>
      </c>
      <c r="E355" s="2" t="s">
        <v>284</v>
      </c>
      <c r="F355" s="2"/>
      <c r="G355" s="2"/>
      <c r="H355" s="2"/>
      <c r="I355" s="2"/>
      <c r="J355" s="2"/>
      <c r="K355" s="2"/>
      <c r="L355" s="2"/>
      <c r="M355" s="2" t="s">
        <v>1922</v>
      </c>
      <c r="N355" s="2" t="s">
        <v>35</v>
      </c>
      <c r="O355" s="2" t="s">
        <v>1923</v>
      </c>
      <c r="P355" s="2" t="s">
        <v>1296</v>
      </c>
    </row>
    <row r="356">
      <c r="A356" s="4" t="s">
        <v>32</v>
      </c>
      <c r="B356" s="5">
        <v>5326.0</v>
      </c>
      <c r="C356" s="5">
        <v>5108680.0</v>
      </c>
      <c r="D356" s="5">
        <v>5217320.0</v>
      </c>
      <c r="E356" s="2" t="s">
        <v>284</v>
      </c>
      <c r="F356" s="2"/>
      <c r="G356" s="2"/>
      <c r="H356" s="2"/>
      <c r="I356" s="2"/>
      <c r="J356" s="2"/>
      <c r="K356" s="2"/>
      <c r="L356" s="2"/>
      <c r="M356" s="2" t="s">
        <v>1924</v>
      </c>
      <c r="N356" s="2" t="s">
        <v>35</v>
      </c>
      <c r="O356" s="16" t="str">
        <f> скажет, дайте сала к чаю, а отец, бывало, скажет(скажеть), какое сало, если я её сам не ем, у меня(мне) нет. Тогда плохо жили &lt; нрзб &gt; в пятидесятых годах слабо совсем, плохо жили, это вот в пятьдесят восьмом году, как в совхоз его взяли, тогда да, ну а так. А так уже начинали вроде по чуть - чуть как бы с пятьдесят пятого года по чуть - чуть началось как бы чуть - чуть по = получше, но это чуть - чуть, наверное, незаметно, ну а когда уже взяли нас сюда, конечно, мы стали за деньги, пусть они и не большие деньги, ну они живые деньги, по тридцать рублей получали, ну всё равно &lt; нрзб &gt; за эти деньги можно было хлеба купить и песка и, я думаю, что - то, ну к своему(своёму), что есть в хозяйстве, прибавка.</f>
        <v>#ERROR!</v>
      </c>
      <c r="P356" s="2" t="s">
        <v>1300</v>
      </c>
    </row>
    <row r="357">
      <c r="A357" s="4" t="s">
        <v>32</v>
      </c>
      <c r="B357" s="5">
        <v>5326.0</v>
      </c>
      <c r="C357" s="5">
        <v>5108680.0</v>
      </c>
      <c r="D357" s="5">
        <v>5217320.0</v>
      </c>
      <c r="E357" s="2" t="s">
        <v>284</v>
      </c>
      <c r="F357" s="2"/>
      <c r="G357" s="2"/>
      <c r="H357" s="2"/>
      <c r="I357" s="2"/>
      <c r="J357" s="2"/>
      <c r="K357" s="2"/>
      <c r="L357" s="2"/>
      <c r="M357" s="2" t="s">
        <v>1925</v>
      </c>
      <c r="N357" s="2" t="s">
        <v>35</v>
      </c>
      <c r="O357" s="2" t="s">
        <v>1926</v>
      </c>
      <c r="P357" s="2" t="s">
        <v>1316</v>
      </c>
    </row>
    <row r="358">
      <c r="A358" s="4" t="s">
        <v>32</v>
      </c>
      <c r="B358" s="5">
        <v>5342.0</v>
      </c>
      <c r="C358" s="5">
        <v>65238.0</v>
      </c>
      <c r="D358" s="5">
        <v>69230.0</v>
      </c>
      <c r="E358" s="2" t="s">
        <v>304</v>
      </c>
      <c r="F358" s="2"/>
      <c r="G358" s="2" t="s">
        <v>305</v>
      </c>
      <c r="H358" s="2"/>
      <c r="I358" s="5">
        <v>1934.0</v>
      </c>
      <c r="J358" s="2" t="s">
        <v>63</v>
      </c>
      <c r="K358" s="2" t="s">
        <v>306</v>
      </c>
      <c r="L358" s="2" t="s">
        <v>65</v>
      </c>
      <c r="M358" s="2" t="s">
        <v>1927</v>
      </c>
      <c r="N358" s="2" t="s">
        <v>35</v>
      </c>
      <c r="O358" s="16" t="str">
        <f> затопила, ну и к вечеру топить буду.</f>
        <v>#ERROR!</v>
      </c>
      <c r="P358" s="2" t="s">
        <v>1300</v>
      </c>
    </row>
    <row r="359">
      <c r="A359" s="4" t="s">
        <v>32</v>
      </c>
      <c r="B359" s="5">
        <v>5345.0</v>
      </c>
      <c r="C359" s="5">
        <v>90520.0</v>
      </c>
      <c r="D359" s="5">
        <v>126740.0</v>
      </c>
      <c r="E359" s="2" t="s">
        <v>304</v>
      </c>
      <c r="F359" s="2"/>
      <c r="G359" s="2" t="s">
        <v>305</v>
      </c>
      <c r="H359" s="2"/>
      <c r="I359" s="5">
        <v>1934.0</v>
      </c>
      <c r="J359" s="2" t="s">
        <v>63</v>
      </c>
      <c r="K359" s="2" t="s">
        <v>306</v>
      </c>
      <c r="L359" s="2" t="s">
        <v>65</v>
      </c>
      <c r="M359" s="2" t="s">
        <v>1928</v>
      </c>
      <c r="N359" s="2" t="s">
        <v>35</v>
      </c>
      <c r="O359" s="2" t="s">
        <v>1929</v>
      </c>
      <c r="P359" s="2" t="s">
        <v>1789</v>
      </c>
    </row>
    <row r="360">
      <c r="A360" s="4" t="s">
        <v>32</v>
      </c>
      <c r="B360" s="5">
        <v>5346.0</v>
      </c>
      <c r="C360" s="5">
        <v>126940.0</v>
      </c>
      <c r="D360" s="5">
        <v>162500.0</v>
      </c>
      <c r="E360" s="2" t="s">
        <v>304</v>
      </c>
      <c r="F360" s="2"/>
      <c r="G360" s="2" t="s">
        <v>305</v>
      </c>
      <c r="H360" s="2"/>
      <c r="I360" s="5">
        <v>1934.0</v>
      </c>
      <c r="J360" s="2" t="s">
        <v>63</v>
      </c>
      <c r="K360" s="2" t="s">
        <v>306</v>
      </c>
      <c r="L360" s="2" t="s">
        <v>65</v>
      </c>
      <c r="M360" s="2" t="s">
        <v>1930</v>
      </c>
      <c r="N360" s="2" t="s">
        <v>35</v>
      </c>
      <c r="O360" s="2" t="s">
        <v>1931</v>
      </c>
      <c r="P360" s="2" t="s">
        <v>1296</v>
      </c>
    </row>
    <row r="361">
      <c r="A361" s="4" t="s">
        <v>32</v>
      </c>
      <c r="B361" s="5">
        <v>5346.0</v>
      </c>
      <c r="C361" s="5">
        <v>126940.0</v>
      </c>
      <c r="D361" s="5">
        <v>162500.0</v>
      </c>
      <c r="E361" s="2" t="s">
        <v>304</v>
      </c>
      <c r="F361" s="2"/>
      <c r="G361" s="2" t="s">
        <v>305</v>
      </c>
      <c r="H361" s="2"/>
      <c r="I361" s="5">
        <v>1934.0</v>
      </c>
      <c r="J361" s="2" t="s">
        <v>63</v>
      </c>
      <c r="K361" s="2" t="s">
        <v>306</v>
      </c>
      <c r="L361" s="2" t="s">
        <v>65</v>
      </c>
      <c r="M361" s="2" t="s">
        <v>1932</v>
      </c>
      <c r="N361" s="2" t="s">
        <v>35</v>
      </c>
      <c r="O361" s="2" t="s">
        <v>1933</v>
      </c>
      <c r="P361" s="2" t="s">
        <v>1296</v>
      </c>
    </row>
    <row r="362">
      <c r="A362" s="4" t="s">
        <v>32</v>
      </c>
      <c r="B362" s="5">
        <v>5346.0</v>
      </c>
      <c r="C362" s="5">
        <v>126940.0</v>
      </c>
      <c r="D362" s="5">
        <v>162500.0</v>
      </c>
      <c r="E362" s="2" t="s">
        <v>304</v>
      </c>
      <c r="F362" s="2"/>
      <c r="G362" s="2" t="s">
        <v>305</v>
      </c>
      <c r="H362" s="2"/>
      <c r="I362" s="5">
        <v>1934.0</v>
      </c>
      <c r="J362" s="2" t="s">
        <v>63</v>
      </c>
      <c r="K362" s="2" t="s">
        <v>306</v>
      </c>
      <c r="L362" s="2" t="s">
        <v>65</v>
      </c>
      <c r="M362" s="2" t="s">
        <v>1934</v>
      </c>
      <c r="N362" s="2" t="s">
        <v>35</v>
      </c>
      <c r="O362" s="16" t="str">
        <f> с маем, ну пожилых людей. Приходят ученики, да вот такие дела. Ой Госоподи! Не знаю, хорошо или плохо, так и живём, прожили. Ну садитесь, где место найдёте.</f>
        <v>#ERROR!</v>
      </c>
      <c r="P362" s="2" t="s">
        <v>1296</v>
      </c>
    </row>
    <row r="363">
      <c r="A363" s="4" t="s">
        <v>32</v>
      </c>
      <c r="B363" s="5">
        <v>5346.0</v>
      </c>
      <c r="C363" s="5">
        <v>126940.0</v>
      </c>
      <c r="D363" s="5">
        <v>162500.0</v>
      </c>
      <c r="E363" s="2" t="s">
        <v>304</v>
      </c>
      <c r="F363" s="2"/>
      <c r="G363" s="2" t="s">
        <v>305</v>
      </c>
      <c r="H363" s="2"/>
      <c r="I363" s="5">
        <v>1934.0</v>
      </c>
      <c r="J363" s="2" t="s">
        <v>63</v>
      </c>
      <c r="K363" s="2" t="s">
        <v>306</v>
      </c>
      <c r="L363" s="2" t="s">
        <v>65</v>
      </c>
      <c r="M363" s="2" t="s">
        <v>1935</v>
      </c>
      <c r="N363" s="2" t="s">
        <v>35</v>
      </c>
      <c r="O363" s="2" t="s">
        <v>1936</v>
      </c>
      <c r="P363" s="2" t="s">
        <v>1296</v>
      </c>
    </row>
    <row r="364">
      <c r="A364" s="4" t="s">
        <v>32</v>
      </c>
      <c r="B364" s="5">
        <v>5360.0</v>
      </c>
      <c r="C364" s="5">
        <v>284950.0</v>
      </c>
      <c r="D364" s="5">
        <v>294510.0</v>
      </c>
      <c r="E364" s="2" t="s">
        <v>304</v>
      </c>
      <c r="F364" s="2"/>
      <c r="G364" s="2" t="s">
        <v>305</v>
      </c>
      <c r="H364" s="2"/>
      <c r="I364" s="5">
        <v>1934.0</v>
      </c>
      <c r="J364" s="2" t="s">
        <v>63</v>
      </c>
      <c r="K364" s="2" t="s">
        <v>306</v>
      </c>
      <c r="L364" s="2" t="s">
        <v>65</v>
      </c>
      <c r="M364" s="2" t="s">
        <v>1937</v>
      </c>
      <c r="N364" s="2" t="s">
        <v>35</v>
      </c>
      <c r="O364" s="2" t="s">
        <v>1938</v>
      </c>
      <c r="P364" s="2" t="s">
        <v>1316</v>
      </c>
    </row>
    <row r="365">
      <c r="A365" s="4" t="s">
        <v>32</v>
      </c>
      <c r="B365" s="5">
        <v>5367.0</v>
      </c>
      <c r="C365" s="5">
        <v>378690.0</v>
      </c>
      <c r="D365" s="5">
        <v>402150.0</v>
      </c>
      <c r="E365" s="2" t="s">
        <v>304</v>
      </c>
      <c r="F365" s="2"/>
      <c r="G365" s="2" t="s">
        <v>305</v>
      </c>
      <c r="H365" s="2"/>
      <c r="I365" s="5">
        <v>1934.0</v>
      </c>
      <c r="J365" s="2" t="s">
        <v>63</v>
      </c>
      <c r="K365" s="2" t="s">
        <v>306</v>
      </c>
      <c r="L365" s="2" t="s">
        <v>65</v>
      </c>
      <c r="M365" s="2" t="s">
        <v>1939</v>
      </c>
      <c r="N365" s="2" t="s">
        <v>35</v>
      </c>
      <c r="O365" s="2" t="s">
        <v>1940</v>
      </c>
      <c r="P365" s="2" t="s">
        <v>1316</v>
      </c>
    </row>
    <row r="366">
      <c r="A366" s="4" t="s">
        <v>32</v>
      </c>
      <c r="B366" s="5">
        <v>5375.0</v>
      </c>
      <c r="C366" s="5">
        <v>443220.0</v>
      </c>
      <c r="D366" s="5">
        <v>458780.0</v>
      </c>
      <c r="E366" s="2" t="s">
        <v>304</v>
      </c>
      <c r="F366" s="2"/>
      <c r="G366" s="2" t="s">
        <v>305</v>
      </c>
      <c r="H366" s="2"/>
      <c r="I366" s="5">
        <v>1934.0</v>
      </c>
      <c r="J366" s="2" t="s">
        <v>63</v>
      </c>
      <c r="K366" s="2" t="s">
        <v>306</v>
      </c>
      <c r="L366" s="2" t="s">
        <v>65</v>
      </c>
      <c r="M366" s="2" t="s">
        <v>1941</v>
      </c>
      <c r="N366" s="2" t="s">
        <v>35</v>
      </c>
      <c r="O366" s="16" t="e">
        <v>#NAME?</v>
      </c>
      <c r="P366" s="2" t="s">
        <v>1316</v>
      </c>
    </row>
    <row r="367">
      <c r="A367" s="4" t="s">
        <v>32</v>
      </c>
      <c r="B367" s="5">
        <v>5378.0</v>
      </c>
      <c r="C367" s="5">
        <v>488200.0</v>
      </c>
      <c r="D367" s="5">
        <v>527900.0</v>
      </c>
      <c r="E367" s="2" t="s">
        <v>304</v>
      </c>
      <c r="F367" s="2"/>
      <c r="G367" s="2" t="s">
        <v>305</v>
      </c>
      <c r="H367" s="2"/>
      <c r="I367" s="5">
        <v>1934.0</v>
      </c>
      <c r="J367" s="2" t="s">
        <v>63</v>
      </c>
      <c r="K367" s="2" t="s">
        <v>306</v>
      </c>
      <c r="L367" s="2" t="s">
        <v>65</v>
      </c>
      <c r="M367" s="2" t="s">
        <v>1942</v>
      </c>
      <c r="N367" s="2" t="s">
        <v>45</v>
      </c>
      <c r="O367" s="2" t="s">
        <v>1943</v>
      </c>
      <c r="P367" s="2" t="s">
        <v>1296</v>
      </c>
    </row>
    <row r="368">
      <c r="A368" s="4" t="s">
        <v>32</v>
      </c>
      <c r="B368" s="5">
        <v>5386.0</v>
      </c>
      <c r="C368" s="5">
        <v>632250.0</v>
      </c>
      <c r="D368" s="5">
        <v>702900.0</v>
      </c>
      <c r="E368" s="2" t="s">
        <v>304</v>
      </c>
      <c r="F368" s="2"/>
      <c r="G368" s="2" t="s">
        <v>305</v>
      </c>
      <c r="H368" s="2"/>
      <c r="I368" s="5">
        <v>1934.0</v>
      </c>
      <c r="J368" s="2" t="s">
        <v>63</v>
      </c>
      <c r="K368" s="2" t="s">
        <v>306</v>
      </c>
      <c r="L368" s="2" t="s">
        <v>65</v>
      </c>
      <c r="M368" s="2" t="s">
        <v>1944</v>
      </c>
      <c r="N368" s="2" t="s">
        <v>35</v>
      </c>
      <c r="O368" s="2" t="s">
        <v>1945</v>
      </c>
      <c r="P368" s="2" t="s">
        <v>1300</v>
      </c>
    </row>
    <row r="369">
      <c r="A369" s="4" t="s">
        <v>32</v>
      </c>
      <c r="B369" s="5">
        <v>5387.0</v>
      </c>
      <c r="C369" s="5">
        <v>704120.0</v>
      </c>
      <c r="D369" s="5">
        <v>786800.0</v>
      </c>
      <c r="E369" s="2" t="s">
        <v>304</v>
      </c>
      <c r="F369" s="2"/>
      <c r="G369" s="2" t="s">
        <v>305</v>
      </c>
      <c r="H369" s="2"/>
      <c r="I369" s="5">
        <v>1934.0</v>
      </c>
      <c r="J369" s="2" t="s">
        <v>63</v>
      </c>
      <c r="K369" s="2" t="s">
        <v>306</v>
      </c>
      <c r="L369" s="2" t="s">
        <v>65</v>
      </c>
      <c r="M369" s="2" t="s">
        <v>1946</v>
      </c>
      <c r="N369" s="2" t="s">
        <v>35</v>
      </c>
      <c r="O369" s="16" t="str">
        <f> с Ануфриево или с = с Ануфриево Фофаново, там одинаковое там расстояние, ходила на работу. Я к восьми часам... Вот видишь, у меня было... Я сюда приехала в двадцать лет, а там было восемнадцать - девятнадцать. В таком возрасте пять - шесть километров ходила пешком на работу. Ну и с работы приходишь, а потом ходили в понедельник, среду и пятницу ходили на курсы медицинских сестёр. Учились после пяти, к семи часам. В два часа приходили домой, а к восьми опять на работу. Так что придёшь... Всякое было. Хорошего не было, ну и что? Сейчас, говорят, тяжело, ну и раньше было тоже не легко. Ну с = самое страшное, девочки милые, чтобы не было войны. Жить можно, картошину постную можно есть(есь), траву есть(есь), чтобы тихо было. Не... Чтобы не было войны. Всё. Я немцев видела, знаю.</f>
        <v>#ERROR!</v>
      </c>
      <c r="P369" s="2" t="s">
        <v>1947</v>
      </c>
    </row>
    <row r="370">
      <c r="A370" s="4" t="s">
        <v>32</v>
      </c>
      <c r="B370" s="5">
        <v>5387.0</v>
      </c>
      <c r="C370" s="5">
        <v>704120.0</v>
      </c>
      <c r="D370" s="5">
        <v>786800.0</v>
      </c>
      <c r="E370" s="2" t="s">
        <v>304</v>
      </c>
      <c r="F370" s="2"/>
      <c r="G370" s="2" t="s">
        <v>305</v>
      </c>
      <c r="H370" s="2"/>
      <c r="I370" s="5">
        <v>1934.0</v>
      </c>
      <c r="J370" s="2" t="s">
        <v>63</v>
      </c>
      <c r="K370" s="2" t="s">
        <v>306</v>
      </c>
      <c r="L370" s="2" t="s">
        <v>65</v>
      </c>
      <c r="M370" s="2" t="s">
        <v>1948</v>
      </c>
      <c r="N370" s="2" t="s">
        <v>35</v>
      </c>
      <c r="O370" s="16" t="str">
        <f> с Ануфриево Фофаново, там одинаковое там расстояние, ходила на работу. Я к восьми часам... Вот видишь, у меня было... Я сюда приехала в двадцать лет, а там было восемнадцать - девятнадцать. В таком возрасте пять - шесть километров ходила пешком на работу. Ну и с работы приходишь, а потом ходили в понедельник, среду и пятницу ходили на курсы медицинских сестёр. Учились после пяти, к семи часам. В два часа приходили домой, а к восьми опять на работу. Так что придёшь... Всякое было. Хорошего не было, ну и что? Сейчас, говорят, тяжело, ну и раньше было тоже не легко. Ну с = самое страшное, девочки милые, чтобы не было войны. Жить можно, картошину постную можно есть(есь), траву есть(есь), чтобы тихо было. Не... Чтобы не было войны. Всё. Я немцев видела, знаю.</f>
        <v>#ERROR!</v>
      </c>
      <c r="P370" s="2" t="s">
        <v>1947</v>
      </c>
    </row>
    <row r="371">
      <c r="A371" s="4" t="s">
        <v>32</v>
      </c>
      <c r="B371" s="5">
        <v>5387.0</v>
      </c>
      <c r="C371" s="5">
        <v>704120.0</v>
      </c>
      <c r="D371" s="5">
        <v>786800.0</v>
      </c>
      <c r="E371" s="2" t="s">
        <v>304</v>
      </c>
      <c r="F371" s="2"/>
      <c r="G371" s="2" t="s">
        <v>305</v>
      </c>
      <c r="H371" s="2"/>
      <c r="I371" s="5">
        <v>1934.0</v>
      </c>
      <c r="J371" s="2" t="s">
        <v>63</v>
      </c>
      <c r="K371" s="2" t="s">
        <v>306</v>
      </c>
      <c r="L371" s="2" t="s">
        <v>65</v>
      </c>
      <c r="M371" s="2" t="s">
        <v>1949</v>
      </c>
      <c r="N371" s="2" t="s">
        <v>35</v>
      </c>
      <c r="O371" s="2" t="s">
        <v>1950</v>
      </c>
      <c r="P371" s="2" t="s">
        <v>1316</v>
      </c>
    </row>
    <row r="372">
      <c r="A372" s="4" t="s">
        <v>32</v>
      </c>
      <c r="B372" s="5">
        <v>5387.0</v>
      </c>
      <c r="C372" s="5">
        <v>704120.0</v>
      </c>
      <c r="D372" s="5">
        <v>786800.0</v>
      </c>
      <c r="E372" s="2" t="s">
        <v>304</v>
      </c>
      <c r="F372" s="2"/>
      <c r="G372" s="2" t="s">
        <v>305</v>
      </c>
      <c r="H372" s="2"/>
      <c r="I372" s="5">
        <v>1934.0</v>
      </c>
      <c r="J372" s="2" t="s">
        <v>63</v>
      </c>
      <c r="K372" s="2" t="s">
        <v>306</v>
      </c>
      <c r="L372" s="2" t="s">
        <v>65</v>
      </c>
      <c r="M372" s="2" t="s">
        <v>1951</v>
      </c>
      <c r="N372" s="2" t="s">
        <v>35</v>
      </c>
      <c r="O372" s="16" t="str">
        <f> самое страшное, девочки милые, чтобы не было войны. Жить можно, картошину постную можно есть(есь), траву есть(есь), чтобы тихо было. Не... Чтобы не было войны. Всё. Я немцев видела, знаю.</f>
        <v>#ERROR!</v>
      </c>
      <c r="P372" s="2" t="s">
        <v>1300</v>
      </c>
    </row>
    <row r="373">
      <c r="A373" s="4" t="s">
        <v>32</v>
      </c>
      <c r="B373" s="5">
        <v>5390.0</v>
      </c>
      <c r="C373" s="5">
        <v>798760.0</v>
      </c>
      <c r="D373" s="5">
        <v>915000.0</v>
      </c>
      <c r="E373" s="2" t="s">
        <v>304</v>
      </c>
      <c r="F373" s="2"/>
      <c r="G373" s="2" t="s">
        <v>305</v>
      </c>
      <c r="H373" s="2"/>
      <c r="I373" s="5">
        <v>1934.0</v>
      </c>
      <c r="J373" s="2" t="s">
        <v>63</v>
      </c>
      <c r="K373" s="2" t="s">
        <v>306</v>
      </c>
      <c r="L373" s="2" t="s">
        <v>65</v>
      </c>
      <c r="M373" s="2" t="s">
        <v>1952</v>
      </c>
      <c r="N373" s="2" t="s">
        <v>35</v>
      </c>
      <c r="O373" s="2" t="s">
        <v>1953</v>
      </c>
      <c r="P373" s="2" t="s">
        <v>1296</v>
      </c>
    </row>
    <row r="374">
      <c r="A374" s="4" t="s">
        <v>32</v>
      </c>
      <c r="B374" s="5">
        <v>5391.0</v>
      </c>
      <c r="C374" s="5">
        <v>919066.0</v>
      </c>
      <c r="D374" s="5">
        <v>1043933.0</v>
      </c>
      <c r="E374" s="2" t="s">
        <v>304</v>
      </c>
      <c r="F374" s="2"/>
      <c r="G374" s="2" t="s">
        <v>305</v>
      </c>
      <c r="H374" s="2"/>
      <c r="I374" s="5">
        <v>1934.0</v>
      </c>
      <c r="J374" s="2" t="s">
        <v>63</v>
      </c>
      <c r="K374" s="2" t="s">
        <v>306</v>
      </c>
      <c r="L374" s="2" t="s">
        <v>65</v>
      </c>
      <c r="M374" s="2" t="s">
        <v>1954</v>
      </c>
      <c r="N374" s="2" t="s">
        <v>35</v>
      </c>
      <c r="O374" s="2" t="s">
        <v>1955</v>
      </c>
      <c r="P374" s="2" t="s">
        <v>1296</v>
      </c>
    </row>
    <row r="375">
      <c r="A375" s="4" t="s">
        <v>32</v>
      </c>
      <c r="B375" s="5">
        <v>5407.0</v>
      </c>
      <c r="C375" s="5">
        <v>1154399.0</v>
      </c>
      <c r="D375" s="5">
        <v>1186066.0</v>
      </c>
      <c r="E375" s="2" t="s">
        <v>304</v>
      </c>
      <c r="F375" s="2"/>
      <c r="G375" s="2" t="s">
        <v>305</v>
      </c>
      <c r="H375" s="2"/>
      <c r="I375" s="5">
        <v>1934.0</v>
      </c>
      <c r="J375" s="2" t="s">
        <v>63</v>
      </c>
      <c r="K375" s="2" t="s">
        <v>306</v>
      </c>
      <c r="L375" s="2" t="s">
        <v>65</v>
      </c>
      <c r="M375" s="2" t="s">
        <v>1956</v>
      </c>
      <c r="N375" s="2" t="s">
        <v>35</v>
      </c>
      <c r="O375" s="16" t="str">
        <f> на скотном дворе и быки, кот = на которых пахали плугами огороды. Вот эт... Ну вот. А так лошади... Лошадь была моего дедушки, а() её(на неё) бомба упала и убила лошадь.</f>
        <v>#ERROR!</v>
      </c>
      <c r="P375" s="2" t="s">
        <v>1300</v>
      </c>
    </row>
    <row r="376">
      <c r="A376" s="4" t="s">
        <v>32</v>
      </c>
      <c r="B376" s="5">
        <v>5408.0</v>
      </c>
      <c r="C376" s="5">
        <v>1186732.0</v>
      </c>
      <c r="D376" s="5">
        <v>1196165.0</v>
      </c>
      <c r="E376" s="2" t="s">
        <v>304</v>
      </c>
      <c r="F376" s="2"/>
      <c r="G376" s="2" t="s">
        <v>305</v>
      </c>
      <c r="H376" s="2"/>
      <c r="I376" s="5">
        <v>1934.0</v>
      </c>
      <c r="J376" s="2" t="s">
        <v>63</v>
      </c>
      <c r="K376" s="2" t="s">
        <v>306</v>
      </c>
      <c r="L376" s="2" t="s">
        <v>65</v>
      </c>
      <c r="M376" s="2" t="s">
        <v>1957</v>
      </c>
      <c r="N376" s="2" t="s">
        <v>35</v>
      </c>
      <c r="O376" s="2" t="s">
        <v>1958</v>
      </c>
      <c r="P376" s="2" t="s">
        <v>1298</v>
      </c>
    </row>
    <row r="377">
      <c r="A377" s="4" t="s">
        <v>32</v>
      </c>
      <c r="B377" s="5">
        <v>5409.0</v>
      </c>
      <c r="C377" s="5">
        <v>1196398.0</v>
      </c>
      <c r="D377" s="5">
        <v>1250198.0</v>
      </c>
      <c r="E377" s="2" t="s">
        <v>304</v>
      </c>
      <c r="F377" s="2"/>
      <c r="G377" s="2" t="s">
        <v>305</v>
      </c>
      <c r="H377" s="2"/>
      <c r="I377" s="5">
        <v>1934.0</v>
      </c>
      <c r="J377" s="2" t="s">
        <v>63</v>
      </c>
      <c r="K377" s="2" t="s">
        <v>306</v>
      </c>
      <c r="L377" s="2" t="s">
        <v>65</v>
      </c>
      <c r="M377" s="2" t="s">
        <v>1959</v>
      </c>
      <c r="N377" s="2" t="s">
        <v>35</v>
      </c>
      <c r="O377" s="2" t="s">
        <v>1960</v>
      </c>
      <c r="P377" s="2" t="s">
        <v>1296</v>
      </c>
    </row>
    <row r="378">
      <c r="A378" s="4" t="s">
        <v>32</v>
      </c>
      <c r="B378" s="5">
        <v>5409.0</v>
      </c>
      <c r="C378" s="5">
        <v>1196398.0</v>
      </c>
      <c r="D378" s="5">
        <v>1250198.0</v>
      </c>
      <c r="E378" s="2" t="s">
        <v>304</v>
      </c>
      <c r="F378" s="2"/>
      <c r="G378" s="2" t="s">
        <v>305</v>
      </c>
      <c r="H378" s="2"/>
      <c r="I378" s="5">
        <v>1934.0</v>
      </c>
      <c r="J378" s="2" t="s">
        <v>63</v>
      </c>
      <c r="K378" s="2" t="s">
        <v>306</v>
      </c>
      <c r="L378" s="2" t="s">
        <v>65</v>
      </c>
      <c r="M378" s="2" t="s">
        <v>1961</v>
      </c>
      <c r="N378" s="2" t="s">
        <v>35</v>
      </c>
      <c r="O378" s="2" t="s">
        <v>1962</v>
      </c>
      <c r="P378" s="2" t="s">
        <v>1296</v>
      </c>
    </row>
    <row r="379">
      <c r="A379" s="4" t="s">
        <v>32</v>
      </c>
      <c r="B379" s="5">
        <v>5409.0</v>
      </c>
      <c r="C379" s="5">
        <v>1196398.0</v>
      </c>
      <c r="D379" s="5">
        <v>1250198.0</v>
      </c>
      <c r="E379" s="2" t="s">
        <v>304</v>
      </c>
      <c r="F379" s="2"/>
      <c r="G379" s="2" t="s">
        <v>305</v>
      </c>
      <c r="H379" s="2"/>
      <c r="I379" s="5">
        <v>1934.0</v>
      </c>
      <c r="J379" s="2" t="s">
        <v>63</v>
      </c>
      <c r="K379" s="2" t="s">
        <v>306</v>
      </c>
      <c r="L379" s="2" t="s">
        <v>65</v>
      </c>
      <c r="M379" s="2" t="s">
        <v>1963</v>
      </c>
      <c r="N379" s="2" t="s">
        <v>35</v>
      </c>
      <c r="O379" s="16" t="str">
        <f> что - то с = ссорилась с немцем, я не могу сказать, а он её даже плёткой ударил. Ударил на глазах, это было. Ну а так я больше не помню ничего, уехали и опять заехали, их прогнали, а мы в свою деревню приехали. Так и жили. И родители жили, пока вот так, пока не() умерли. Ну а я сюда попала в этот, в Пятиусово.</f>
        <v>#ERROR!</v>
      </c>
      <c r="P379" s="2" t="s">
        <v>1300</v>
      </c>
    </row>
    <row r="380">
      <c r="A380" s="4" t="s">
        <v>32</v>
      </c>
      <c r="B380" s="5">
        <v>5409.0</v>
      </c>
      <c r="C380" s="5">
        <v>1196398.0</v>
      </c>
      <c r="D380" s="5">
        <v>1250198.0</v>
      </c>
      <c r="E380" s="2" t="s">
        <v>304</v>
      </c>
      <c r="F380" s="2"/>
      <c r="G380" s="2" t="s">
        <v>305</v>
      </c>
      <c r="H380" s="2"/>
      <c r="I380" s="5">
        <v>1934.0</v>
      </c>
      <c r="J380" s="2" t="s">
        <v>63</v>
      </c>
      <c r="K380" s="2" t="s">
        <v>306</v>
      </c>
      <c r="L380" s="2" t="s">
        <v>65</v>
      </c>
      <c r="M380" s="2" t="s">
        <v>1964</v>
      </c>
      <c r="N380" s="2" t="s">
        <v>35</v>
      </c>
      <c r="O380" s="16" t="str">
        <f> ссорилась с немцем, я не могу сказать, а он её даже плёткой ударил. Ударил на глазах, это было. Ну а так я больше не помню ничего, уехали и опять заехали, их прогнали, а мы в свою деревню приехали. Так и жили. И родители жили, пока вот так, пока не() умерли. Ну а я сюда попала в этот, в Пятиусово.</f>
        <v>#ERROR!</v>
      </c>
      <c r="P380" s="2" t="s">
        <v>1300</v>
      </c>
    </row>
    <row r="381">
      <c r="A381" s="4" t="s">
        <v>32</v>
      </c>
      <c r="B381" s="5">
        <v>5409.0</v>
      </c>
      <c r="C381" s="5">
        <v>1196398.0</v>
      </c>
      <c r="D381" s="5">
        <v>1250198.0</v>
      </c>
      <c r="E381" s="2" t="s">
        <v>304</v>
      </c>
      <c r="F381" s="2"/>
      <c r="G381" s="2" t="s">
        <v>305</v>
      </c>
      <c r="H381" s="2"/>
      <c r="I381" s="5">
        <v>1934.0</v>
      </c>
      <c r="J381" s="2" t="s">
        <v>63</v>
      </c>
      <c r="K381" s="2" t="s">
        <v>306</v>
      </c>
      <c r="L381" s="2" t="s">
        <v>65</v>
      </c>
      <c r="M381" s="2" t="s">
        <v>1965</v>
      </c>
      <c r="N381" s="2" t="s">
        <v>35</v>
      </c>
      <c r="O381" s="2" t="s">
        <v>1966</v>
      </c>
      <c r="P381" s="2" t="s">
        <v>1296</v>
      </c>
    </row>
    <row r="382">
      <c r="A382" s="4" t="s">
        <v>32</v>
      </c>
      <c r="B382" s="5">
        <v>5413.0</v>
      </c>
      <c r="C382" s="5">
        <v>1312266.0</v>
      </c>
      <c r="D382" s="5">
        <v>1363066.0</v>
      </c>
      <c r="E382" s="2" t="s">
        <v>304</v>
      </c>
      <c r="F382" s="2"/>
      <c r="G382" s="2" t="s">
        <v>305</v>
      </c>
      <c r="H382" s="2"/>
      <c r="I382" s="5">
        <v>1934.0</v>
      </c>
      <c r="J382" s="2" t="s">
        <v>63</v>
      </c>
      <c r="K382" s="2" t="s">
        <v>306</v>
      </c>
      <c r="L382" s="2" t="s">
        <v>65</v>
      </c>
      <c r="M382" s="2" t="s">
        <v>1967</v>
      </c>
      <c r="N382" s="2" t="s">
        <v>45</v>
      </c>
      <c r="O382" s="2" t="s">
        <v>1968</v>
      </c>
      <c r="P382" s="2" t="s">
        <v>1296</v>
      </c>
    </row>
    <row r="383">
      <c r="A383" s="4" t="s">
        <v>32</v>
      </c>
      <c r="B383" s="5">
        <v>5414.0</v>
      </c>
      <c r="C383" s="5">
        <v>1366332.0</v>
      </c>
      <c r="D383" s="5">
        <v>1394199.0</v>
      </c>
      <c r="E383" s="2" t="s">
        <v>304</v>
      </c>
      <c r="F383" s="2"/>
      <c r="G383" s="2" t="s">
        <v>305</v>
      </c>
      <c r="H383" s="2"/>
      <c r="I383" s="5">
        <v>1934.0</v>
      </c>
      <c r="J383" s="2" t="s">
        <v>63</v>
      </c>
      <c r="K383" s="2" t="s">
        <v>306</v>
      </c>
      <c r="L383" s="2" t="s">
        <v>65</v>
      </c>
      <c r="M383" s="2" t="s">
        <v>1969</v>
      </c>
      <c r="N383" s="2" t="s">
        <v>35</v>
      </c>
      <c r="O383" s="2" t="s">
        <v>1970</v>
      </c>
      <c r="P383" s="2" t="s">
        <v>1296</v>
      </c>
    </row>
    <row r="384">
      <c r="A384" s="4" t="s">
        <v>32</v>
      </c>
      <c r="B384" s="5">
        <v>5414.0</v>
      </c>
      <c r="C384" s="5">
        <v>1366332.0</v>
      </c>
      <c r="D384" s="5">
        <v>1394199.0</v>
      </c>
      <c r="E384" s="2" t="s">
        <v>304</v>
      </c>
      <c r="F384" s="2"/>
      <c r="G384" s="2" t="s">
        <v>305</v>
      </c>
      <c r="H384" s="2"/>
      <c r="I384" s="5">
        <v>1934.0</v>
      </c>
      <c r="J384" s="2" t="s">
        <v>63</v>
      </c>
      <c r="K384" s="2" t="s">
        <v>306</v>
      </c>
      <c r="L384" s="2" t="s">
        <v>65</v>
      </c>
      <c r="M384" s="2" t="s">
        <v>1971</v>
      </c>
      <c r="N384" s="2" t="s">
        <v>35</v>
      </c>
      <c r="O384" s="2" t="s">
        <v>1972</v>
      </c>
      <c r="P384" s="2" t="s">
        <v>1296</v>
      </c>
    </row>
    <row r="385">
      <c r="A385" s="4" t="s">
        <v>32</v>
      </c>
      <c r="B385" s="5">
        <v>5428.0</v>
      </c>
      <c r="C385" s="5">
        <v>1584665.0</v>
      </c>
      <c r="D385" s="5">
        <v>1598965.0</v>
      </c>
      <c r="E385" s="2" t="s">
        <v>304</v>
      </c>
      <c r="F385" s="2"/>
      <c r="G385" s="2" t="s">
        <v>305</v>
      </c>
      <c r="H385" s="2"/>
      <c r="I385" s="5">
        <v>1934.0</v>
      </c>
      <c r="J385" s="2" t="s">
        <v>63</v>
      </c>
      <c r="K385" s="2" t="s">
        <v>306</v>
      </c>
      <c r="L385" s="2" t="s">
        <v>65</v>
      </c>
      <c r="M385" s="2" t="s">
        <v>1973</v>
      </c>
      <c r="N385" s="2" t="s">
        <v>35</v>
      </c>
      <c r="O385" s="2" t="s">
        <v>1974</v>
      </c>
      <c r="P385" s="2" t="s">
        <v>1316</v>
      </c>
    </row>
    <row r="386">
      <c r="A386" s="4" t="s">
        <v>32</v>
      </c>
      <c r="B386" s="5">
        <v>5429.0</v>
      </c>
      <c r="C386" s="5">
        <v>1599666.0</v>
      </c>
      <c r="D386" s="5">
        <v>1613000.0</v>
      </c>
      <c r="E386" s="2" t="s">
        <v>304</v>
      </c>
      <c r="F386" s="2"/>
      <c r="G386" s="2" t="s">
        <v>305</v>
      </c>
      <c r="H386" s="2"/>
      <c r="I386" s="5">
        <v>1934.0</v>
      </c>
      <c r="J386" s="2" t="s">
        <v>63</v>
      </c>
      <c r="K386" s="2" t="s">
        <v>306</v>
      </c>
      <c r="L386" s="2" t="s">
        <v>65</v>
      </c>
      <c r="M386" s="2" t="s">
        <v>1975</v>
      </c>
      <c r="N386" s="2" t="s">
        <v>35</v>
      </c>
      <c r="O386" s="2" t="s">
        <v>1976</v>
      </c>
      <c r="P386" s="2" t="s">
        <v>1296</v>
      </c>
    </row>
    <row r="387">
      <c r="A387" s="4" t="s">
        <v>32</v>
      </c>
      <c r="B387" s="5">
        <v>5430.0</v>
      </c>
      <c r="C387" s="5">
        <v>1613133.0</v>
      </c>
      <c r="D387" s="5">
        <v>1647066.0</v>
      </c>
      <c r="E387" s="2" t="s">
        <v>304</v>
      </c>
      <c r="F387" s="2"/>
      <c r="G387" s="2" t="s">
        <v>305</v>
      </c>
      <c r="H387" s="2"/>
      <c r="I387" s="5">
        <v>1934.0</v>
      </c>
      <c r="J387" s="2" t="s">
        <v>63</v>
      </c>
      <c r="K387" s="2" t="s">
        <v>306</v>
      </c>
      <c r="L387" s="2" t="s">
        <v>65</v>
      </c>
      <c r="M387" s="2" t="s">
        <v>1977</v>
      </c>
      <c r="N387" s="2" t="s">
        <v>35</v>
      </c>
      <c r="O387" s="16" t="str">
        <f> с = товарищей своих, друзей, которые в школе(в школу) учился, звал. То и сё е... Ой. Да.</f>
        <v>#ERROR!</v>
      </c>
      <c r="P387" s="2" t="s">
        <v>1300</v>
      </c>
    </row>
    <row r="388">
      <c r="A388" s="4" t="s">
        <v>32</v>
      </c>
      <c r="B388" s="5">
        <v>5430.0</v>
      </c>
      <c r="C388" s="5">
        <v>1613133.0</v>
      </c>
      <c r="D388" s="5">
        <v>1647066.0</v>
      </c>
      <c r="E388" s="2" t="s">
        <v>304</v>
      </c>
      <c r="F388" s="2"/>
      <c r="G388" s="2" t="s">
        <v>305</v>
      </c>
      <c r="H388" s="2"/>
      <c r="I388" s="5">
        <v>1934.0</v>
      </c>
      <c r="J388" s="2" t="s">
        <v>63</v>
      </c>
      <c r="K388" s="2" t="s">
        <v>306</v>
      </c>
      <c r="L388" s="2" t="s">
        <v>65</v>
      </c>
      <c r="M388" s="2" t="s">
        <v>1978</v>
      </c>
      <c r="N388" s="2" t="s">
        <v>35</v>
      </c>
      <c r="O388" s="16" t="str">
        <f> товарищей своих, друзей, которые в школе(в школу) учился, звал. То и сё е... Ой. Да.</f>
        <v>#ERROR!</v>
      </c>
      <c r="P388" s="2" t="s">
        <v>1300</v>
      </c>
    </row>
    <row r="389">
      <c r="A389" s="4" t="s">
        <v>32</v>
      </c>
      <c r="B389" s="5">
        <v>5435.0</v>
      </c>
      <c r="C389" s="5">
        <v>1770199.0</v>
      </c>
      <c r="D389" s="5">
        <v>1780465.0</v>
      </c>
      <c r="E389" s="2" t="s">
        <v>304</v>
      </c>
      <c r="F389" s="2"/>
      <c r="G389" s="2" t="s">
        <v>305</v>
      </c>
      <c r="H389" s="2"/>
      <c r="I389" s="5">
        <v>1934.0</v>
      </c>
      <c r="J389" s="2" t="s">
        <v>63</v>
      </c>
      <c r="K389" s="2" t="s">
        <v>306</v>
      </c>
      <c r="L389" s="2" t="s">
        <v>65</v>
      </c>
      <c r="M389" s="2" t="s">
        <v>1979</v>
      </c>
      <c r="N389" s="2" t="s">
        <v>35</v>
      </c>
      <c r="O389" s="2" t="s">
        <v>1980</v>
      </c>
      <c r="P389" s="2" t="s">
        <v>1296</v>
      </c>
    </row>
    <row r="390">
      <c r="A390" s="4" t="s">
        <v>32</v>
      </c>
      <c r="B390" s="5">
        <v>5435.0</v>
      </c>
      <c r="C390" s="5">
        <v>1770199.0</v>
      </c>
      <c r="D390" s="5">
        <v>1780465.0</v>
      </c>
      <c r="E390" s="2" t="s">
        <v>304</v>
      </c>
      <c r="F390" s="2"/>
      <c r="G390" s="2" t="s">
        <v>305</v>
      </c>
      <c r="H390" s="2"/>
      <c r="I390" s="5">
        <v>1934.0</v>
      </c>
      <c r="J390" s="2" t="s">
        <v>63</v>
      </c>
      <c r="K390" s="2" t="s">
        <v>306</v>
      </c>
      <c r="L390" s="2" t="s">
        <v>65</v>
      </c>
      <c r="M390" s="2" t="s">
        <v>1981</v>
      </c>
      <c r="N390" s="2" t="s">
        <v>35</v>
      </c>
      <c r="O390" s="2" t="s">
        <v>1982</v>
      </c>
      <c r="P390" s="2" t="s">
        <v>1296</v>
      </c>
    </row>
    <row r="391">
      <c r="A391" s="4" t="s">
        <v>32</v>
      </c>
      <c r="B391" s="5">
        <v>5437.0</v>
      </c>
      <c r="C391" s="5">
        <v>1785999.0</v>
      </c>
      <c r="D391" s="5">
        <v>1789132.0</v>
      </c>
      <c r="E391" s="2" t="s">
        <v>304</v>
      </c>
      <c r="F391" s="2"/>
      <c r="G391" s="2" t="s">
        <v>305</v>
      </c>
      <c r="H391" s="2"/>
      <c r="I391" s="5">
        <v>1934.0</v>
      </c>
      <c r="J391" s="2" t="s">
        <v>63</v>
      </c>
      <c r="K391" s="2" t="s">
        <v>306</v>
      </c>
      <c r="L391" s="2" t="s">
        <v>65</v>
      </c>
      <c r="M391" s="2" t="s">
        <v>1983</v>
      </c>
      <c r="N391" s="2" t="s">
        <v>35</v>
      </c>
      <c r="O391" s="2" t="s">
        <v>1984</v>
      </c>
      <c r="P391" s="2" t="s">
        <v>1296</v>
      </c>
    </row>
    <row r="392">
      <c r="A392" s="4" t="s">
        <v>32</v>
      </c>
      <c r="B392" s="5">
        <v>5444.0</v>
      </c>
      <c r="C392" s="5">
        <v>1841197.0</v>
      </c>
      <c r="D392" s="5">
        <v>1848597.0</v>
      </c>
      <c r="E392" s="2" t="s">
        <v>304</v>
      </c>
      <c r="F392" s="2"/>
      <c r="G392" s="2" t="s">
        <v>305</v>
      </c>
      <c r="H392" s="2"/>
      <c r="I392" s="5">
        <v>1934.0</v>
      </c>
      <c r="J392" s="2" t="s">
        <v>63</v>
      </c>
      <c r="K392" s="2" t="s">
        <v>306</v>
      </c>
      <c r="L392" s="2" t="s">
        <v>65</v>
      </c>
      <c r="M392" s="2" t="s">
        <v>1985</v>
      </c>
      <c r="N392" s="2" t="s">
        <v>35</v>
      </c>
      <c r="O392" s="2" t="s">
        <v>1986</v>
      </c>
      <c r="P392" s="2" t="s">
        <v>1296</v>
      </c>
    </row>
    <row r="393">
      <c r="A393" s="4" t="s">
        <v>32</v>
      </c>
      <c r="B393" s="5">
        <v>5456.0</v>
      </c>
      <c r="C393" s="5">
        <v>1898650.0</v>
      </c>
      <c r="D393" s="5">
        <v>1901940.0</v>
      </c>
      <c r="E393" s="2" t="s">
        <v>304</v>
      </c>
      <c r="F393" s="2"/>
      <c r="G393" s="2" t="s">
        <v>305</v>
      </c>
      <c r="H393" s="2"/>
      <c r="I393" s="5">
        <v>1934.0</v>
      </c>
      <c r="J393" s="2" t="s">
        <v>63</v>
      </c>
      <c r="K393" s="2" t="s">
        <v>306</v>
      </c>
      <c r="L393" s="2" t="s">
        <v>65</v>
      </c>
      <c r="M393" s="2" t="s">
        <v>1987</v>
      </c>
      <c r="N393" s="2" t="s">
        <v>35</v>
      </c>
      <c r="O393" s="2" t="s">
        <v>1988</v>
      </c>
      <c r="P393" s="2" t="s">
        <v>1298</v>
      </c>
    </row>
    <row r="394">
      <c r="A394" s="4" t="s">
        <v>32</v>
      </c>
      <c r="B394" s="5">
        <v>5456.0</v>
      </c>
      <c r="C394" s="5">
        <v>1898650.0</v>
      </c>
      <c r="D394" s="5">
        <v>1901940.0</v>
      </c>
      <c r="E394" s="2" t="s">
        <v>304</v>
      </c>
      <c r="F394" s="2"/>
      <c r="G394" s="2" t="s">
        <v>305</v>
      </c>
      <c r="H394" s="2"/>
      <c r="I394" s="5">
        <v>1934.0</v>
      </c>
      <c r="J394" s="2" t="s">
        <v>63</v>
      </c>
      <c r="K394" s="2" t="s">
        <v>306</v>
      </c>
      <c r="L394" s="2" t="s">
        <v>65</v>
      </c>
      <c r="M394" s="2" t="s">
        <v>1989</v>
      </c>
      <c r="N394" s="2" t="s">
        <v>35</v>
      </c>
      <c r="O394" s="2" t="s">
        <v>1990</v>
      </c>
      <c r="P394" s="2" t="s">
        <v>1298</v>
      </c>
    </row>
    <row r="395">
      <c r="A395" s="4" t="s">
        <v>32</v>
      </c>
      <c r="B395" s="5">
        <v>5466.0</v>
      </c>
      <c r="C395" s="5">
        <v>1938270.0</v>
      </c>
      <c r="D395" s="5">
        <v>1939720.0</v>
      </c>
      <c r="E395" s="2" t="s">
        <v>304</v>
      </c>
      <c r="F395" s="2"/>
      <c r="G395" s="2" t="s">
        <v>305</v>
      </c>
      <c r="H395" s="2"/>
      <c r="I395" s="5">
        <v>1934.0</v>
      </c>
      <c r="J395" s="2" t="s">
        <v>63</v>
      </c>
      <c r="K395" s="2" t="s">
        <v>306</v>
      </c>
      <c r="L395" s="2" t="s">
        <v>65</v>
      </c>
      <c r="M395" s="2" t="s">
        <v>1991</v>
      </c>
      <c r="N395" s="2" t="s">
        <v>35</v>
      </c>
      <c r="O395" s="2" t="s">
        <v>1992</v>
      </c>
      <c r="P395" s="2" t="s">
        <v>1296</v>
      </c>
    </row>
    <row r="396">
      <c r="A396" s="4" t="s">
        <v>32</v>
      </c>
      <c r="B396" s="5">
        <v>5467.0</v>
      </c>
      <c r="C396" s="5">
        <v>1943500.0</v>
      </c>
      <c r="D396" s="5">
        <v>1945370.0</v>
      </c>
      <c r="E396" s="2" t="s">
        <v>304</v>
      </c>
      <c r="F396" s="2"/>
      <c r="G396" s="2" t="s">
        <v>305</v>
      </c>
      <c r="H396" s="2"/>
      <c r="I396" s="5">
        <v>1934.0</v>
      </c>
      <c r="J396" s="2" t="s">
        <v>63</v>
      </c>
      <c r="K396" s="2" t="s">
        <v>306</v>
      </c>
      <c r="L396" s="2" t="s">
        <v>65</v>
      </c>
      <c r="M396" s="2" t="s">
        <v>1993</v>
      </c>
      <c r="N396" s="2" t="s">
        <v>35</v>
      </c>
      <c r="O396" s="2" t="s">
        <v>1994</v>
      </c>
      <c r="P396" s="2" t="s">
        <v>1296</v>
      </c>
    </row>
    <row r="397">
      <c r="A397" s="4" t="s">
        <v>32</v>
      </c>
      <c r="B397" s="5">
        <v>5471.0</v>
      </c>
      <c r="C397" s="5">
        <v>1953150.0</v>
      </c>
      <c r="D397" s="5">
        <v>1954010.0</v>
      </c>
      <c r="E397" s="2" t="s">
        <v>304</v>
      </c>
      <c r="F397" s="2"/>
      <c r="G397" s="2" t="s">
        <v>305</v>
      </c>
      <c r="H397" s="2"/>
      <c r="I397" s="5">
        <v>1934.0</v>
      </c>
      <c r="J397" s="2" t="s">
        <v>63</v>
      </c>
      <c r="K397" s="2" t="s">
        <v>306</v>
      </c>
      <c r="L397" s="2" t="s">
        <v>65</v>
      </c>
      <c r="M397" s="2" t="s">
        <v>338</v>
      </c>
      <c r="N397" s="2" t="s">
        <v>35</v>
      </c>
      <c r="O397" s="2" t="s">
        <v>1995</v>
      </c>
      <c r="P397" s="2" t="s">
        <v>1296</v>
      </c>
    </row>
    <row r="398">
      <c r="A398" s="4" t="s">
        <v>32</v>
      </c>
      <c r="B398" s="5">
        <v>5472.0</v>
      </c>
      <c r="C398" s="5">
        <v>1956600.0</v>
      </c>
      <c r="D398" s="5">
        <v>1957960.0</v>
      </c>
      <c r="E398" s="2" t="s">
        <v>304</v>
      </c>
      <c r="F398" s="2"/>
      <c r="G398" s="2" t="s">
        <v>305</v>
      </c>
      <c r="H398" s="2"/>
      <c r="I398" s="5">
        <v>1934.0</v>
      </c>
      <c r="J398" s="2" t="s">
        <v>63</v>
      </c>
      <c r="K398" s="2" t="s">
        <v>306</v>
      </c>
      <c r="L398" s="2" t="s">
        <v>65</v>
      </c>
      <c r="M398" s="2" t="s">
        <v>1996</v>
      </c>
      <c r="N398" s="2" t="s">
        <v>35</v>
      </c>
      <c r="O398" s="2" t="s">
        <v>1997</v>
      </c>
      <c r="P398" s="2" t="s">
        <v>1296</v>
      </c>
    </row>
    <row r="399">
      <c r="A399" s="4" t="s">
        <v>32</v>
      </c>
      <c r="B399" s="5">
        <v>5474.0</v>
      </c>
      <c r="C399" s="5">
        <v>1960990.0</v>
      </c>
      <c r="D399" s="5">
        <v>1962900.0</v>
      </c>
      <c r="E399" s="2" t="s">
        <v>304</v>
      </c>
      <c r="F399" s="2"/>
      <c r="G399" s="2" t="s">
        <v>305</v>
      </c>
      <c r="H399" s="2"/>
      <c r="I399" s="5">
        <v>1934.0</v>
      </c>
      <c r="J399" s="2" t="s">
        <v>63</v>
      </c>
      <c r="K399" s="2" t="s">
        <v>306</v>
      </c>
      <c r="L399" s="2" t="s">
        <v>65</v>
      </c>
      <c r="M399" s="2" t="s">
        <v>1998</v>
      </c>
      <c r="N399" s="2" t="s">
        <v>35</v>
      </c>
      <c r="O399" s="2" t="s">
        <v>1999</v>
      </c>
      <c r="P399" s="2" t="s">
        <v>1296</v>
      </c>
    </row>
    <row r="400">
      <c r="A400" s="4" t="s">
        <v>32</v>
      </c>
      <c r="B400" s="5">
        <v>5484.0</v>
      </c>
      <c r="C400" s="5">
        <v>2001015.0</v>
      </c>
      <c r="D400" s="5">
        <v>2003515.0</v>
      </c>
      <c r="E400" s="2" t="s">
        <v>304</v>
      </c>
      <c r="F400" s="2"/>
      <c r="G400" s="2" t="s">
        <v>305</v>
      </c>
      <c r="H400" s="2"/>
      <c r="I400" s="5">
        <v>1934.0</v>
      </c>
      <c r="J400" s="2" t="s">
        <v>63</v>
      </c>
      <c r="K400" s="2" t="s">
        <v>306</v>
      </c>
      <c r="L400" s="2" t="s">
        <v>65</v>
      </c>
      <c r="M400" s="2" t="s">
        <v>2000</v>
      </c>
      <c r="N400" s="2" t="s">
        <v>35</v>
      </c>
      <c r="O400" s="2" t="s">
        <v>2001</v>
      </c>
      <c r="P400" s="2" t="s">
        <v>1296</v>
      </c>
    </row>
    <row r="401">
      <c r="A401" s="4" t="s">
        <v>32</v>
      </c>
      <c r="B401" s="5">
        <v>5518.0</v>
      </c>
      <c r="C401" s="5">
        <v>2108870.0</v>
      </c>
      <c r="D401" s="5">
        <v>2110780.0</v>
      </c>
      <c r="E401" s="2" t="s">
        <v>304</v>
      </c>
      <c r="F401" s="2"/>
      <c r="G401" s="2" t="s">
        <v>305</v>
      </c>
      <c r="H401" s="2"/>
      <c r="I401" s="5">
        <v>1934.0</v>
      </c>
      <c r="J401" s="2" t="s">
        <v>63</v>
      </c>
      <c r="K401" s="2" t="s">
        <v>306</v>
      </c>
      <c r="L401" s="2" t="s">
        <v>65</v>
      </c>
      <c r="M401" s="2"/>
      <c r="N401" s="2" t="s">
        <v>45</v>
      </c>
      <c r="O401" s="2" t="s">
        <v>2002</v>
      </c>
      <c r="P401" s="2" t="s">
        <v>1296</v>
      </c>
    </row>
    <row r="402">
      <c r="A402" s="4" t="s">
        <v>32</v>
      </c>
      <c r="B402" s="5">
        <v>5523.0</v>
      </c>
      <c r="C402" s="5">
        <v>2125570.0</v>
      </c>
      <c r="D402" s="5">
        <v>2128670.0</v>
      </c>
      <c r="E402" s="2" t="s">
        <v>304</v>
      </c>
      <c r="F402" s="2"/>
      <c r="G402" s="2" t="s">
        <v>305</v>
      </c>
      <c r="H402" s="2"/>
      <c r="I402" s="5">
        <v>1934.0</v>
      </c>
      <c r="J402" s="2" t="s">
        <v>63</v>
      </c>
      <c r="K402" s="2" t="s">
        <v>306</v>
      </c>
      <c r="L402" s="2" t="s">
        <v>65</v>
      </c>
      <c r="M402" s="2" t="s">
        <v>2003</v>
      </c>
      <c r="N402" s="2" t="s">
        <v>35</v>
      </c>
      <c r="O402" s="2" t="s">
        <v>2004</v>
      </c>
      <c r="P402" s="2" t="s">
        <v>1296</v>
      </c>
    </row>
    <row r="403">
      <c r="A403" s="4" t="s">
        <v>32</v>
      </c>
      <c r="B403" s="5">
        <v>5525.0</v>
      </c>
      <c r="C403" s="5">
        <v>2131230.0</v>
      </c>
      <c r="D403" s="5">
        <v>2135170.0</v>
      </c>
      <c r="E403" s="2" t="s">
        <v>304</v>
      </c>
      <c r="F403" s="2"/>
      <c r="G403" s="2" t="s">
        <v>305</v>
      </c>
      <c r="H403" s="2"/>
      <c r="I403" s="5">
        <v>1934.0</v>
      </c>
      <c r="J403" s="2" t="s">
        <v>63</v>
      </c>
      <c r="K403" s="2" t="s">
        <v>306</v>
      </c>
      <c r="L403" s="2" t="s">
        <v>65</v>
      </c>
      <c r="M403" s="2" t="s">
        <v>2005</v>
      </c>
      <c r="N403" s="2" t="s">
        <v>35</v>
      </c>
      <c r="O403" s="2" t="s">
        <v>2006</v>
      </c>
      <c r="P403" s="2" t="s">
        <v>1296</v>
      </c>
    </row>
    <row r="404">
      <c r="A404" s="4" t="s">
        <v>32</v>
      </c>
      <c r="B404" s="5">
        <v>5533.0</v>
      </c>
      <c r="C404" s="5">
        <v>2188910.0</v>
      </c>
      <c r="D404" s="5">
        <v>2195740.0</v>
      </c>
      <c r="E404" s="2" t="s">
        <v>304</v>
      </c>
      <c r="F404" s="2"/>
      <c r="G404" s="2" t="s">
        <v>305</v>
      </c>
      <c r="H404" s="2"/>
      <c r="I404" s="5">
        <v>1934.0</v>
      </c>
      <c r="J404" s="2" t="s">
        <v>63</v>
      </c>
      <c r="K404" s="2" t="s">
        <v>306</v>
      </c>
      <c r="L404" s="2" t="s">
        <v>65</v>
      </c>
      <c r="M404" s="2" t="s">
        <v>2007</v>
      </c>
      <c r="N404" s="2" t="s">
        <v>35</v>
      </c>
      <c r="O404" s="2" t="s">
        <v>2008</v>
      </c>
      <c r="P404" s="2" t="s">
        <v>1300</v>
      </c>
    </row>
    <row r="405">
      <c r="A405" s="4" t="s">
        <v>32</v>
      </c>
      <c r="B405" s="5">
        <v>5533.0</v>
      </c>
      <c r="C405" s="5">
        <v>2188910.0</v>
      </c>
      <c r="D405" s="5">
        <v>2195740.0</v>
      </c>
      <c r="E405" s="2" t="s">
        <v>304</v>
      </c>
      <c r="F405" s="2"/>
      <c r="G405" s="2" t="s">
        <v>305</v>
      </c>
      <c r="H405" s="2"/>
      <c r="I405" s="5">
        <v>1934.0</v>
      </c>
      <c r="J405" s="2" t="s">
        <v>63</v>
      </c>
      <c r="K405" s="2" t="s">
        <v>306</v>
      </c>
      <c r="L405" s="2" t="s">
        <v>65</v>
      </c>
      <c r="M405" s="2" t="s">
        <v>2009</v>
      </c>
      <c r="N405" s="2" t="s">
        <v>35</v>
      </c>
      <c r="O405" s="2" t="s">
        <v>2010</v>
      </c>
      <c r="P405" s="2" t="s">
        <v>1296</v>
      </c>
    </row>
    <row r="406">
      <c r="A406" s="4" t="s">
        <v>32</v>
      </c>
      <c r="B406" s="5">
        <v>5542.0</v>
      </c>
      <c r="C406" s="5">
        <v>2222220.0</v>
      </c>
      <c r="D406" s="5">
        <v>2229340.0</v>
      </c>
      <c r="E406" s="2" t="s">
        <v>304</v>
      </c>
      <c r="F406" s="2"/>
      <c r="G406" s="2" t="s">
        <v>305</v>
      </c>
      <c r="H406" s="2"/>
      <c r="I406" s="5">
        <v>1934.0</v>
      </c>
      <c r="J406" s="2" t="s">
        <v>63</v>
      </c>
      <c r="K406" s="2" t="s">
        <v>306</v>
      </c>
      <c r="L406" s="2" t="s">
        <v>65</v>
      </c>
      <c r="M406" s="2" t="s">
        <v>2011</v>
      </c>
      <c r="N406" s="2" t="s">
        <v>35</v>
      </c>
      <c r="O406" s="16" t="str">
        <f> на кефире, ну яичко вбила, мука, песок, соль. Если что не хватает - - не беда.</f>
        <v>#ERROR!</v>
      </c>
      <c r="P406" s="2" t="s">
        <v>1300</v>
      </c>
    </row>
    <row r="407">
      <c r="A407" s="4" t="s">
        <v>32</v>
      </c>
      <c r="B407" s="5">
        <v>5542.0</v>
      </c>
      <c r="C407" s="5">
        <v>2222220.0</v>
      </c>
      <c r="D407" s="5">
        <v>2229340.0</v>
      </c>
      <c r="E407" s="2" t="s">
        <v>304</v>
      </c>
      <c r="F407" s="2"/>
      <c r="G407" s="2" t="s">
        <v>305</v>
      </c>
      <c r="H407" s="2"/>
      <c r="I407" s="5">
        <v>1934.0</v>
      </c>
      <c r="J407" s="2" t="s">
        <v>63</v>
      </c>
      <c r="K407" s="2" t="s">
        <v>306</v>
      </c>
      <c r="L407" s="2" t="s">
        <v>65</v>
      </c>
      <c r="M407" s="2" t="s">
        <v>2011</v>
      </c>
      <c r="N407" s="2" t="s">
        <v>35</v>
      </c>
      <c r="O407" s="16" t="str">
        <f> на кефире, ну яичко вбила, мука, песок, соль. Если что не хватает - - не беда.</f>
        <v>#ERROR!</v>
      </c>
      <c r="P407" s="2" t="s">
        <v>1300</v>
      </c>
    </row>
    <row r="408">
      <c r="A408" s="4" t="s">
        <v>32</v>
      </c>
      <c r="B408" s="5">
        <v>5546.0</v>
      </c>
      <c r="C408" s="5">
        <v>2245920.0</v>
      </c>
      <c r="D408" s="5">
        <v>2251390.0</v>
      </c>
      <c r="E408" s="2" t="s">
        <v>304</v>
      </c>
      <c r="F408" s="2"/>
      <c r="G408" s="2" t="s">
        <v>305</v>
      </c>
      <c r="H408" s="2"/>
      <c r="I408" s="5">
        <v>1934.0</v>
      </c>
      <c r="J408" s="2" t="s">
        <v>63</v>
      </c>
      <c r="K408" s="2" t="s">
        <v>306</v>
      </c>
      <c r="L408" s="2" t="s">
        <v>65</v>
      </c>
      <c r="M408" s="2" t="s">
        <v>2012</v>
      </c>
      <c r="N408" s="2" t="s">
        <v>35</v>
      </c>
      <c r="O408" s="16" t="e">
        <v>#NAME?</v>
      </c>
      <c r="P408" s="2" t="s">
        <v>1300</v>
      </c>
    </row>
    <row r="409">
      <c r="A409" s="4" t="s">
        <v>32</v>
      </c>
      <c r="B409" s="5">
        <v>5564.0</v>
      </c>
      <c r="C409" s="5">
        <v>2327400.0</v>
      </c>
      <c r="D409" s="5">
        <v>2336210.0</v>
      </c>
      <c r="E409" s="2" t="s">
        <v>304</v>
      </c>
      <c r="F409" s="2"/>
      <c r="G409" s="2" t="s">
        <v>305</v>
      </c>
      <c r="H409" s="2"/>
      <c r="I409" s="5">
        <v>1934.0</v>
      </c>
      <c r="J409" s="2" t="s">
        <v>63</v>
      </c>
      <c r="K409" s="2" t="s">
        <v>306</v>
      </c>
      <c r="L409" s="2" t="s">
        <v>65</v>
      </c>
      <c r="M409" s="2"/>
      <c r="N409" s="2" t="s">
        <v>45</v>
      </c>
      <c r="O409" s="16" t="str">
        <f> у нас завклуб есть(есь), она приезжает, в Торопе живет, приезжает сюда, и все собираются.</f>
        <v>#ERROR!</v>
      </c>
      <c r="P409" s="2" t="s">
        <v>1300</v>
      </c>
    </row>
    <row r="410">
      <c r="A410" s="4" t="s">
        <v>32</v>
      </c>
      <c r="B410" s="5">
        <v>5582.0</v>
      </c>
      <c r="C410" s="5">
        <v>2406960.0</v>
      </c>
      <c r="D410" s="5">
        <v>2408510.0</v>
      </c>
      <c r="E410" s="2" t="s">
        <v>304</v>
      </c>
      <c r="F410" s="2"/>
      <c r="G410" s="2" t="s">
        <v>305</v>
      </c>
      <c r="H410" s="2"/>
      <c r="I410" s="5">
        <v>1934.0</v>
      </c>
      <c r="J410" s="2" t="s">
        <v>63</v>
      </c>
      <c r="K410" s="2" t="s">
        <v>306</v>
      </c>
      <c r="L410" s="2" t="s">
        <v>65</v>
      </c>
      <c r="M410" s="2" t="s">
        <v>2013</v>
      </c>
      <c r="N410" s="2" t="s">
        <v>35</v>
      </c>
      <c r="O410" s="2" t="s">
        <v>2014</v>
      </c>
      <c r="P410" s="2" t="s">
        <v>1296</v>
      </c>
    </row>
    <row r="411">
      <c r="A411" s="4" t="s">
        <v>32</v>
      </c>
      <c r="B411" s="5">
        <v>5592.0</v>
      </c>
      <c r="C411" s="5">
        <v>2449340.0</v>
      </c>
      <c r="D411" s="5">
        <v>2458060.0</v>
      </c>
      <c r="E411" s="2" t="s">
        <v>304</v>
      </c>
      <c r="F411" s="2"/>
      <c r="G411" s="2" t="s">
        <v>305</v>
      </c>
      <c r="H411" s="2"/>
      <c r="I411" s="5">
        <v>1934.0</v>
      </c>
      <c r="J411" s="2" t="s">
        <v>63</v>
      </c>
      <c r="K411" s="2" t="s">
        <v>306</v>
      </c>
      <c r="L411" s="2" t="s">
        <v>65</v>
      </c>
      <c r="M411" s="2" t="s">
        <v>2015</v>
      </c>
      <c r="N411" s="2" t="s">
        <v>35</v>
      </c>
      <c r="O411" s="2" t="s">
        <v>2016</v>
      </c>
      <c r="P411" s="2" t="s">
        <v>1296</v>
      </c>
    </row>
    <row r="412">
      <c r="A412" s="4" t="s">
        <v>32</v>
      </c>
      <c r="B412" s="5">
        <v>5596.0</v>
      </c>
      <c r="C412" s="5">
        <v>2473520.0</v>
      </c>
      <c r="D412" s="5">
        <v>2475940.0</v>
      </c>
      <c r="E412" s="2" t="s">
        <v>304</v>
      </c>
      <c r="F412" s="2"/>
      <c r="G412" s="2" t="s">
        <v>305</v>
      </c>
      <c r="H412" s="2"/>
      <c r="I412" s="5">
        <v>1934.0</v>
      </c>
      <c r="J412" s="2" t="s">
        <v>63</v>
      </c>
      <c r="K412" s="2" t="s">
        <v>306</v>
      </c>
      <c r="L412" s="2" t="s">
        <v>65</v>
      </c>
      <c r="M412" s="2" t="s">
        <v>2017</v>
      </c>
      <c r="N412" s="2" t="s">
        <v>35</v>
      </c>
      <c r="O412" s="16" t="str">
        <f> ка = называется, сковородники.</f>
        <v>#ERROR!</v>
      </c>
      <c r="P412" s="2" t="s">
        <v>1300</v>
      </c>
    </row>
    <row r="413">
      <c r="A413" s="4" t="s">
        <v>32</v>
      </c>
      <c r="B413" s="5">
        <v>5634.0</v>
      </c>
      <c r="C413" s="5">
        <v>2661470.0</v>
      </c>
      <c r="D413" s="5">
        <v>2668300.0</v>
      </c>
      <c r="E413" s="2" t="s">
        <v>304</v>
      </c>
      <c r="F413" s="2"/>
      <c r="G413" s="2" t="s">
        <v>305</v>
      </c>
      <c r="H413" s="2"/>
      <c r="I413" s="5">
        <v>1934.0</v>
      </c>
      <c r="J413" s="2" t="s">
        <v>63</v>
      </c>
      <c r="K413" s="2" t="s">
        <v>306</v>
      </c>
      <c r="L413" s="2" t="s">
        <v>65</v>
      </c>
      <c r="M413" s="2" t="s">
        <v>2018</v>
      </c>
      <c r="N413" s="2" t="s">
        <v>35</v>
      </c>
      <c r="O413" s="2" t="s">
        <v>2019</v>
      </c>
      <c r="P413" s="2" t="s">
        <v>1296</v>
      </c>
    </row>
    <row r="414">
      <c r="A414" s="4" t="s">
        <v>32</v>
      </c>
      <c r="B414" s="5">
        <v>5662.0</v>
      </c>
      <c r="C414" s="5">
        <v>2778810.0</v>
      </c>
      <c r="D414" s="5">
        <v>2783990.0</v>
      </c>
      <c r="E414" s="2" t="s">
        <v>304</v>
      </c>
      <c r="F414" s="2"/>
      <c r="G414" s="2" t="s">
        <v>305</v>
      </c>
      <c r="H414" s="2"/>
      <c r="I414" s="5">
        <v>1934.0</v>
      </c>
      <c r="J414" s="2" t="s">
        <v>63</v>
      </c>
      <c r="K414" s="2" t="s">
        <v>306</v>
      </c>
      <c r="L414" s="2" t="s">
        <v>65</v>
      </c>
      <c r="M414" s="2" t="s">
        <v>2020</v>
      </c>
      <c r="N414" s="2" t="s">
        <v>35</v>
      </c>
      <c r="O414" s="2" t="s">
        <v>2021</v>
      </c>
      <c r="P414" s="2" t="s">
        <v>1296</v>
      </c>
    </row>
    <row r="415">
      <c r="A415" s="4" t="s">
        <v>32</v>
      </c>
      <c r="B415" s="5">
        <v>5662.0</v>
      </c>
      <c r="C415" s="5">
        <v>2778810.0</v>
      </c>
      <c r="D415" s="5">
        <v>2783990.0</v>
      </c>
      <c r="E415" s="2" t="s">
        <v>304</v>
      </c>
      <c r="F415" s="2"/>
      <c r="G415" s="2" t="s">
        <v>305</v>
      </c>
      <c r="H415" s="2"/>
      <c r="I415" s="5">
        <v>1934.0</v>
      </c>
      <c r="J415" s="2" t="s">
        <v>63</v>
      </c>
      <c r="K415" s="2" t="s">
        <v>306</v>
      </c>
      <c r="L415" s="2" t="s">
        <v>65</v>
      </c>
      <c r="M415" s="2" t="s">
        <v>2022</v>
      </c>
      <c r="N415" s="2" t="s">
        <v>35</v>
      </c>
      <c r="O415" s="2" t="s">
        <v>2023</v>
      </c>
      <c r="P415" s="2" t="s">
        <v>1296</v>
      </c>
    </row>
    <row r="416">
      <c r="A416" s="4" t="s">
        <v>32</v>
      </c>
      <c r="B416" s="5">
        <v>5684.0</v>
      </c>
      <c r="C416" s="5">
        <v>2900380.0</v>
      </c>
      <c r="D416" s="5">
        <v>2902450.0</v>
      </c>
      <c r="E416" s="2" t="s">
        <v>304</v>
      </c>
      <c r="F416" s="2"/>
      <c r="G416" s="2" t="s">
        <v>305</v>
      </c>
      <c r="H416" s="2"/>
      <c r="I416" s="5">
        <v>1934.0</v>
      </c>
      <c r="J416" s="2" t="s">
        <v>63</v>
      </c>
      <c r="K416" s="2" t="s">
        <v>306</v>
      </c>
      <c r="L416" s="2" t="s">
        <v>65</v>
      </c>
      <c r="M416" s="2" t="s">
        <v>2024</v>
      </c>
      <c r="N416" s="2" t="s">
        <v>35</v>
      </c>
      <c r="O416" s="2" t="s">
        <v>2025</v>
      </c>
      <c r="P416" s="2" t="s">
        <v>1296</v>
      </c>
    </row>
    <row r="417">
      <c r="A417" s="4" t="s">
        <v>32</v>
      </c>
      <c r="B417" s="5">
        <v>5686.0</v>
      </c>
      <c r="C417" s="5">
        <v>2906040.0</v>
      </c>
      <c r="D417" s="5">
        <v>2910210.0</v>
      </c>
      <c r="E417" s="2" t="s">
        <v>304</v>
      </c>
      <c r="F417" s="2"/>
      <c r="G417" s="2" t="s">
        <v>305</v>
      </c>
      <c r="H417" s="2"/>
      <c r="I417" s="5">
        <v>1934.0</v>
      </c>
      <c r="J417" s="2" t="s">
        <v>63</v>
      </c>
      <c r="K417" s="2" t="s">
        <v>306</v>
      </c>
      <c r="L417" s="2" t="s">
        <v>65</v>
      </c>
      <c r="M417" s="2" t="s">
        <v>2026</v>
      </c>
      <c r="N417" s="2" t="s">
        <v>35</v>
      </c>
      <c r="O417" s="2" t="s">
        <v>2027</v>
      </c>
      <c r="P417" s="2" t="s">
        <v>1296</v>
      </c>
    </row>
    <row r="418">
      <c r="A418" s="4" t="s">
        <v>32</v>
      </c>
      <c r="B418" s="5">
        <v>5790.0</v>
      </c>
      <c r="C418" s="5">
        <v>3342760.0</v>
      </c>
      <c r="D418" s="5">
        <v>3347200.0</v>
      </c>
      <c r="E418" s="2" t="s">
        <v>304</v>
      </c>
      <c r="F418" s="2"/>
      <c r="G418" s="2" t="s">
        <v>305</v>
      </c>
      <c r="H418" s="2"/>
      <c r="I418" s="5">
        <v>1934.0</v>
      </c>
      <c r="J418" s="2" t="s">
        <v>63</v>
      </c>
      <c r="K418" s="2" t="s">
        <v>306</v>
      </c>
      <c r="L418" s="2" t="s">
        <v>65</v>
      </c>
      <c r="M418" s="2" t="s">
        <v>2028</v>
      </c>
      <c r="N418" s="2" t="s">
        <v>35</v>
      </c>
      <c r="O418" s="16" t="e">
        <v>#NAME?</v>
      </c>
      <c r="P418" s="2" t="s">
        <v>1300</v>
      </c>
    </row>
    <row r="419">
      <c r="A419" s="4" t="s">
        <v>32</v>
      </c>
      <c r="B419" s="5">
        <v>5848.0</v>
      </c>
      <c r="C419" s="5">
        <v>3587640.0</v>
      </c>
      <c r="D419" s="5">
        <v>3591500.0</v>
      </c>
      <c r="E419" s="2" t="s">
        <v>304</v>
      </c>
      <c r="F419" s="2"/>
      <c r="G419" s="2" t="s">
        <v>305</v>
      </c>
      <c r="H419" s="2"/>
      <c r="I419" s="5">
        <v>1934.0</v>
      </c>
      <c r="J419" s="2" t="s">
        <v>63</v>
      </c>
      <c r="K419" s="2" t="s">
        <v>306</v>
      </c>
      <c r="L419" s="2" t="s">
        <v>65</v>
      </c>
      <c r="M419" s="2" t="s">
        <v>2029</v>
      </c>
      <c r="N419" s="2" t="s">
        <v>35</v>
      </c>
      <c r="O419" s="2" t="s">
        <v>2030</v>
      </c>
      <c r="P419" s="2" t="s">
        <v>1298</v>
      </c>
    </row>
    <row r="420">
      <c r="A420" s="4" t="s">
        <v>32</v>
      </c>
      <c r="B420" s="5">
        <v>5848.0</v>
      </c>
      <c r="C420" s="5">
        <v>3587640.0</v>
      </c>
      <c r="D420" s="5">
        <v>3591500.0</v>
      </c>
      <c r="E420" s="2" t="s">
        <v>304</v>
      </c>
      <c r="F420" s="2"/>
      <c r="G420" s="2" t="s">
        <v>305</v>
      </c>
      <c r="H420" s="2"/>
      <c r="I420" s="5">
        <v>1934.0</v>
      </c>
      <c r="J420" s="2" t="s">
        <v>63</v>
      </c>
      <c r="K420" s="2" t="s">
        <v>306</v>
      </c>
      <c r="L420" s="2" t="s">
        <v>65</v>
      </c>
      <c r="M420" s="2" t="s">
        <v>2031</v>
      </c>
      <c r="N420" s="2" t="s">
        <v>35</v>
      </c>
      <c r="O420" s="2" t="s">
        <v>2032</v>
      </c>
      <c r="P420" s="2" t="s">
        <v>1316</v>
      </c>
    </row>
    <row r="421">
      <c r="A421" s="4" t="s">
        <v>32</v>
      </c>
      <c r="B421" s="5">
        <v>5862.0</v>
      </c>
      <c r="C421" s="5">
        <v>3653850.0</v>
      </c>
      <c r="D421" s="5">
        <v>3656360.0</v>
      </c>
      <c r="E421" s="2" t="s">
        <v>304</v>
      </c>
      <c r="F421" s="2"/>
      <c r="G421" s="2" t="s">
        <v>305</v>
      </c>
      <c r="H421" s="2"/>
      <c r="I421" s="5">
        <v>1934.0</v>
      </c>
      <c r="J421" s="2" t="s">
        <v>63</v>
      </c>
      <c r="K421" s="2" t="s">
        <v>306</v>
      </c>
      <c r="L421" s="2" t="s">
        <v>65</v>
      </c>
      <c r="M421" s="2" t="s">
        <v>2033</v>
      </c>
      <c r="N421" s="2" t="s">
        <v>35</v>
      </c>
      <c r="O421" s="16" t="e">
        <v>#NAME?</v>
      </c>
      <c r="P421" s="2" t="s">
        <v>1300</v>
      </c>
    </row>
    <row r="422">
      <c r="A422" s="4" t="s">
        <v>32</v>
      </c>
      <c r="B422" s="5">
        <v>55.0</v>
      </c>
      <c r="C422" s="5">
        <v>1116181.0</v>
      </c>
      <c r="D422" s="5">
        <v>1121630.0</v>
      </c>
      <c r="E422" s="2" t="s">
        <v>33</v>
      </c>
      <c r="F422" s="2"/>
      <c r="G422" s="2"/>
      <c r="H422" s="2"/>
      <c r="I422" s="2"/>
      <c r="J422" s="2"/>
      <c r="K422" s="2"/>
      <c r="L422" s="2"/>
      <c r="M422" s="2" t="s">
        <v>2034</v>
      </c>
      <c r="N422" s="2" t="s">
        <v>89</v>
      </c>
      <c r="O422" s="2" t="s">
        <v>2035</v>
      </c>
      <c r="P422" s="2" t="s">
        <v>1296</v>
      </c>
    </row>
    <row r="423">
      <c r="A423" s="4" t="s">
        <v>32</v>
      </c>
      <c r="B423" s="5">
        <v>278.0</v>
      </c>
      <c r="C423" s="5">
        <v>186820.0</v>
      </c>
      <c r="D423" s="5">
        <v>189100.0</v>
      </c>
      <c r="E423" s="2" t="s">
        <v>61</v>
      </c>
      <c r="F423" s="2"/>
      <c r="G423" s="2" t="s">
        <v>62</v>
      </c>
      <c r="H423" s="2"/>
      <c r="I423" s="5">
        <v>1937.0</v>
      </c>
      <c r="J423" s="2" t="s">
        <v>63</v>
      </c>
      <c r="K423" s="2" t="s">
        <v>64</v>
      </c>
      <c r="L423" s="2" t="s">
        <v>65</v>
      </c>
      <c r="M423" s="2"/>
      <c r="N423" s="2" t="s">
        <v>333</v>
      </c>
      <c r="O423" s="2" t="s">
        <v>2036</v>
      </c>
      <c r="P423" s="2" t="s">
        <v>1296</v>
      </c>
    </row>
    <row r="424">
      <c r="A424" s="4" t="s">
        <v>32</v>
      </c>
      <c r="B424" s="5">
        <v>464.0</v>
      </c>
      <c r="C424" s="5">
        <v>1317590.0</v>
      </c>
      <c r="D424" s="5">
        <v>1319560.0</v>
      </c>
      <c r="E424" s="2" t="s">
        <v>61</v>
      </c>
      <c r="F424" s="2"/>
      <c r="G424" s="2" t="s">
        <v>62</v>
      </c>
      <c r="H424" s="2"/>
      <c r="I424" s="5">
        <v>1937.0</v>
      </c>
      <c r="J424" s="2" t="s">
        <v>63</v>
      </c>
      <c r="K424" s="2" t="s">
        <v>64</v>
      </c>
      <c r="L424" s="2" t="s">
        <v>65</v>
      </c>
      <c r="M424" s="2" t="s">
        <v>2037</v>
      </c>
      <c r="N424" s="2" t="s">
        <v>89</v>
      </c>
      <c r="O424" s="2" t="s">
        <v>2038</v>
      </c>
      <c r="P424" s="2" t="s">
        <v>1296</v>
      </c>
    </row>
    <row r="425">
      <c r="A425" s="4" t="s">
        <v>32</v>
      </c>
      <c r="B425" s="5">
        <v>690.0</v>
      </c>
      <c r="C425" s="5">
        <v>2532970.0</v>
      </c>
      <c r="D425" s="5">
        <v>2540350.0</v>
      </c>
      <c r="E425" s="2" t="s">
        <v>61</v>
      </c>
      <c r="F425" s="2"/>
      <c r="G425" s="2" t="s">
        <v>62</v>
      </c>
      <c r="H425" s="2"/>
      <c r="I425" s="5">
        <v>1937.0</v>
      </c>
      <c r="J425" s="2" t="s">
        <v>63</v>
      </c>
      <c r="K425" s="2" t="s">
        <v>64</v>
      </c>
      <c r="L425" s="2" t="s">
        <v>65</v>
      </c>
      <c r="M425" s="2" t="s">
        <v>2039</v>
      </c>
      <c r="N425" s="2" t="s">
        <v>89</v>
      </c>
      <c r="O425" s="2" t="s">
        <v>2040</v>
      </c>
      <c r="P425" s="2" t="s">
        <v>1296</v>
      </c>
    </row>
    <row r="426">
      <c r="A426" s="4" t="s">
        <v>32</v>
      </c>
      <c r="B426" s="5">
        <v>953.0</v>
      </c>
      <c r="C426" s="5">
        <v>228620.0</v>
      </c>
      <c r="D426" s="5">
        <v>238010.0</v>
      </c>
      <c r="E426" s="2" t="s">
        <v>110</v>
      </c>
      <c r="F426" s="2"/>
      <c r="G426" s="2" t="s">
        <v>111</v>
      </c>
      <c r="H426" s="2"/>
      <c r="I426" s="5">
        <v>1954.0</v>
      </c>
      <c r="J426" s="2" t="s">
        <v>112</v>
      </c>
      <c r="K426" s="2" t="s">
        <v>65</v>
      </c>
      <c r="L426" s="2" t="s">
        <v>65</v>
      </c>
      <c r="M426" s="2" t="s">
        <v>2041</v>
      </c>
      <c r="N426" s="2" t="s">
        <v>89</v>
      </c>
      <c r="O426" s="2" t="s">
        <v>2042</v>
      </c>
      <c r="P426" s="2" t="s">
        <v>1296</v>
      </c>
    </row>
    <row r="427">
      <c r="A427" s="4" t="s">
        <v>32</v>
      </c>
      <c r="B427" s="5">
        <v>1016.0</v>
      </c>
      <c r="C427" s="5">
        <v>631346.0</v>
      </c>
      <c r="D427" s="5">
        <v>635559.0</v>
      </c>
      <c r="E427" s="2" t="s">
        <v>110</v>
      </c>
      <c r="F427" s="2"/>
      <c r="G427" s="2" t="s">
        <v>111</v>
      </c>
      <c r="H427" s="2"/>
      <c r="I427" s="5">
        <v>1954.0</v>
      </c>
      <c r="J427" s="2" t="s">
        <v>112</v>
      </c>
      <c r="K427" s="2" t="s">
        <v>65</v>
      </c>
      <c r="L427" s="2" t="s">
        <v>65</v>
      </c>
      <c r="M427" s="2" t="s">
        <v>2043</v>
      </c>
      <c r="N427" s="2" t="s">
        <v>89</v>
      </c>
      <c r="O427" s="2" t="s">
        <v>2044</v>
      </c>
      <c r="P427" s="2" t="s">
        <v>1296</v>
      </c>
    </row>
    <row r="428">
      <c r="A428" s="4" t="s">
        <v>32</v>
      </c>
      <c r="B428" s="5">
        <v>1071.0</v>
      </c>
      <c r="C428" s="5">
        <v>967712.0</v>
      </c>
      <c r="D428" s="5">
        <v>973080.0</v>
      </c>
      <c r="E428" s="2" t="s">
        <v>110</v>
      </c>
      <c r="F428" s="2"/>
      <c r="G428" s="2" t="s">
        <v>111</v>
      </c>
      <c r="H428" s="2"/>
      <c r="I428" s="5">
        <v>1954.0</v>
      </c>
      <c r="J428" s="2" t="s">
        <v>112</v>
      </c>
      <c r="K428" s="2" t="s">
        <v>65</v>
      </c>
      <c r="L428" s="2" t="s">
        <v>65</v>
      </c>
      <c r="M428" s="2" t="s">
        <v>2045</v>
      </c>
      <c r="N428" s="2" t="s">
        <v>89</v>
      </c>
      <c r="O428" s="2" t="s">
        <v>2046</v>
      </c>
      <c r="P428" s="2" t="s">
        <v>1296</v>
      </c>
    </row>
    <row r="429">
      <c r="A429" s="4" t="s">
        <v>32</v>
      </c>
      <c r="B429" s="5">
        <v>1165.0</v>
      </c>
      <c r="C429" s="5">
        <v>1565079.0</v>
      </c>
      <c r="D429" s="5">
        <v>1571292.0</v>
      </c>
      <c r="E429" s="2" t="s">
        <v>110</v>
      </c>
      <c r="F429" s="2"/>
      <c r="G429" s="2" t="s">
        <v>111</v>
      </c>
      <c r="H429" s="2"/>
      <c r="I429" s="5">
        <v>1954.0</v>
      </c>
      <c r="J429" s="2" t="s">
        <v>112</v>
      </c>
      <c r="K429" s="2" t="s">
        <v>65</v>
      </c>
      <c r="L429" s="2" t="s">
        <v>65</v>
      </c>
      <c r="M429" s="2" t="s">
        <v>2047</v>
      </c>
      <c r="N429" s="2" t="s">
        <v>89</v>
      </c>
      <c r="O429" s="2" t="s">
        <v>2048</v>
      </c>
      <c r="P429" s="2" t="s">
        <v>1296</v>
      </c>
    </row>
    <row r="430">
      <c r="A430" s="4" t="s">
        <v>32</v>
      </c>
      <c r="B430" s="5">
        <v>1185.0</v>
      </c>
      <c r="C430" s="5">
        <v>1700652.0</v>
      </c>
      <c r="D430" s="5">
        <v>1706386.0</v>
      </c>
      <c r="E430" s="2" t="s">
        <v>110</v>
      </c>
      <c r="F430" s="2"/>
      <c r="G430" s="2" t="s">
        <v>111</v>
      </c>
      <c r="H430" s="2"/>
      <c r="I430" s="5">
        <v>1954.0</v>
      </c>
      <c r="J430" s="2" t="s">
        <v>112</v>
      </c>
      <c r="K430" s="2" t="s">
        <v>65</v>
      </c>
      <c r="L430" s="2" t="s">
        <v>65</v>
      </c>
      <c r="M430" s="2" t="s">
        <v>2049</v>
      </c>
      <c r="N430" s="2" t="s">
        <v>89</v>
      </c>
      <c r="O430" s="2" t="s">
        <v>2050</v>
      </c>
      <c r="P430" s="2" t="s">
        <v>1296</v>
      </c>
    </row>
    <row r="431">
      <c r="A431" s="4" t="s">
        <v>32</v>
      </c>
      <c r="B431" s="5">
        <v>1185.0</v>
      </c>
      <c r="C431" s="5">
        <v>1700652.0</v>
      </c>
      <c r="D431" s="5">
        <v>1706386.0</v>
      </c>
      <c r="E431" s="2" t="s">
        <v>110</v>
      </c>
      <c r="F431" s="2"/>
      <c r="G431" s="2" t="s">
        <v>111</v>
      </c>
      <c r="H431" s="2"/>
      <c r="I431" s="5">
        <v>1954.0</v>
      </c>
      <c r="J431" s="2" t="s">
        <v>112</v>
      </c>
      <c r="K431" s="2" t="s">
        <v>65</v>
      </c>
      <c r="L431" s="2" t="s">
        <v>65</v>
      </c>
      <c r="M431" s="2" t="s">
        <v>2051</v>
      </c>
      <c r="N431" s="2" t="s">
        <v>89</v>
      </c>
      <c r="O431" s="2" t="s">
        <v>2052</v>
      </c>
      <c r="P431" s="2" t="s">
        <v>1296</v>
      </c>
    </row>
    <row r="432">
      <c r="A432" s="4" t="s">
        <v>32</v>
      </c>
      <c r="B432" s="5">
        <v>1496.0</v>
      </c>
      <c r="C432" s="5">
        <v>212970.0</v>
      </c>
      <c r="D432" s="5">
        <v>223930.0</v>
      </c>
      <c r="E432" s="2" t="s">
        <v>167</v>
      </c>
      <c r="F432" s="2"/>
      <c r="G432" s="2"/>
      <c r="H432" s="2"/>
      <c r="I432" s="2"/>
      <c r="J432" s="2"/>
      <c r="K432" s="2"/>
      <c r="L432" s="2"/>
      <c r="M432" s="2" t="s">
        <v>2053</v>
      </c>
      <c r="N432" s="2" t="s">
        <v>89</v>
      </c>
      <c r="O432" s="2" t="s">
        <v>2054</v>
      </c>
      <c r="P432" s="2" t="s">
        <v>1296</v>
      </c>
    </row>
    <row r="433">
      <c r="A433" s="4" t="s">
        <v>32</v>
      </c>
      <c r="B433" s="5">
        <v>1549.0</v>
      </c>
      <c r="C433" s="5">
        <v>465560.0</v>
      </c>
      <c r="D433" s="5">
        <v>470430.0</v>
      </c>
      <c r="E433" s="2" t="s">
        <v>167</v>
      </c>
      <c r="F433" s="2"/>
      <c r="G433" s="2"/>
      <c r="H433" s="2"/>
      <c r="I433" s="2"/>
      <c r="J433" s="2"/>
      <c r="K433" s="2"/>
      <c r="L433" s="2"/>
      <c r="M433" s="2" t="s">
        <v>2055</v>
      </c>
      <c r="N433" s="2" t="s">
        <v>89</v>
      </c>
      <c r="O433" s="2" t="s">
        <v>2056</v>
      </c>
      <c r="P433" s="2" t="s">
        <v>1296</v>
      </c>
    </row>
    <row r="434">
      <c r="A434" s="4" t="s">
        <v>32</v>
      </c>
      <c r="B434" s="5">
        <v>1621.0</v>
      </c>
      <c r="C434" s="5">
        <v>798670.0</v>
      </c>
      <c r="D434" s="5">
        <v>802710.0</v>
      </c>
      <c r="E434" s="2" t="s">
        <v>167</v>
      </c>
      <c r="F434" s="2"/>
      <c r="G434" s="2"/>
      <c r="H434" s="2"/>
      <c r="I434" s="2"/>
      <c r="J434" s="2"/>
      <c r="K434" s="2"/>
      <c r="L434" s="2"/>
      <c r="M434" s="2" t="s">
        <v>410</v>
      </c>
      <c r="N434" s="2" t="s">
        <v>89</v>
      </c>
      <c r="O434" s="2" t="s">
        <v>2057</v>
      </c>
      <c r="P434" s="2" t="s">
        <v>1298</v>
      </c>
    </row>
    <row r="435">
      <c r="A435" s="4" t="s">
        <v>32</v>
      </c>
      <c r="B435" s="5">
        <v>1912.0</v>
      </c>
      <c r="C435" s="5">
        <v>2206990.0</v>
      </c>
      <c r="D435" s="5">
        <v>2213100.0</v>
      </c>
      <c r="E435" s="2" t="s">
        <v>167</v>
      </c>
      <c r="F435" s="2"/>
      <c r="G435" s="2"/>
      <c r="H435" s="2"/>
      <c r="I435" s="2"/>
      <c r="J435" s="2"/>
      <c r="K435" s="2"/>
      <c r="L435" s="2"/>
      <c r="M435" s="2" t="s">
        <v>2058</v>
      </c>
      <c r="N435" s="2" t="s">
        <v>89</v>
      </c>
      <c r="O435" s="2" t="s">
        <v>2059</v>
      </c>
      <c r="P435" s="2" t="s">
        <v>1300</v>
      </c>
    </row>
    <row r="436">
      <c r="A436" s="4" t="s">
        <v>32</v>
      </c>
      <c r="B436" s="5">
        <v>2024.0</v>
      </c>
      <c r="C436" s="5">
        <v>2654960.0</v>
      </c>
      <c r="D436" s="5">
        <v>2657090.0</v>
      </c>
      <c r="E436" s="2" t="s">
        <v>167</v>
      </c>
      <c r="F436" s="2"/>
      <c r="G436" s="2"/>
      <c r="H436" s="2"/>
      <c r="I436" s="2"/>
      <c r="J436" s="2"/>
      <c r="K436" s="2"/>
      <c r="L436" s="2"/>
      <c r="M436" s="2" t="s">
        <v>2060</v>
      </c>
      <c r="N436" s="2" t="s">
        <v>89</v>
      </c>
      <c r="O436" s="2" t="s">
        <v>2061</v>
      </c>
      <c r="P436" s="2" t="s">
        <v>1296</v>
      </c>
    </row>
    <row r="437">
      <c r="A437" s="4" t="s">
        <v>32</v>
      </c>
      <c r="B437" s="5">
        <v>2287.0</v>
      </c>
      <c r="C437" s="5">
        <v>3637905.0</v>
      </c>
      <c r="D437" s="5">
        <v>3642740.0</v>
      </c>
      <c r="E437" s="2" t="s">
        <v>167</v>
      </c>
      <c r="F437" s="2"/>
      <c r="G437" s="2"/>
      <c r="H437" s="2"/>
      <c r="I437" s="2"/>
      <c r="J437" s="2"/>
      <c r="K437" s="2"/>
      <c r="L437" s="2"/>
      <c r="M437" s="2" t="s">
        <v>2062</v>
      </c>
      <c r="N437" s="2" t="s">
        <v>89</v>
      </c>
      <c r="O437" s="2" t="s">
        <v>2063</v>
      </c>
      <c r="P437" s="2" t="s">
        <v>1296</v>
      </c>
    </row>
    <row r="438">
      <c r="A438" s="4" t="s">
        <v>32</v>
      </c>
      <c r="B438" s="5">
        <v>2769.0</v>
      </c>
      <c r="C438" s="5">
        <v>1501319.0</v>
      </c>
      <c r="D438" s="5">
        <v>1503652.0</v>
      </c>
      <c r="E438" s="2" t="s">
        <v>204</v>
      </c>
      <c r="F438" s="2"/>
      <c r="G438" s="2"/>
      <c r="H438" s="2"/>
      <c r="I438" s="2"/>
      <c r="J438" s="2"/>
      <c r="K438" s="2"/>
      <c r="L438" s="2"/>
      <c r="M438" s="2" t="s">
        <v>2064</v>
      </c>
      <c r="N438" s="2" t="s">
        <v>89</v>
      </c>
      <c r="O438" s="2" t="s">
        <v>2065</v>
      </c>
      <c r="P438" s="2" t="s">
        <v>1296</v>
      </c>
    </row>
    <row r="439">
      <c r="A439" s="4" t="s">
        <v>32</v>
      </c>
      <c r="B439" s="5">
        <v>2975.0</v>
      </c>
      <c r="C439" s="5">
        <v>2394826.0</v>
      </c>
      <c r="D439" s="5">
        <v>2398423.0</v>
      </c>
      <c r="E439" s="2" t="s">
        <v>204</v>
      </c>
      <c r="F439" s="2"/>
      <c r="G439" s="2"/>
      <c r="H439" s="2"/>
      <c r="I439" s="2"/>
      <c r="J439" s="2"/>
      <c r="K439" s="2"/>
      <c r="L439" s="2"/>
      <c r="M439" s="2" t="s">
        <v>2066</v>
      </c>
      <c r="N439" s="2" t="s">
        <v>89</v>
      </c>
      <c r="O439" s="2" t="s">
        <v>2067</v>
      </c>
      <c r="P439" s="2" t="s">
        <v>1296</v>
      </c>
    </row>
    <row r="440">
      <c r="A440" s="4" t="s">
        <v>32</v>
      </c>
      <c r="B440" s="5">
        <v>2981.0</v>
      </c>
      <c r="C440" s="5">
        <v>2427130.0</v>
      </c>
      <c r="D440" s="5">
        <v>2431337.0</v>
      </c>
      <c r="E440" s="2" t="s">
        <v>204</v>
      </c>
      <c r="F440" s="2"/>
      <c r="G440" s="2"/>
      <c r="H440" s="2"/>
      <c r="I440" s="2"/>
      <c r="J440" s="2"/>
      <c r="K440" s="2"/>
      <c r="L440" s="2"/>
      <c r="M440" s="2" t="s">
        <v>2068</v>
      </c>
      <c r="N440" s="2" t="s">
        <v>89</v>
      </c>
      <c r="O440" s="2" t="s">
        <v>2069</v>
      </c>
      <c r="P440" s="2" t="s">
        <v>1296</v>
      </c>
    </row>
    <row r="441">
      <c r="A441" s="4" t="s">
        <v>32</v>
      </c>
      <c r="B441" s="5">
        <v>3147.0</v>
      </c>
      <c r="C441" s="5">
        <v>3355881.0</v>
      </c>
      <c r="D441" s="5">
        <v>3359868.0</v>
      </c>
      <c r="E441" s="2" t="s">
        <v>204</v>
      </c>
      <c r="F441" s="2"/>
      <c r="G441" s="2"/>
      <c r="H441" s="2"/>
      <c r="I441" s="2"/>
      <c r="J441" s="2"/>
      <c r="K441" s="2"/>
      <c r="L441" s="2"/>
      <c r="M441" s="2"/>
      <c r="N441" s="2" t="s">
        <v>333</v>
      </c>
      <c r="O441" s="2" t="s">
        <v>2070</v>
      </c>
      <c r="P441" s="2" t="s">
        <v>1296</v>
      </c>
    </row>
    <row r="442">
      <c r="A442" s="4" t="s">
        <v>32</v>
      </c>
      <c r="B442" s="5">
        <v>3147.0</v>
      </c>
      <c r="C442" s="5">
        <v>3355881.0</v>
      </c>
      <c r="D442" s="5">
        <v>3359868.0</v>
      </c>
      <c r="E442" s="2" t="s">
        <v>204</v>
      </c>
      <c r="F442" s="2"/>
      <c r="G442" s="2"/>
      <c r="H442" s="2"/>
      <c r="I442" s="2"/>
      <c r="J442" s="2"/>
      <c r="K442" s="2"/>
      <c r="L442" s="2"/>
      <c r="M442" s="2" t="s">
        <v>2071</v>
      </c>
      <c r="N442" s="2" t="s">
        <v>89</v>
      </c>
      <c r="O442" s="2" t="s">
        <v>2072</v>
      </c>
      <c r="P442" s="2" t="s">
        <v>1296</v>
      </c>
    </row>
    <row r="443">
      <c r="A443" s="4" t="s">
        <v>32</v>
      </c>
      <c r="B443" s="5">
        <v>3148.0</v>
      </c>
      <c r="C443" s="5">
        <v>3359973.0</v>
      </c>
      <c r="D443" s="5">
        <v>3372749.0</v>
      </c>
      <c r="E443" s="2" t="s">
        <v>204</v>
      </c>
      <c r="F443" s="2"/>
      <c r="G443" s="2"/>
      <c r="H443" s="2"/>
      <c r="I443" s="2"/>
      <c r="J443" s="2"/>
      <c r="K443" s="2"/>
      <c r="L443" s="2"/>
      <c r="M443" s="2"/>
      <c r="N443" s="2" t="s">
        <v>333</v>
      </c>
      <c r="O443" s="2" t="s">
        <v>2073</v>
      </c>
      <c r="P443" s="2" t="s">
        <v>1296</v>
      </c>
    </row>
    <row r="444">
      <c r="A444" s="4" t="s">
        <v>32</v>
      </c>
      <c r="B444" s="5">
        <v>3174.0</v>
      </c>
      <c r="C444" s="5">
        <v>3493765.0</v>
      </c>
      <c r="D444" s="5">
        <v>3504165.0</v>
      </c>
      <c r="E444" s="2" t="s">
        <v>204</v>
      </c>
      <c r="F444" s="2"/>
      <c r="G444" s="2"/>
      <c r="H444" s="2"/>
      <c r="I444" s="2"/>
      <c r="J444" s="2"/>
      <c r="K444" s="2"/>
      <c r="L444" s="2"/>
      <c r="M444" s="2" t="s">
        <v>2074</v>
      </c>
      <c r="N444" s="2" t="s">
        <v>89</v>
      </c>
      <c r="O444" s="2" t="s">
        <v>2075</v>
      </c>
      <c r="P444" s="2" t="s">
        <v>1296</v>
      </c>
    </row>
    <row r="445">
      <c r="A445" s="4" t="s">
        <v>32</v>
      </c>
      <c r="B445" s="5">
        <v>3669.0</v>
      </c>
      <c r="C445" s="5">
        <v>827870.0</v>
      </c>
      <c r="D445" s="5">
        <v>830670.0</v>
      </c>
      <c r="E445" s="2" t="s">
        <v>248</v>
      </c>
      <c r="F445" s="2"/>
      <c r="G445" s="2"/>
      <c r="H445" s="2"/>
      <c r="I445" s="2"/>
      <c r="J445" s="2"/>
      <c r="K445" s="2"/>
      <c r="L445" s="2"/>
      <c r="M445" s="2" t="s">
        <v>2076</v>
      </c>
      <c r="N445" s="2" t="s">
        <v>89</v>
      </c>
      <c r="O445" s="2" t="s">
        <v>2077</v>
      </c>
      <c r="P445" s="2" t="s">
        <v>1296</v>
      </c>
    </row>
    <row r="446">
      <c r="A446" s="4" t="s">
        <v>32</v>
      </c>
      <c r="B446" s="5">
        <v>3678.0</v>
      </c>
      <c r="C446" s="5">
        <v>857640.0</v>
      </c>
      <c r="D446" s="5">
        <v>862840.0</v>
      </c>
      <c r="E446" s="2" t="s">
        <v>248</v>
      </c>
      <c r="F446" s="2"/>
      <c r="G446" s="2"/>
      <c r="H446" s="2"/>
      <c r="I446" s="2"/>
      <c r="J446" s="2"/>
      <c r="K446" s="2"/>
      <c r="L446" s="2"/>
      <c r="M446" s="2" t="s">
        <v>2078</v>
      </c>
      <c r="N446" s="2" t="s">
        <v>89</v>
      </c>
      <c r="O446" s="2" t="s">
        <v>2079</v>
      </c>
      <c r="P446" s="2" t="s">
        <v>1296</v>
      </c>
    </row>
    <row r="447">
      <c r="A447" s="4" t="s">
        <v>32</v>
      </c>
      <c r="B447" s="5">
        <v>3721.0</v>
      </c>
      <c r="C447" s="5">
        <v>1021250.0</v>
      </c>
      <c r="D447" s="5">
        <v>1022670.0</v>
      </c>
      <c r="E447" s="2" t="s">
        <v>248</v>
      </c>
      <c r="F447" s="2"/>
      <c r="G447" s="2"/>
      <c r="H447" s="2"/>
      <c r="I447" s="2"/>
      <c r="J447" s="2"/>
      <c r="K447" s="2"/>
      <c r="L447" s="2"/>
      <c r="M447" s="2" t="s">
        <v>2080</v>
      </c>
      <c r="N447" s="2" t="s">
        <v>89</v>
      </c>
      <c r="O447" s="2" t="s">
        <v>2081</v>
      </c>
      <c r="P447" s="2" t="s">
        <v>1296</v>
      </c>
    </row>
    <row r="448">
      <c r="A448" s="4" t="s">
        <v>32</v>
      </c>
      <c r="B448" s="5">
        <v>4347.0</v>
      </c>
      <c r="C448" s="5">
        <v>2975300.0</v>
      </c>
      <c r="D448" s="5">
        <v>2987650.0</v>
      </c>
      <c r="E448" s="2" t="s">
        <v>248</v>
      </c>
      <c r="F448" s="2"/>
      <c r="G448" s="2"/>
      <c r="H448" s="2"/>
      <c r="I448" s="2"/>
      <c r="J448" s="2"/>
      <c r="K448" s="2"/>
      <c r="L448" s="2"/>
      <c r="M448" s="2" t="s">
        <v>2082</v>
      </c>
      <c r="N448" s="2" t="s">
        <v>89</v>
      </c>
      <c r="O448" s="2" t="s">
        <v>2083</v>
      </c>
      <c r="P448" s="2" t="s">
        <v>1296</v>
      </c>
    </row>
    <row r="449">
      <c r="A449" s="4" t="s">
        <v>32</v>
      </c>
      <c r="B449" s="5">
        <v>5172.0</v>
      </c>
      <c r="C449" s="5">
        <v>580667.0</v>
      </c>
      <c r="D449" s="5">
        <v>611095.0</v>
      </c>
      <c r="E449" s="2" t="s">
        <v>284</v>
      </c>
      <c r="F449" s="2"/>
      <c r="G449" s="2"/>
      <c r="H449" s="2"/>
      <c r="I449" s="2"/>
      <c r="J449" s="2"/>
      <c r="K449" s="2"/>
      <c r="L449" s="2"/>
      <c r="M449" s="2" t="s">
        <v>2084</v>
      </c>
      <c r="N449" s="2" t="s">
        <v>89</v>
      </c>
      <c r="O449" s="2" t="s">
        <v>2085</v>
      </c>
      <c r="P449" s="2" t="s">
        <v>1296</v>
      </c>
    </row>
    <row r="450">
      <c r="A450" s="4" t="s">
        <v>32</v>
      </c>
      <c r="B450" s="5">
        <v>5195.0</v>
      </c>
      <c r="C450" s="5">
        <v>1141653.0</v>
      </c>
      <c r="D450" s="5">
        <v>1177654.0</v>
      </c>
      <c r="E450" s="2" t="s">
        <v>284</v>
      </c>
      <c r="F450" s="2"/>
      <c r="G450" s="2"/>
      <c r="H450" s="2"/>
      <c r="I450" s="2"/>
      <c r="J450" s="2"/>
      <c r="K450" s="2"/>
      <c r="L450" s="2"/>
      <c r="M450" s="2" t="s">
        <v>2086</v>
      </c>
      <c r="N450" s="2" t="s">
        <v>89</v>
      </c>
      <c r="O450" s="16" t="str">
        <f> созовёшь гостей каких, то созывали в Иваны, в Крещение не ходили, а в Иваны приходили.</f>
        <v>#ERROR!</v>
      </c>
      <c r="P450" s="2" t="s">
        <v>1300</v>
      </c>
    </row>
    <row r="451">
      <c r="A451" s="4" t="s">
        <v>32</v>
      </c>
      <c r="B451" s="5">
        <v>5258.0</v>
      </c>
      <c r="C451" s="5">
        <v>2293500.0</v>
      </c>
      <c r="D451" s="5">
        <v>2390622.0</v>
      </c>
      <c r="E451" s="2" t="s">
        <v>284</v>
      </c>
      <c r="F451" s="2"/>
      <c r="G451" s="2"/>
      <c r="H451" s="2"/>
      <c r="I451" s="2"/>
      <c r="J451" s="2"/>
      <c r="K451" s="2"/>
      <c r="L451" s="2"/>
      <c r="M451" s="2" t="s">
        <v>2087</v>
      </c>
      <c r="N451" s="2" t="s">
        <v>89</v>
      </c>
      <c r="O451" s="2" t="s">
        <v>2088</v>
      </c>
      <c r="P451" s="2" t="s">
        <v>1296</v>
      </c>
    </row>
    <row r="452">
      <c r="A452" s="4" t="s">
        <v>32</v>
      </c>
      <c r="B452" s="5">
        <v>5259.0</v>
      </c>
      <c r="C452" s="5">
        <v>2394800.0</v>
      </c>
      <c r="D452" s="5">
        <v>2494639.0</v>
      </c>
      <c r="E452" s="2" t="s">
        <v>284</v>
      </c>
      <c r="F452" s="2"/>
      <c r="G452" s="2"/>
      <c r="H452" s="2"/>
      <c r="I452" s="2"/>
      <c r="J452" s="2"/>
      <c r="K452" s="2"/>
      <c r="L452" s="2"/>
      <c r="M452" s="2" t="s">
        <v>2089</v>
      </c>
      <c r="N452" s="2" t="s">
        <v>89</v>
      </c>
      <c r="O452" s="2" t="s">
        <v>2090</v>
      </c>
      <c r="P452" s="2" t="s">
        <v>1296</v>
      </c>
    </row>
    <row r="453">
      <c r="A453" s="4" t="s">
        <v>32</v>
      </c>
      <c r="B453" s="5">
        <v>5261.0</v>
      </c>
      <c r="C453" s="5">
        <v>2614400.0</v>
      </c>
      <c r="D453" s="5">
        <v>2672000.0</v>
      </c>
      <c r="E453" s="2" t="s">
        <v>284</v>
      </c>
      <c r="F453" s="2"/>
      <c r="G453" s="2"/>
      <c r="H453" s="2"/>
      <c r="I453" s="2"/>
      <c r="J453" s="2"/>
      <c r="K453" s="2"/>
      <c r="L453" s="2"/>
      <c r="M453" s="2" t="s">
        <v>2091</v>
      </c>
      <c r="N453" s="2" t="s">
        <v>89</v>
      </c>
      <c r="O453" s="2" t="s">
        <v>2092</v>
      </c>
      <c r="P453" s="2" t="s">
        <v>1296</v>
      </c>
    </row>
    <row r="454">
      <c r="A454" s="4" t="s">
        <v>32</v>
      </c>
      <c r="B454" s="5">
        <v>5269.0</v>
      </c>
      <c r="C454" s="5">
        <v>2989600.0</v>
      </c>
      <c r="D454" s="5">
        <v>3072300.0</v>
      </c>
      <c r="E454" s="2" t="s">
        <v>284</v>
      </c>
      <c r="F454" s="2"/>
      <c r="G454" s="2"/>
      <c r="H454" s="2"/>
      <c r="I454" s="2"/>
      <c r="J454" s="2"/>
      <c r="K454" s="2"/>
      <c r="L454" s="2"/>
      <c r="M454" s="2" t="s">
        <v>2093</v>
      </c>
      <c r="N454" s="2" t="s">
        <v>89</v>
      </c>
      <c r="O454" s="2" t="s">
        <v>2094</v>
      </c>
      <c r="P454" s="2" t="s">
        <v>1296</v>
      </c>
    </row>
    <row r="455">
      <c r="A455" s="4" t="s">
        <v>32</v>
      </c>
      <c r="B455" s="5">
        <v>5300.0</v>
      </c>
      <c r="C455" s="5">
        <v>3910800.0</v>
      </c>
      <c r="D455" s="5">
        <v>3957840.0</v>
      </c>
      <c r="E455" s="2" t="s">
        <v>284</v>
      </c>
      <c r="F455" s="2"/>
      <c r="G455" s="2"/>
      <c r="H455" s="2"/>
      <c r="I455" s="2"/>
      <c r="J455" s="2"/>
      <c r="K455" s="2"/>
      <c r="L455" s="2"/>
      <c r="M455" s="2" t="s">
        <v>2095</v>
      </c>
      <c r="N455" s="2" t="s">
        <v>89</v>
      </c>
      <c r="O455" s="16" t="str">
        <f> у собаки свои имена, &lt; нрзб &gt;, Жучка там, такие имена у собаки. Ну а у кота, я не знаю, кис - кис всё время, ну а когда пришёл этот кот ко мне, я говорю, как тебя(тебе) звать, он говорит, хвостом этим(этым) машет. Я говорю, стала, говорю, кати - кати - кати, не понимает, тогда думаю, ладно попробую, говорю, киска. Вот как скажешь киска, тогда он, сейчас вот привык(привыкши), где - то в огороде ходит, и я выйду, сяду, сижу, киска киса - киса киска, где ты, ксиа, сейчас сразу раз, придёт сядет головой прямо в меня(мене) и начнёт, чтобы его это погладить где - то, пошевелить чтобы ему, вот так.</f>
        <v>#ERROR!</v>
      </c>
      <c r="P455" s="2" t="s">
        <v>1300</v>
      </c>
    </row>
    <row r="456">
      <c r="A456" s="4" t="s">
        <v>32</v>
      </c>
      <c r="B456" s="5">
        <v>5386.0</v>
      </c>
      <c r="C456" s="5">
        <v>632250.0</v>
      </c>
      <c r="D456" s="5">
        <v>702900.0</v>
      </c>
      <c r="E456" s="2" t="s">
        <v>304</v>
      </c>
      <c r="F456" s="2"/>
      <c r="G456" s="2" t="s">
        <v>305</v>
      </c>
      <c r="H456" s="2"/>
      <c r="I456" s="5">
        <v>1934.0</v>
      </c>
      <c r="J456" s="2" t="s">
        <v>63</v>
      </c>
      <c r="K456" s="2" t="s">
        <v>306</v>
      </c>
      <c r="L456" s="2" t="s">
        <v>65</v>
      </c>
      <c r="M456" s="2" t="s">
        <v>2096</v>
      </c>
      <c r="N456" s="2" t="s">
        <v>89</v>
      </c>
      <c r="O456" s="2" t="s">
        <v>2097</v>
      </c>
      <c r="P456" s="2" t="s">
        <v>1296</v>
      </c>
    </row>
    <row r="457">
      <c r="A457" s="4" t="s">
        <v>32</v>
      </c>
      <c r="B457" s="5">
        <v>5413.0</v>
      </c>
      <c r="C457" s="5">
        <v>1312266.0</v>
      </c>
      <c r="D457" s="5">
        <v>1363066.0</v>
      </c>
      <c r="E457" s="2" t="s">
        <v>304</v>
      </c>
      <c r="F457" s="2"/>
      <c r="G457" s="2" t="s">
        <v>305</v>
      </c>
      <c r="H457" s="2"/>
      <c r="I457" s="5">
        <v>1934.0</v>
      </c>
      <c r="J457" s="2" t="s">
        <v>63</v>
      </c>
      <c r="K457" s="2" t="s">
        <v>306</v>
      </c>
      <c r="L457" s="2" t="s">
        <v>65</v>
      </c>
      <c r="M457" s="2" t="s">
        <v>2098</v>
      </c>
      <c r="N457" s="2" t="s">
        <v>89</v>
      </c>
      <c r="O457" s="2" t="s">
        <v>2099</v>
      </c>
      <c r="P457" s="2" t="s">
        <v>1296</v>
      </c>
    </row>
    <row r="458">
      <c r="A458" s="4" t="s">
        <v>32</v>
      </c>
      <c r="B458" s="5">
        <v>5444.0</v>
      </c>
      <c r="C458" s="5">
        <v>1841197.0</v>
      </c>
      <c r="D458" s="5">
        <v>1848597.0</v>
      </c>
      <c r="E458" s="2" t="s">
        <v>304</v>
      </c>
      <c r="F458" s="2"/>
      <c r="G458" s="2" t="s">
        <v>305</v>
      </c>
      <c r="H458" s="2"/>
      <c r="I458" s="5">
        <v>1934.0</v>
      </c>
      <c r="J458" s="2" t="s">
        <v>63</v>
      </c>
      <c r="K458" s="2" t="s">
        <v>306</v>
      </c>
      <c r="L458" s="2" t="s">
        <v>65</v>
      </c>
      <c r="M458" s="2" t="s">
        <v>2100</v>
      </c>
      <c r="N458" s="2" t="s">
        <v>89</v>
      </c>
      <c r="O458" s="16" t="str">
        <f> с мёдом, если хотите.</f>
        <v>#ERROR!</v>
      </c>
      <c r="P458" s="2" t="s">
        <v>1296</v>
      </c>
    </row>
    <row r="459">
      <c r="A459" s="4" t="s">
        <v>32</v>
      </c>
      <c r="B459" s="5">
        <v>5615.0</v>
      </c>
      <c r="C459" s="5">
        <v>2561020.0</v>
      </c>
      <c r="D459" s="5">
        <v>2563560.0</v>
      </c>
      <c r="E459" s="2" t="s">
        <v>304</v>
      </c>
      <c r="F459" s="2"/>
      <c r="G459" s="2" t="s">
        <v>305</v>
      </c>
      <c r="H459" s="2"/>
      <c r="I459" s="5">
        <v>1934.0</v>
      </c>
      <c r="J459" s="2" t="s">
        <v>63</v>
      </c>
      <c r="K459" s="2" t="s">
        <v>306</v>
      </c>
      <c r="L459" s="2" t="s">
        <v>65</v>
      </c>
      <c r="M459" s="2" t="s">
        <v>2101</v>
      </c>
      <c r="N459" s="2" t="s">
        <v>89</v>
      </c>
      <c r="O459" s="2" t="s">
        <v>2102</v>
      </c>
      <c r="P459" s="2" t="s">
        <v>1296</v>
      </c>
    </row>
    <row r="460">
      <c r="A460" s="4" t="s">
        <v>32</v>
      </c>
      <c r="B460" s="5">
        <v>5616.0</v>
      </c>
      <c r="C460" s="5">
        <v>2564600.0</v>
      </c>
      <c r="D460" s="5">
        <v>2573220.0</v>
      </c>
      <c r="E460" s="2" t="s">
        <v>304</v>
      </c>
      <c r="F460" s="2"/>
      <c r="G460" s="2" t="s">
        <v>305</v>
      </c>
      <c r="H460" s="2"/>
      <c r="I460" s="5">
        <v>1934.0</v>
      </c>
      <c r="J460" s="2" t="s">
        <v>63</v>
      </c>
      <c r="K460" s="2" t="s">
        <v>306</v>
      </c>
      <c r="L460" s="2" t="s">
        <v>65</v>
      </c>
      <c r="M460" s="2" t="s">
        <v>2103</v>
      </c>
      <c r="N460" s="2" t="s">
        <v>89</v>
      </c>
      <c r="O460" s="2" t="s">
        <v>2104</v>
      </c>
      <c r="P460" s="2" t="s">
        <v>1296</v>
      </c>
    </row>
    <row r="461">
      <c r="A461" s="4" t="s">
        <v>32</v>
      </c>
      <c r="B461" s="5">
        <v>5621.0</v>
      </c>
      <c r="C461" s="5">
        <v>2586170.0</v>
      </c>
      <c r="D461" s="5">
        <v>2588870.0</v>
      </c>
      <c r="E461" s="2" t="s">
        <v>304</v>
      </c>
      <c r="F461" s="2"/>
      <c r="G461" s="2" t="s">
        <v>305</v>
      </c>
      <c r="H461" s="2"/>
      <c r="I461" s="5">
        <v>1934.0</v>
      </c>
      <c r="J461" s="2" t="s">
        <v>63</v>
      </c>
      <c r="K461" s="2" t="s">
        <v>306</v>
      </c>
      <c r="L461" s="2" t="s">
        <v>65</v>
      </c>
      <c r="M461" s="2" t="s">
        <v>2105</v>
      </c>
      <c r="N461" s="2" t="s">
        <v>89</v>
      </c>
      <c r="O461" s="2" t="s">
        <v>2106</v>
      </c>
      <c r="P461" s="2" t="s">
        <v>1296</v>
      </c>
    </row>
    <row r="462">
      <c r="A462" s="4" t="s">
        <v>32</v>
      </c>
      <c r="B462" s="5">
        <v>5848.0</v>
      </c>
      <c r="C462" s="5">
        <v>3587640.0</v>
      </c>
      <c r="D462" s="5">
        <v>3591500.0</v>
      </c>
      <c r="E462" s="2" t="s">
        <v>304</v>
      </c>
      <c r="F462" s="2"/>
      <c r="G462" s="2" t="s">
        <v>305</v>
      </c>
      <c r="H462" s="2"/>
      <c r="I462" s="5">
        <v>1934.0</v>
      </c>
      <c r="J462" s="2" t="s">
        <v>63</v>
      </c>
      <c r="K462" s="2" t="s">
        <v>306</v>
      </c>
      <c r="L462" s="2" t="s">
        <v>65</v>
      </c>
      <c r="M462" s="2" t="s">
        <v>2107</v>
      </c>
      <c r="N462" s="2" t="s">
        <v>89</v>
      </c>
      <c r="O462" s="16" t="str">
        <f> выйдет со = с этого, с больничного.</f>
        <v>#ERROR!</v>
      </c>
      <c r="P462" s="2" t="s">
        <v>1300</v>
      </c>
    </row>
    <row r="463">
      <c r="A463" s="4" t="s">
        <v>32</v>
      </c>
      <c r="B463" s="5">
        <v>5848.0</v>
      </c>
      <c r="C463" s="5">
        <v>3587640.0</v>
      </c>
      <c r="D463" s="5">
        <v>3591500.0</v>
      </c>
      <c r="E463" s="2" t="s">
        <v>304</v>
      </c>
      <c r="F463" s="2"/>
      <c r="G463" s="2" t="s">
        <v>305</v>
      </c>
      <c r="H463" s="2"/>
      <c r="I463" s="5">
        <v>1934.0</v>
      </c>
      <c r="J463" s="2" t="s">
        <v>63</v>
      </c>
      <c r="K463" s="2" t="s">
        <v>306</v>
      </c>
      <c r="L463" s="2" t="s">
        <v>65</v>
      </c>
      <c r="M463" s="2" t="s">
        <v>2108</v>
      </c>
      <c r="N463" s="2" t="s">
        <v>89</v>
      </c>
      <c r="O463" s="16" t="str">
        <f> с этого, с больничного.</f>
        <v>#ERROR!</v>
      </c>
      <c r="P463" s="2" t="s">
        <v>1316</v>
      </c>
    </row>
    <row r="464">
      <c r="A464" s="4" t="s">
        <v>32</v>
      </c>
      <c r="B464" s="5">
        <v>5387.0</v>
      </c>
      <c r="C464" s="5">
        <v>704120.0</v>
      </c>
      <c r="D464" s="5">
        <v>786800.0</v>
      </c>
      <c r="E464" s="2" t="s">
        <v>304</v>
      </c>
      <c r="F464" s="2"/>
      <c r="G464" s="2" t="s">
        <v>305</v>
      </c>
      <c r="H464" s="2"/>
      <c r="I464" s="5">
        <v>1934.0</v>
      </c>
      <c r="J464" s="2" t="s">
        <v>63</v>
      </c>
      <c r="K464" s="2" t="s">
        <v>306</v>
      </c>
      <c r="L464" s="2" t="s">
        <v>65</v>
      </c>
      <c r="M464" s="2" t="s">
        <v>2109</v>
      </c>
      <c r="N464" s="2" t="s">
        <v>35</v>
      </c>
      <c r="O464" s="2" t="s">
        <v>2110</v>
      </c>
      <c r="P464" s="2" t="s">
        <v>1947</v>
      </c>
    </row>
    <row r="465">
      <c r="A465" s="4" t="s">
        <v>32</v>
      </c>
      <c r="B465" s="5">
        <v>5198.0</v>
      </c>
      <c r="C465" s="5">
        <v>1300600.0</v>
      </c>
      <c r="D465" s="5">
        <v>1309300.0</v>
      </c>
      <c r="E465" s="2" t="s">
        <v>284</v>
      </c>
      <c r="F465" s="2"/>
      <c r="G465" s="2"/>
      <c r="H465" s="2"/>
      <c r="I465" s="2"/>
      <c r="J465" s="2"/>
      <c r="K465" s="2"/>
      <c r="L465" s="2"/>
      <c r="M465" s="2" t="s">
        <v>2111</v>
      </c>
      <c r="N465" s="2" t="s">
        <v>35</v>
      </c>
      <c r="O465" s="2" t="s">
        <v>2112</v>
      </c>
      <c r="P465" s="2" t="s">
        <v>1947</v>
      </c>
    </row>
    <row r="466">
      <c r="A466" s="4" t="s">
        <v>32</v>
      </c>
      <c r="B466" s="5">
        <v>4962.0</v>
      </c>
      <c r="C466" s="5">
        <v>4759910.0</v>
      </c>
      <c r="D466" s="5">
        <v>4765890.0</v>
      </c>
      <c r="E466" s="2" t="s">
        <v>248</v>
      </c>
      <c r="F466" s="2"/>
      <c r="G466" s="2"/>
      <c r="H466" s="2"/>
      <c r="I466" s="2"/>
      <c r="J466" s="2"/>
      <c r="K466" s="2"/>
      <c r="L466" s="2"/>
      <c r="M466" s="2" t="s">
        <v>2113</v>
      </c>
      <c r="N466" s="2" t="s">
        <v>35</v>
      </c>
      <c r="O466" s="2" t="s">
        <v>2114</v>
      </c>
      <c r="P466" s="2" t="s">
        <v>1316</v>
      </c>
    </row>
    <row r="467">
      <c r="A467" s="4" t="s">
        <v>32</v>
      </c>
      <c r="B467" s="5">
        <v>3160.0</v>
      </c>
      <c r="C467" s="5">
        <v>3427394.0</v>
      </c>
      <c r="D467" s="5">
        <v>3431960.0</v>
      </c>
      <c r="E467" s="2" t="s">
        <v>204</v>
      </c>
      <c r="F467" s="2"/>
      <c r="G467" s="2"/>
      <c r="H467" s="2"/>
      <c r="I467" s="2"/>
      <c r="J467" s="2"/>
      <c r="K467" s="2"/>
      <c r="L467" s="2"/>
      <c r="M467" s="2" t="s">
        <v>2115</v>
      </c>
      <c r="N467" s="2" t="s">
        <v>35</v>
      </c>
      <c r="O467" s="2" t="s">
        <v>2116</v>
      </c>
      <c r="P467" s="2" t="s">
        <v>1947</v>
      </c>
    </row>
    <row r="468">
      <c r="A468" s="17" t="s">
        <v>342</v>
      </c>
      <c r="B468" s="8">
        <v>50.0</v>
      </c>
      <c r="C468" s="8">
        <v>391360.0</v>
      </c>
      <c r="D468" s="8">
        <v>400260.0</v>
      </c>
      <c r="E468" s="9" t="s">
        <v>343</v>
      </c>
      <c r="F468" s="9"/>
      <c r="G468" s="9" t="s">
        <v>344</v>
      </c>
      <c r="H468" s="9" t="s">
        <v>345</v>
      </c>
      <c r="I468" s="8">
        <v>1940.0</v>
      </c>
      <c r="J468" s="9" t="s">
        <v>346</v>
      </c>
      <c r="K468" s="9" t="s">
        <v>347</v>
      </c>
      <c r="L468" s="9" t="s">
        <v>43</v>
      </c>
      <c r="M468" s="9" t="s">
        <v>2117</v>
      </c>
      <c r="N468" s="9" t="s">
        <v>35</v>
      </c>
      <c r="O468" s="9" t="s">
        <v>2118</v>
      </c>
      <c r="P468" s="9" t="s">
        <v>1316</v>
      </c>
    </row>
    <row r="469">
      <c r="A469" s="17" t="s">
        <v>342</v>
      </c>
      <c r="B469" s="8">
        <v>74.0</v>
      </c>
      <c r="C469" s="8">
        <v>620860.0</v>
      </c>
      <c r="D469" s="8">
        <v>628620.0</v>
      </c>
      <c r="E469" s="9" t="s">
        <v>343</v>
      </c>
      <c r="F469" s="9"/>
      <c r="G469" s="9" t="s">
        <v>344</v>
      </c>
      <c r="H469" s="9" t="s">
        <v>345</v>
      </c>
      <c r="I469" s="8">
        <v>1940.0</v>
      </c>
      <c r="J469" s="9" t="s">
        <v>346</v>
      </c>
      <c r="K469" s="9" t="s">
        <v>347</v>
      </c>
      <c r="L469" s="9" t="s">
        <v>43</v>
      </c>
      <c r="M469" s="9"/>
      <c r="N469" s="9" t="s">
        <v>45</v>
      </c>
      <c r="O469" s="9" t="s">
        <v>2119</v>
      </c>
      <c r="P469" s="9" t="s">
        <v>1316</v>
      </c>
    </row>
    <row r="470">
      <c r="A470" s="17" t="s">
        <v>342</v>
      </c>
      <c r="B470" s="8">
        <v>113.0</v>
      </c>
      <c r="C470" s="8">
        <v>922840.0</v>
      </c>
      <c r="D470" s="8">
        <v>936000.0</v>
      </c>
      <c r="E470" s="9" t="s">
        <v>343</v>
      </c>
      <c r="F470" s="9"/>
      <c r="G470" s="9" t="s">
        <v>344</v>
      </c>
      <c r="H470" s="9" t="s">
        <v>345</v>
      </c>
      <c r="I470" s="8">
        <v>1940.0</v>
      </c>
      <c r="J470" s="9" t="s">
        <v>346</v>
      </c>
      <c r="K470" s="9" t="s">
        <v>347</v>
      </c>
      <c r="L470" s="9" t="s">
        <v>43</v>
      </c>
      <c r="M470" s="9" t="s">
        <v>2120</v>
      </c>
      <c r="N470" s="9" t="s">
        <v>35</v>
      </c>
      <c r="O470" s="9" t="s">
        <v>2121</v>
      </c>
      <c r="P470" s="9" t="s">
        <v>1316</v>
      </c>
    </row>
    <row r="471">
      <c r="A471" s="17" t="s">
        <v>342</v>
      </c>
      <c r="B471" s="8">
        <v>139.0</v>
      </c>
      <c r="C471" s="8">
        <v>1141760.0</v>
      </c>
      <c r="D471" s="8">
        <v>1149780.0</v>
      </c>
      <c r="E471" s="9" t="s">
        <v>343</v>
      </c>
      <c r="F471" s="9"/>
      <c r="G471" s="9" t="s">
        <v>344</v>
      </c>
      <c r="H471" s="9" t="s">
        <v>345</v>
      </c>
      <c r="I471" s="8">
        <v>1940.0</v>
      </c>
      <c r="J471" s="9" t="s">
        <v>346</v>
      </c>
      <c r="K471" s="9" t="s">
        <v>347</v>
      </c>
      <c r="L471" s="9" t="s">
        <v>43</v>
      </c>
      <c r="M471" s="9" t="s">
        <v>2122</v>
      </c>
      <c r="N471" s="9" t="s">
        <v>35</v>
      </c>
      <c r="O471" s="9" t="s">
        <v>2123</v>
      </c>
      <c r="P471" s="9" t="s">
        <v>1316</v>
      </c>
    </row>
    <row r="472">
      <c r="A472" s="17" t="s">
        <v>342</v>
      </c>
      <c r="B472" s="8">
        <v>146.0</v>
      </c>
      <c r="C472" s="8">
        <v>1190200.0</v>
      </c>
      <c r="D472" s="8">
        <v>1200980.0</v>
      </c>
      <c r="E472" s="9" t="s">
        <v>343</v>
      </c>
      <c r="F472" s="9"/>
      <c r="G472" s="9" t="s">
        <v>344</v>
      </c>
      <c r="H472" s="9" t="s">
        <v>345</v>
      </c>
      <c r="I472" s="8">
        <v>1940.0</v>
      </c>
      <c r="J472" s="9" t="s">
        <v>346</v>
      </c>
      <c r="K472" s="9" t="s">
        <v>347</v>
      </c>
      <c r="L472" s="9" t="s">
        <v>43</v>
      </c>
      <c r="M472" s="9" t="s">
        <v>2124</v>
      </c>
      <c r="N472" s="9" t="s">
        <v>35</v>
      </c>
      <c r="O472" s="9" t="s">
        <v>2125</v>
      </c>
      <c r="P472" s="9"/>
    </row>
    <row r="473">
      <c r="A473" s="17" t="s">
        <v>342</v>
      </c>
      <c r="B473" s="8">
        <v>173.0</v>
      </c>
      <c r="C473" s="8">
        <v>1387420.0</v>
      </c>
      <c r="D473" s="8">
        <v>1394980.0</v>
      </c>
      <c r="E473" s="9" t="s">
        <v>343</v>
      </c>
      <c r="F473" s="9"/>
      <c r="G473" s="9" t="s">
        <v>344</v>
      </c>
      <c r="H473" s="9" t="s">
        <v>345</v>
      </c>
      <c r="I473" s="8">
        <v>1940.0</v>
      </c>
      <c r="J473" s="9" t="s">
        <v>346</v>
      </c>
      <c r="K473" s="9" t="s">
        <v>347</v>
      </c>
      <c r="L473" s="9" t="s">
        <v>43</v>
      </c>
      <c r="M473" s="9" t="s">
        <v>2126</v>
      </c>
      <c r="N473" s="9" t="s">
        <v>35</v>
      </c>
      <c r="O473" s="9" t="s">
        <v>2127</v>
      </c>
      <c r="P473" s="9" t="s">
        <v>1316</v>
      </c>
    </row>
    <row r="474">
      <c r="A474" s="17" t="s">
        <v>342</v>
      </c>
      <c r="B474" s="8">
        <v>174.0</v>
      </c>
      <c r="C474" s="8">
        <v>1395920.0</v>
      </c>
      <c r="D474" s="8">
        <v>1399480.0</v>
      </c>
      <c r="E474" s="9" t="s">
        <v>343</v>
      </c>
      <c r="F474" s="9"/>
      <c r="G474" s="9" t="s">
        <v>344</v>
      </c>
      <c r="H474" s="9" t="s">
        <v>345</v>
      </c>
      <c r="I474" s="8">
        <v>1940.0</v>
      </c>
      <c r="J474" s="9" t="s">
        <v>346</v>
      </c>
      <c r="K474" s="9" t="s">
        <v>347</v>
      </c>
      <c r="L474" s="9" t="s">
        <v>43</v>
      </c>
      <c r="M474" s="9" t="s">
        <v>2128</v>
      </c>
      <c r="N474" s="9" t="s">
        <v>35</v>
      </c>
      <c r="O474" s="9" t="s">
        <v>2129</v>
      </c>
      <c r="P474" s="9" t="s">
        <v>1316</v>
      </c>
    </row>
    <row r="475">
      <c r="A475" s="17" t="s">
        <v>342</v>
      </c>
      <c r="B475" s="8">
        <v>186.0</v>
      </c>
      <c r="C475" s="8">
        <v>1494920.0</v>
      </c>
      <c r="D475" s="8">
        <v>1498960.0</v>
      </c>
      <c r="E475" s="9" t="s">
        <v>343</v>
      </c>
      <c r="F475" s="9"/>
      <c r="G475" s="9" t="s">
        <v>344</v>
      </c>
      <c r="H475" s="9" t="s">
        <v>345</v>
      </c>
      <c r="I475" s="8">
        <v>1940.0</v>
      </c>
      <c r="J475" s="9" t="s">
        <v>346</v>
      </c>
      <c r="K475" s="9" t="s">
        <v>347</v>
      </c>
      <c r="L475" s="9" t="s">
        <v>43</v>
      </c>
      <c r="M475" s="9" t="s">
        <v>88</v>
      </c>
      <c r="N475" s="9" t="s">
        <v>35</v>
      </c>
      <c r="O475" s="9" t="s">
        <v>2130</v>
      </c>
      <c r="P475" s="9" t="s">
        <v>1296</v>
      </c>
    </row>
    <row r="476">
      <c r="A476" s="17" t="s">
        <v>342</v>
      </c>
      <c r="B476" s="8">
        <v>208.0</v>
      </c>
      <c r="C476" s="8">
        <v>1660340.0</v>
      </c>
      <c r="D476" s="8">
        <v>1666080.0</v>
      </c>
      <c r="E476" s="9" t="s">
        <v>343</v>
      </c>
      <c r="F476" s="9"/>
      <c r="G476" s="9" t="s">
        <v>344</v>
      </c>
      <c r="H476" s="9" t="s">
        <v>345</v>
      </c>
      <c r="I476" s="8">
        <v>1940.0</v>
      </c>
      <c r="J476" s="9" t="s">
        <v>346</v>
      </c>
      <c r="K476" s="9" t="s">
        <v>347</v>
      </c>
      <c r="L476" s="9" t="s">
        <v>43</v>
      </c>
      <c r="M476" s="9" t="s">
        <v>151</v>
      </c>
      <c r="N476" s="9" t="s">
        <v>35</v>
      </c>
      <c r="O476" s="9" t="s">
        <v>2131</v>
      </c>
      <c r="P476" s="9" t="s">
        <v>1316</v>
      </c>
    </row>
    <row r="477">
      <c r="A477" s="17" t="s">
        <v>342</v>
      </c>
      <c r="B477" s="8">
        <v>216.0</v>
      </c>
      <c r="C477" s="8">
        <v>1732940.0</v>
      </c>
      <c r="D477" s="8">
        <v>1740360.0</v>
      </c>
      <c r="E477" s="9" t="s">
        <v>343</v>
      </c>
      <c r="F477" s="9"/>
      <c r="G477" s="9" t="s">
        <v>344</v>
      </c>
      <c r="H477" s="9" t="s">
        <v>345</v>
      </c>
      <c r="I477" s="8">
        <v>1940.0</v>
      </c>
      <c r="J477" s="9" t="s">
        <v>346</v>
      </c>
      <c r="K477" s="9" t="s">
        <v>347</v>
      </c>
      <c r="L477" s="9" t="s">
        <v>43</v>
      </c>
      <c r="M477" s="9"/>
      <c r="N477" s="9" t="s">
        <v>45</v>
      </c>
      <c r="O477" s="9" t="s">
        <v>2132</v>
      </c>
      <c r="P477" s="9" t="s">
        <v>1298</v>
      </c>
    </row>
    <row r="478">
      <c r="A478" s="17" t="s">
        <v>342</v>
      </c>
      <c r="B478" s="8">
        <v>216.0</v>
      </c>
      <c r="C478" s="8">
        <v>1732940.0</v>
      </c>
      <c r="D478" s="8">
        <v>1740360.0</v>
      </c>
      <c r="E478" s="9" t="s">
        <v>343</v>
      </c>
      <c r="F478" s="9"/>
      <c r="G478" s="9" t="s">
        <v>344</v>
      </c>
      <c r="H478" s="9" t="s">
        <v>345</v>
      </c>
      <c r="I478" s="8">
        <v>1940.0</v>
      </c>
      <c r="J478" s="9" t="s">
        <v>346</v>
      </c>
      <c r="K478" s="9" t="s">
        <v>347</v>
      </c>
      <c r="L478" s="9" t="s">
        <v>43</v>
      </c>
      <c r="M478" s="9" t="s">
        <v>2133</v>
      </c>
      <c r="N478" s="9" t="s">
        <v>35</v>
      </c>
      <c r="O478" s="9" t="s">
        <v>2134</v>
      </c>
      <c r="P478" s="9" t="s">
        <v>1296</v>
      </c>
    </row>
    <row r="479">
      <c r="A479" s="17" t="s">
        <v>342</v>
      </c>
      <c r="B479" s="8">
        <v>216.0</v>
      </c>
      <c r="C479" s="8">
        <v>1732940.0</v>
      </c>
      <c r="D479" s="8">
        <v>1740360.0</v>
      </c>
      <c r="E479" s="9" t="s">
        <v>343</v>
      </c>
      <c r="F479" s="9"/>
      <c r="G479" s="9" t="s">
        <v>344</v>
      </c>
      <c r="H479" s="9" t="s">
        <v>345</v>
      </c>
      <c r="I479" s="8">
        <v>1940.0</v>
      </c>
      <c r="J479" s="9" t="s">
        <v>346</v>
      </c>
      <c r="K479" s="9" t="s">
        <v>347</v>
      </c>
      <c r="L479" s="9" t="s">
        <v>43</v>
      </c>
      <c r="M479" s="9" t="s">
        <v>2135</v>
      </c>
      <c r="N479" s="9" t="s">
        <v>35</v>
      </c>
      <c r="O479" s="9" t="s">
        <v>2136</v>
      </c>
      <c r="P479" s="9" t="s">
        <v>1296</v>
      </c>
    </row>
    <row r="480">
      <c r="A480" s="17" t="s">
        <v>342</v>
      </c>
      <c r="B480" s="8">
        <v>231.0</v>
      </c>
      <c r="C480" s="8">
        <v>1858180.0</v>
      </c>
      <c r="D480" s="8">
        <v>1870560.0</v>
      </c>
      <c r="E480" s="9" t="s">
        <v>343</v>
      </c>
      <c r="F480" s="9"/>
      <c r="G480" s="9" t="s">
        <v>344</v>
      </c>
      <c r="H480" s="9" t="s">
        <v>345</v>
      </c>
      <c r="I480" s="8">
        <v>1940.0</v>
      </c>
      <c r="J480" s="9" t="s">
        <v>346</v>
      </c>
      <c r="K480" s="9" t="s">
        <v>347</v>
      </c>
      <c r="L480" s="9" t="s">
        <v>43</v>
      </c>
      <c r="M480" s="9" t="s">
        <v>2137</v>
      </c>
      <c r="N480" s="9" t="s">
        <v>35</v>
      </c>
      <c r="O480" s="9" t="s">
        <v>2138</v>
      </c>
      <c r="P480" s="9" t="s">
        <v>1316</v>
      </c>
    </row>
    <row r="481">
      <c r="A481" s="17" t="s">
        <v>342</v>
      </c>
      <c r="B481" s="8">
        <v>231.0</v>
      </c>
      <c r="C481" s="8">
        <v>1858180.0</v>
      </c>
      <c r="D481" s="8">
        <v>1870560.0</v>
      </c>
      <c r="E481" s="9" t="s">
        <v>343</v>
      </c>
      <c r="F481" s="9"/>
      <c r="G481" s="9" t="s">
        <v>344</v>
      </c>
      <c r="H481" s="9" t="s">
        <v>345</v>
      </c>
      <c r="I481" s="8">
        <v>1940.0</v>
      </c>
      <c r="J481" s="9" t="s">
        <v>346</v>
      </c>
      <c r="K481" s="9" t="s">
        <v>347</v>
      </c>
      <c r="L481" s="9" t="s">
        <v>43</v>
      </c>
      <c r="M481" s="9" t="s">
        <v>2139</v>
      </c>
      <c r="N481" s="9" t="s">
        <v>35</v>
      </c>
      <c r="O481" s="9" t="s">
        <v>2140</v>
      </c>
      <c r="P481" s="9" t="s">
        <v>1316</v>
      </c>
    </row>
    <row r="482">
      <c r="A482" s="17" t="s">
        <v>342</v>
      </c>
      <c r="B482" s="8">
        <v>236.0</v>
      </c>
      <c r="C482" s="8">
        <v>1899860.0</v>
      </c>
      <c r="D482" s="8">
        <v>1910480.0</v>
      </c>
      <c r="E482" s="9" t="s">
        <v>343</v>
      </c>
      <c r="F482" s="9"/>
      <c r="G482" s="9" t="s">
        <v>344</v>
      </c>
      <c r="H482" s="9" t="s">
        <v>345</v>
      </c>
      <c r="I482" s="8">
        <v>1940.0</v>
      </c>
      <c r="J482" s="9" t="s">
        <v>346</v>
      </c>
      <c r="K482" s="9" t="s">
        <v>347</v>
      </c>
      <c r="L482" s="9" t="s">
        <v>43</v>
      </c>
      <c r="M482" s="9" t="s">
        <v>2141</v>
      </c>
      <c r="N482" s="9" t="s">
        <v>35</v>
      </c>
      <c r="O482" s="9" t="s">
        <v>2142</v>
      </c>
      <c r="P482" s="9" t="s">
        <v>1296</v>
      </c>
    </row>
    <row r="483">
      <c r="A483" s="17" t="s">
        <v>342</v>
      </c>
      <c r="B483" s="8">
        <v>240.0</v>
      </c>
      <c r="C483" s="8">
        <v>1929000.0</v>
      </c>
      <c r="D483" s="8">
        <v>1943760.0</v>
      </c>
      <c r="E483" s="9" t="s">
        <v>343</v>
      </c>
      <c r="F483" s="9"/>
      <c r="G483" s="9" t="s">
        <v>344</v>
      </c>
      <c r="H483" s="9" t="s">
        <v>345</v>
      </c>
      <c r="I483" s="8">
        <v>1940.0</v>
      </c>
      <c r="J483" s="9" t="s">
        <v>346</v>
      </c>
      <c r="K483" s="9" t="s">
        <v>347</v>
      </c>
      <c r="L483" s="9" t="s">
        <v>43</v>
      </c>
      <c r="M483" s="9" t="s">
        <v>2143</v>
      </c>
      <c r="N483" s="9" t="s">
        <v>35</v>
      </c>
      <c r="O483" s="9" t="s">
        <v>2144</v>
      </c>
      <c r="P483" s="9" t="s">
        <v>1316</v>
      </c>
    </row>
    <row r="484">
      <c r="A484" s="17" t="s">
        <v>342</v>
      </c>
      <c r="B484" s="8">
        <v>253.0</v>
      </c>
      <c r="C484" s="8">
        <v>2045800.0</v>
      </c>
      <c r="D484" s="8">
        <v>2055500.0</v>
      </c>
      <c r="E484" s="9" t="s">
        <v>343</v>
      </c>
      <c r="F484" s="9"/>
      <c r="G484" s="9" t="s">
        <v>344</v>
      </c>
      <c r="H484" s="9" t="s">
        <v>345</v>
      </c>
      <c r="I484" s="8">
        <v>1940.0</v>
      </c>
      <c r="J484" s="9" t="s">
        <v>346</v>
      </c>
      <c r="K484" s="9" t="s">
        <v>347</v>
      </c>
      <c r="L484" s="9" t="s">
        <v>43</v>
      </c>
      <c r="M484" s="9" t="s">
        <v>2145</v>
      </c>
      <c r="N484" s="9" t="s">
        <v>35</v>
      </c>
      <c r="O484" s="9" t="s">
        <v>2146</v>
      </c>
      <c r="P484" s="9" t="s">
        <v>1296</v>
      </c>
    </row>
    <row r="485">
      <c r="A485" s="17" t="s">
        <v>342</v>
      </c>
      <c r="B485" s="8">
        <v>254.0</v>
      </c>
      <c r="C485" s="8">
        <v>2056340.0</v>
      </c>
      <c r="D485" s="8">
        <v>2072860.0</v>
      </c>
      <c r="E485" s="9" t="s">
        <v>343</v>
      </c>
      <c r="F485" s="9"/>
      <c r="G485" s="9" t="s">
        <v>344</v>
      </c>
      <c r="H485" s="9" t="s">
        <v>345</v>
      </c>
      <c r="I485" s="8">
        <v>1940.0</v>
      </c>
      <c r="J485" s="9" t="s">
        <v>346</v>
      </c>
      <c r="K485" s="9" t="s">
        <v>347</v>
      </c>
      <c r="L485" s="9" t="s">
        <v>43</v>
      </c>
      <c r="M485" s="9" t="s">
        <v>2147</v>
      </c>
      <c r="N485" s="9" t="s">
        <v>35</v>
      </c>
      <c r="O485" s="9" t="s">
        <v>2148</v>
      </c>
      <c r="P485" s="9" t="s">
        <v>1296</v>
      </c>
    </row>
    <row r="486">
      <c r="A486" s="17" t="s">
        <v>342</v>
      </c>
      <c r="B486" s="8">
        <v>259.0</v>
      </c>
      <c r="C486" s="8">
        <v>2131240.0</v>
      </c>
      <c r="D486" s="8">
        <v>2145500.0</v>
      </c>
      <c r="E486" s="9" t="s">
        <v>343</v>
      </c>
      <c r="F486" s="9"/>
      <c r="G486" s="9" t="s">
        <v>344</v>
      </c>
      <c r="H486" s="9" t="s">
        <v>345</v>
      </c>
      <c r="I486" s="8">
        <v>1940.0</v>
      </c>
      <c r="J486" s="9" t="s">
        <v>346</v>
      </c>
      <c r="K486" s="9" t="s">
        <v>347</v>
      </c>
      <c r="L486" s="9" t="s">
        <v>43</v>
      </c>
      <c r="M486" s="9" t="s">
        <v>2149</v>
      </c>
      <c r="N486" s="9" t="s">
        <v>35</v>
      </c>
      <c r="O486" s="9" t="s">
        <v>2150</v>
      </c>
      <c r="P486" s="9" t="s">
        <v>1296</v>
      </c>
    </row>
    <row r="487">
      <c r="A487" s="17" t="s">
        <v>342</v>
      </c>
      <c r="B487" s="8">
        <v>263.0</v>
      </c>
      <c r="C487" s="8">
        <v>2175320.0</v>
      </c>
      <c r="D487" s="8">
        <v>2184480.0</v>
      </c>
      <c r="E487" s="9" t="s">
        <v>343</v>
      </c>
      <c r="F487" s="9"/>
      <c r="G487" s="9" t="s">
        <v>344</v>
      </c>
      <c r="H487" s="9" t="s">
        <v>345</v>
      </c>
      <c r="I487" s="8">
        <v>1940.0</v>
      </c>
      <c r="J487" s="9" t="s">
        <v>346</v>
      </c>
      <c r="K487" s="9" t="s">
        <v>347</v>
      </c>
      <c r="L487" s="9" t="s">
        <v>43</v>
      </c>
      <c r="M487" s="9" t="s">
        <v>2151</v>
      </c>
      <c r="N487" s="9" t="s">
        <v>35</v>
      </c>
      <c r="O487" s="9" t="s">
        <v>2152</v>
      </c>
      <c r="P487" s="9" t="s">
        <v>1296</v>
      </c>
    </row>
    <row r="488">
      <c r="A488" s="17" t="s">
        <v>342</v>
      </c>
      <c r="B488" s="8">
        <v>263.0</v>
      </c>
      <c r="C488" s="8">
        <v>2175320.0</v>
      </c>
      <c r="D488" s="8">
        <v>2184480.0</v>
      </c>
      <c r="E488" s="9" t="s">
        <v>343</v>
      </c>
      <c r="F488" s="9"/>
      <c r="G488" s="9" t="s">
        <v>344</v>
      </c>
      <c r="H488" s="9" t="s">
        <v>345</v>
      </c>
      <c r="I488" s="8">
        <v>1940.0</v>
      </c>
      <c r="J488" s="9" t="s">
        <v>346</v>
      </c>
      <c r="K488" s="9" t="s">
        <v>347</v>
      </c>
      <c r="L488" s="9" t="s">
        <v>43</v>
      </c>
      <c r="M488" s="9" t="s">
        <v>2153</v>
      </c>
      <c r="N488" s="9" t="s">
        <v>35</v>
      </c>
      <c r="O488" s="9" t="s">
        <v>2154</v>
      </c>
      <c r="P488" s="9" t="s">
        <v>1296</v>
      </c>
    </row>
    <row r="489">
      <c r="A489" s="17" t="s">
        <v>342</v>
      </c>
      <c r="B489" s="8">
        <v>289.0</v>
      </c>
      <c r="C489" s="8">
        <v>2375300.0</v>
      </c>
      <c r="D489" s="8">
        <v>2392680.0</v>
      </c>
      <c r="E489" s="9" t="s">
        <v>343</v>
      </c>
      <c r="F489" s="9"/>
      <c r="G489" s="9" t="s">
        <v>344</v>
      </c>
      <c r="H489" s="9" t="s">
        <v>345</v>
      </c>
      <c r="I489" s="8">
        <v>1940.0</v>
      </c>
      <c r="J489" s="9" t="s">
        <v>346</v>
      </c>
      <c r="K489" s="9" t="s">
        <v>347</v>
      </c>
      <c r="L489" s="9" t="s">
        <v>43</v>
      </c>
      <c r="M489" s="9" t="s">
        <v>88</v>
      </c>
      <c r="N489" s="9" t="s">
        <v>35</v>
      </c>
      <c r="O489" s="9" t="s">
        <v>2155</v>
      </c>
      <c r="P489" s="9" t="s">
        <v>1296</v>
      </c>
    </row>
    <row r="490">
      <c r="A490" s="17" t="s">
        <v>342</v>
      </c>
      <c r="B490" s="8">
        <v>289.0</v>
      </c>
      <c r="C490" s="8">
        <v>2375300.0</v>
      </c>
      <c r="D490" s="8">
        <v>2392680.0</v>
      </c>
      <c r="E490" s="9" t="s">
        <v>343</v>
      </c>
      <c r="F490" s="9"/>
      <c r="G490" s="9" t="s">
        <v>344</v>
      </c>
      <c r="H490" s="9" t="s">
        <v>345</v>
      </c>
      <c r="I490" s="8">
        <v>1940.0</v>
      </c>
      <c r="J490" s="9" t="s">
        <v>346</v>
      </c>
      <c r="K490" s="9" t="s">
        <v>347</v>
      </c>
      <c r="L490" s="9" t="s">
        <v>43</v>
      </c>
      <c r="M490" s="9" t="s">
        <v>2156</v>
      </c>
      <c r="N490" s="9" t="s">
        <v>35</v>
      </c>
      <c r="O490" s="9" t="s">
        <v>2157</v>
      </c>
      <c r="P490" s="9" t="s">
        <v>1296</v>
      </c>
    </row>
    <row r="491">
      <c r="A491" s="17" t="s">
        <v>342</v>
      </c>
      <c r="B491" s="8">
        <v>289.0</v>
      </c>
      <c r="C491" s="8">
        <v>2375300.0</v>
      </c>
      <c r="D491" s="8">
        <v>2392680.0</v>
      </c>
      <c r="E491" s="9" t="s">
        <v>343</v>
      </c>
      <c r="F491" s="9"/>
      <c r="G491" s="9" t="s">
        <v>344</v>
      </c>
      <c r="H491" s="9" t="s">
        <v>345</v>
      </c>
      <c r="I491" s="8">
        <v>1940.0</v>
      </c>
      <c r="J491" s="9" t="s">
        <v>346</v>
      </c>
      <c r="K491" s="9" t="s">
        <v>347</v>
      </c>
      <c r="L491" s="9" t="s">
        <v>43</v>
      </c>
      <c r="M491" s="9" t="s">
        <v>2158</v>
      </c>
      <c r="N491" s="9" t="s">
        <v>35</v>
      </c>
      <c r="O491" s="9" t="s">
        <v>2159</v>
      </c>
      <c r="P491" s="9" t="s">
        <v>1296</v>
      </c>
    </row>
    <row r="492">
      <c r="A492" s="17" t="s">
        <v>342</v>
      </c>
      <c r="B492" s="8">
        <v>289.0</v>
      </c>
      <c r="C492" s="8">
        <v>2375300.0</v>
      </c>
      <c r="D492" s="8">
        <v>2392680.0</v>
      </c>
      <c r="E492" s="9" t="s">
        <v>343</v>
      </c>
      <c r="F492" s="9"/>
      <c r="G492" s="9" t="s">
        <v>344</v>
      </c>
      <c r="H492" s="9" t="s">
        <v>345</v>
      </c>
      <c r="I492" s="8">
        <v>1940.0</v>
      </c>
      <c r="J492" s="9" t="s">
        <v>346</v>
      </c>
      <c r="K492" s="9" t="s">
        <v>347</v>
      </c>
      <c r="L492" s="9" t="s">
        <v>43</v>
      </c>
      <c r="M492" s="9" t="s">
        <v>2160</v>
      </c>
      <c r="N492" s="9" t="s">
        <v>35</v>
      </c>
      <c r="O492" s="9" t="s">
        <v>2161</v>
      </c>
      <c r="P492" s="9" t="s">
        <v>1300</v>
      </c>
    </row>
    <row r="493">
      <c r="A493" s="17" t="s">
        <v>342</v>
      </c>
      <c r="B493" s="8">
        <v>314.0</v>
      </c>
      <c r="C493" s="8">
        <v>2538580.0</v>
      </c>
      <c r="D493" s="8">
        <v>2547160.0</v>
      </c>
      <c r="E493" s="9" t="s">
        <v>343</v>
      </c>
      <c r="F493" s="9"/>
      <c r="G493" s="9" t="s">
        <v>344</v>
      </c>
      <c r="H493" s="9" t="s">
        <v>345</v>
      </c>
      <c r="I493" s="8">
        <v>1940.0</v>
      </c>
      <c r="J493" s="9" t="s">
        <v>346</v>
      </c>
      <c r="K493" s="9" t="s">
        <v>347</v>
      </c>
      <c r="L493" s="9" t="s">
        <v>43</v>
      </c>
      <c r="M493" s="9" t="s">
        <v>2162</v>
      </c>
      <c r="N493" s="9" t="s">
        <v>35</v>
      </c>
      <c r="O493" s="9" t="s">
        <v>2163</v>
      </c>
      <c r="P493" s="9" t="s">
        <v>1296</v>
      </c>
    </row>
    <row r="494">
      <c r="A494" s="17" t="s">
        <v>342</v>
      </c>
      <c r="B494" s="8">
        <v>368.0</v>
      </c>
      <c r="C494" s="8">
        <v>2899260.0</v>
      </c>
      <c r="D494" s="8">
        <v>2907080.0</v>
      </c>
      <c r="E494" s="9" t="s">
        <v>343</v>
      </c>
      <c r="F494" s="9"/>
      <c r="G494" s="9" t="s">
        <v>344</v>
      </c>
      <c r="H494" s="9" t="s">
        <v>345</v>
      </c>
      <c r="I494" s="8">
        <v>1940.0</v>
      </c>
      <c r="J494" s="9" t="s">
        <v>346</v>
      </c>
      <c r="K494" s="9" t="s">
        <v>347</v>
      </c>
      <c r="L494" s="9" t="s">
        <v>43</v>
      </c>
      <c r="M494" s="9" t="s">
        <v>2164</v>
      </c>
      <c r="N494" s="9" t="s">
        <v>35</v>
      </c>
      <c r="O494" s="9" t="s">
        <v>2165</v>
      </c>
      <c r="P494" s="9" t="s">
        <v>1296</v>
      </c>
    </row>
    <row r="495">
      <c r="A495" s="17" t="s">
        <v>342</v>
      </c>
      <c r="B495" s="8">
        <v>369.0</v>
      </c>
      <c r="C495" s="8">
        <v>2914600.0</v>
      </c>
      <c r="D495" s="8">
        <v>2920800.0</v>
      </c>
      <c r="E495" s="9" t="s">
        <v>343</v>
      </c>
      <c r="F495" s="9"/>
      <c r="G495" s="9" t="s">
        <v>344</v>
      </c>
      <c r="H495" s="9" t="s">
        <v>345</v>
      </c>
      <c r="I495" s="8">
        <v>1940.0</v>
      </c>
      <c r="J495" s="9" t="s">
        <v>346</v>
      </c>
      <c r="K495" s="9" t="s">
        <v>347</v>
      </c>
      <c r="L495" s="9" t="s">
        <v>43</v>
      </c>
      <c r="M495" s="9" t="s">
        <v>2166</v>
      </c>
      <c r="N495" s="9" t="s">
        <v>35</v>
      </c>
      <c r="O495" s="9" t="s">
        <v>2167</v>
      </c>
      <c r="P495" s="9" t="s">
        <v>1296</v>
      </c>
    </row>
    <row r="496">
      <c r="A496" s="17" t="s">
        <v>342</v>
      </c>
      <c r="B496" s="8">
        <v>369.0</v>
      </c>
      <c r="C496" s="8">
        <v>2914600.0</v>
      </c>
      <c r="D496" s="8">
        <v>2920800.0</v>
      </c>
      <c r="E496" s="9" t="s">
        <v>343</v>
      </c>
      <c r="F496" s="9"/>
      <c r="G496" s="9" t="s">
        <v>344</v>
      </c>
      <c r="H496" s="9" t="s">
        <v>345</v>
      </c>
      <c r="I496" s="8">
        <v>1940.0</v>
      </c>
      <c r="J496" s="9" t="s">
        <v>346</v>
      </c>
      <c r="K496" s="9" t="s">
        <v>347</v>
      </c>
      <c r="L496" s="9" t="s">
        <v>43</v>
      </c>
      <c r="M496" s="9" t="s">
        <v>2168</v>
      </c>
      <c r="N496" s="9" t="s">
        <v>35</v>
      </c>
      <c r="O496" s="9" t="s">
        <v>2169</v>
      </c>
      <c r="P496" s="9" t="s">
        <v>1296</v>
      </c>
    </row>
    <row r="497">
      <c r="A497" s="17" t="s">
        <v>342</v>
      </c>
      <c r="B497" s="8">
        <v>370.0</v>
      </c>
      <c r="C497" s="8">
        <v>2921060.0</v>
      </c>
      <c r="D497" s="8">
        <v>2923980.0</v>
      </c>
      <c r="E497" s="9" t="s">
        <v>343</v>
      </c>
      <c r="F497" s="9"/>
      <c r="G497" s="9" t="s">
        <v>344</v>
      </c>
      <c r="H497" s="9" t="s">
        <v>345</v>
      </c>
      <c r="I497" s="8">
        <v>1940.0</v>
      </c>
      <c r="J497" s="9" t="s">
        <v>346</v>
      </c>
      <c r="K497" s="9" t="s">
        <v>347</v>
      </c>
      <c r="L497" s="9" t="s">
        <v>43</v>
      </c>
      <c r="M497" s="9" t="s">
        <v>410</v>
      </c>
      <c r="N497" s="9" t="s">
        <v>35</v>
      </c>
      <c r="O497" s="9" t="s">
        <v>2170</v>
      </c>
      <c r="P497" s="9" t="s">
        <v>1298</v>
      </c>
    </row>
    <row r="498">
      <c r="A498" s="17" t="s">
        <v>342</v>
      </c>
      <c r="B498" s="8">
        <v>373.0</v>
      </c>
      <c r="C498" s="8">
        <v>2944120.0</v>
      </c>
      <c r="D498" s="8">
        <v>2945940.0</v>
      </c>
      <c r="E498" s="9" t="s">
        <v>343</v>
      </c>
      <c r="F498" s="9"/>
      <c r="G498" s="9" t="s">
        <v>344</v>
      </c>
      <c r="H498" s="9" t="s">
        <v>345</v>
      </c>
      <c r="I498" s="8">
        <v>1940.0</v>
      </c>
      <c r="J498" s="9" t="s">
        <v>346</v>
      </c>
      <c r="K498" s="9" t="s">
        <v>347</v>
      </c>
      <c r="L498" s="9" t="s">
        <v>43</v>
      </c>
      <c r="M498" s="9" t="s">
        <v>2171</v>
      </c>
      <c r="N498" s="9" t="s">
        <v>35</v>
      </c>
      <c r="O498" s="9" t="s">
        <v>2172</v>
      </c>
      <c r="P498" s="9" t="s">
        <v>1296</v>
      </c>
    </row>
    <row r="499">
      <c r="A499" s="17" t="s">
        <v>342</v>
      </c>
      <c r="B499" s="8">
        <v>442.0</v>
      </c>
      <c r="C499" s="8">
        <v>411612.0</v>
      </c>
      <c r="D499" s="8">
        <v>424052.0</v>
      </c>
      <c r="E499" s="9" t="s">
        <v>375</v>
      </c>
      <c r="F499" s="9"/>
      <c r="G499" s="9" t="s">
        <v>376</v>
      </c>
      <c r="H499" s="9" t="s">
        <v>377</v>
      </c>
      <c r="I499" s="8">
        <v>1941.0</v>
      </c>
      <c r="J499" s="9" t="s">
        <v>378</v>
      </c>
      <c r="K499" s="9" t="s">
        <v>379</v>
      </c>
      <c r="L499" s="9" t="s">
        <v>43</v>
      </c>
      <c r="M499" s="9" t="s">
        <v>2173</v>
      </c>
      <c r="N499" s="9" t="s">
        <v>35</v>
      </c>
      <c r="O499" s="9" t="s">
        <v>2174</v>
      </c>
      <c r="P499" s="9" t="s">
        <v>1296</v>
      </c>
    </row>
    <row r="500">
      <c r="A500" s="17" t="s">
        <v>342</v>
      </c>
      <c r="B500" s="8">
        <v>445.0</v>
      </c>
      <c r="C500" s="8">
        <v>440933.0</v>
      </c>
      <c r="D500" s="8">
        <v>454399.0</v>
      </c>
      <c r="E500" s="9" t="s">
        <v>375</v>
      </c>
      <c r="F500" s="9"/>
      <c r="G500" s="9" t="s">
        <v>376</v>
      </c>
      <c r="H500" s="9" t="s">
        <v>377</v>
      </c>
      <c r="I500" s="8">
        <v>1941.0</v>
      </c>
      <c r="J500" s="9" t="s">
        <v>378</v>
      </c>
      <c r="K500" s="9" t="s">
        <v>379</v>
      </c>
      <c r="L500" s="9" t="s">
        <v>43</v>
      </c>
      <c r="M500" s="9" t="s">
        <v>2175</v>
      </c>
      <c r="N500" s="9" t="s">
        <v>35</v>
      </c>
      <c r="O500" s="9" t="s">
        <v>2176</v>
      </c>
      <c r="P500" s="9" t="s">
        <v>1298</v>
      </c>
    </row>
    <row r="501">
      <c r="A501" s="17" t="s">
        <v>342</v>
      </c>
      <c r="B501" s="8">
        <v>453.0</v>
      </c>
      <c r="C501" s="8">
        <v>530458.0</v>
      </c>
      <c r="D501" s="8">
        <v>539498.0</v>
      </c>
      <c r="E501" s="9" t="s">
        <v>375</v>
      </c>
      <c r="F501" s="9"/>
      <c r="G501" s="9" t="s">
        <v>376</v>
      </c>
      <c r="H501" s="9" t="s">
        <v>377</v>
      </c>
      <c r="I501" s="8">
        <v>1941.0</v>
      </c>
      <c r="J501" s="9" t="s">
        <v>378</v>
      </c>
      <c r="K501" s="9" t="s">
        <v>379</v>
      </c>
      <c r="L501" s="9" t="s">
        <v>43</v>
      </c>
      <c r="M501" s="9" t="s">
        <v>2177</v>
      </c>
      <c r="N501" s="9" t="s">
        <v>35</v>
      </c>
      <c r="O501" s="9" t="s">
        <v>2178</v>
      </c>
      <c r="P501" s="9" t="s">
        <v>1296</v>
      </c>
    </row>
    <row r="502">
      <c r="A502" s="17" t="s">
        <v>342</v>
      </c>
      <c r="B502" s="8">
        <v>465.0</v>
      </c>
      <c r="C502" s="8">
        <v>630781.0</v>
      </c>
      <c r="D502" s="8">
        <v>645279.0</v>
      </c>
      <c r="E502" s="9" t="s">
        <v>375</v>
      </c>
      <c r="F502" s="9"/>
      <c r="G502" s="9" t="s">
        <v>376</v>
      </c>
      <c r="H502" s="9" t="s">
        <v>377</v>
      </c>
      <c r="I502" s="8">
        <v>1941.0</v>
      </c>
      <c r="J502" s="9" t="s">
        <v>378</v>
      </c>
      <c r="K502" s="9" t="s">
        <v>379</v>
      </c>
      <c r="L502" s="9" t="s">
        <v>43</v>
      </c>
      <c r="M502" s="9" t="s">
        <v>2179</v>
      </c>
      <c r="N502" s="9" t="s">
        <v>35</v>
      </c>
      <c r="O502" s="9" t="s">
        <v>2180</v>
      </c>
      <c r="P502" s="9" t="s">
        <v>1296</v>
      </c>
    </row>
    <row r="503">
      <c r="A503" s="17" t="s">
        <v>342</v>
      </c>
      <c r="B503" s="8">
        <v>520.0</v>
      </c>
      <c r="C503" s="8">
        <v>956674.0</v>
      </c>
      <c r="D503" s="8">
        <v>972158.0</v>
      </c>
      <c r="E503" s="9" t="s">
        <v>375</v>
      </c>
      <c r="F503" s="9"/>
      <c r="G503" s="9" t="s">
        <v>376</v>
      </c>
      <c r="H503" s="9" t="s">
        <v>377</v>
      </c>
      <c r="I503" s="8">
        <v>1941.0</v>
      </c>
      <c r="J503" s="9" t="s">
        <v>378</v>
      </c>
      <c r="K503" s="9" t="s">
        <v>379</v>
      </c>
      <c r="L503" s="9" t="s">
        <v>43</v>
      </c>
      <c r="M503" s="9" t="s">
        <v>2181</v>
      </c>
      <c r="N503" s="9" t="s">
        <v>35</v>
      </c>
      <c r="O503" s="9" t="s">
        <v>2182</v>
      </c>
      <c r="P503" s="9" t="s">
        <v>1296</v>
      </c>
    </row>
    <row r="504">
      <c r="A504" s="17" t="s">
        <v>342</v>
      </c>
      <c r="B504" s="8">
        <v>529.0</v>
      </c>
      <c r="C504" s="8">
        <v>1027304.0</v>
      </c>
      <c r="D504" s="8">
        <v>1041709.0</v>
      </c>
      <c r="E504" s="9" t="s">
        <v>375</v>
      </c>
      <c r="F504" s="9"/>
      <c r="G504" s="9" t="s">
        <v>376</v>
      </c>
      <c r="H504" s="9" t="s">
        <v>377</v>
      </c>
      <c r="I504" s="8">
        <v>1941.0</v>
      </c>
      <c r="J504" s="9" t="s">
        <v>378</v>
      </c>
      <c r="K504" s="9" t="s">
        <v>379</v>
      </c>
      <c r="L504" s="9" t="s">
        <v>43</v>
      </c>
      <c r="M504" s="9" t="s">
        <v>2183</v>
      </c>
      <c r="N504" s="9" t="s">
        <v>35</v>
      </c>
      <c r="O504" s="9" t="s">
        <v>2184</v>
      </c>
      <c r="P504" s="9" t="s">
        <v>1300</v>
      </c>
    </row>
    <row r="505">
      <c r="A505" s="17" t="s">
        <v>342</v>
      </c>
      <c r="B505" s="8">
        <v>532.0</v>
      </c>
      <c r="C505" s="8">
        <v>1049748.0</v>
      </c>
      <c r="D505" s="8">
        <v>1062328.0</v>
      </c>
      <c r="E505" s="9" t="s">
        <v>375</v>
      </c>
      <c r="F505" s="9"/>
      <c r="G505" s="9" t="s">
        <v>376</v>
      </c>
      <c r="H505" s="9" t="s">
        <v>377</v>
      </c>
      <c r="I505" s="8">
        <v>1941.0</v>
      </c>
      <c r="J505" s="9" t="s">
        <v>378</v>
      </c>
      <c r="K505" s="9" t="s">
        <v>379</v>
      </c>
      <c r="L505" s="9" t="s">
        <v>43</v>
      </c>
      <c r="M505" s="9" t="s">
        <v>2185</v>
      </c>
      <c r="N505" s="9" t="s">
        <v>35</v>
      </c>
      <c r="O505" s="9" t="s">
        <v>2186</v>
      </c>
      <c r="P505" s="9" t="s">
        <v>1296</v>
      </c>
    </row>
    <row r="506">
      <c r="A506" s="17" t="s">
        <v>342</v>
      </c>
      <c r="B506" s="8">
        <v>647.0</v>
      </c>
      <c r="C506" s="8">
        <v>302750.0</v>
      </c>
      <c r="D506" s="8">
        <v>308800.0</v>
      </c>
      <c r="E506" s="9" t="s">
        <v>387</v>
      </c>
      <c r="F506" s="9"/>
      <c r="G506" s="9" t="s">
        <v>388</v>
      </c>
      <c r="H506" s="9" t="s">
        <v>345</v>
      </c>
      <c r="I506" s="8">
        <v>1932.0</v>
      </c>
      <c r="J506" s="9" t="s">
        <v>389</v>
      </c>
      <c r="K506" s="9" t="s">
        <v>390</v>
      </c>
      <c r="L506" s="9" t="s">
        <v>391</v>
      </c>
      <c r="M506" s="9" t="s">
        <v>2187</v>
      </c>
      <c r="N506" s="9" t="s">
        <v>35</v>
      </c>
      <c r="O506" s="9" t="s">
        <v>2188</v>
      </c>
      <c r="P506" s="9" t="s">
        <v>1296</v>
      </c>
    </row>
    <row r="507">
      <c r="A507" s="17" t="s">
        <v>342</v>
      </c>
      <c r="B507" s="8">
        <v>648.0</v>
      </c>
      <c r="C507" s="8">
        <v>309610.0</v>
      </c>
      <c r="D507" s="8">
        <v>314800.0</v>
      </c>
      <c r="E507" s="9" t="s">
        <v>387</v>
      </c>
      <c r="F507" s="9"/>
      <c r="G507" s="9" t="s">
        <v>388</v>
      </c>
      <c r="H507" s="9" t="s">
        <v>345</v>
      </c>
      <c r="I507" s="8">
        <v>1932.0</v>
      </c>
      <c r="J507" s="9" t="s">
        <v>389</v>
      </c>
      <c r="K507" s="9" t="s">
        <v>390</v>
      </c>
      <c r="L507" s="9" t="s">
        <v>391</v>
      </c>
      <c r="M507" s="9" t="s">
        <v>2189</v>
      </c>
      <c r="N507" s="9" t="s">
        <v>35</v>
      </c>
      <c r="O507" s="9" t="s">
        <v>2188</v>
      </c>
      <c r="P507" s="9" t="s">
        <v>1296</v>
      </c>
    </row>
    <row r="508">
      <c r="A508" s="17" t="s">
        <v>342</v>
      </c>
      <c r="B508" s="8">
        <v>649.0</v>
      </c>
      <c r="C508" s="8">
        <v>315000.0</v>
      </c>
      <c r="D508" s="8">
        <v>325440.0</v>
      </c>
      <c r="E508" s="9" t="s">
        <v>387</v>
      </c>
      <c r="F508" s="9"/>
      <c r="G508" s="9" t="s">
        <v>388</v>
      </c>
      <c r="H508" s="9" t="s">
        <v>345</v>
      </c>
      <c r="I508" s="8">
        <v>1932.0</v>
      </c>
      <c r="J508" s="9" t="s">
        <v>389</v>
      </c>
      <c r="K508" s="9" t="s">
        <v>390</v>
      </c>
      <c r="L508" s="9" t="s">
        <v>391</v>
      </c>
      <c r="M508" s="9" t="s">
        <v>2190</v>
      </c>
      <c r="N508" s="9" t="s">
        <v>35</v>
      </c>
      <c r="O508" s="9" t="s">
        <v>2188</v>
      </c>
      <c r="P508" s="9" t="s">
        <v>1296</v>
      </c>
    </row>
    <row r="509">
      <c r="A509" s="17" t="s">
        <v>342</v>
      </c>
      <c r="B509" s="8">
        <v>656.0</v>
      </c>
      <c r="C509" s="8">
        <v>350655.0</v>
      </c>
      <c r="D509" s="8">
        <v>351475.0</v>
      </c>
      <c r="E509" s="9" t="s">
        <v>387</v>
      </c>
      <c r="F509" s="9"/>
      <c r="G509" s="9" t="s">
        <v>388</v>
      </c>
      <c r="H509" s="9" t="s">
        <v>345</v>
      </c>
      <c r="I509" s="8">
        <v>1932.0</v>
      </c>
      <c r="J509" s="9" t="s">
        <v>389</v>
      </c>
      <c r="K509" s="9" t="s">
        <v>390</v>
      </c>
      <c r="L509" s="9" t="s">
        <v>391</v>
      </c>
      <c r="M509" s="9"/>
      <c r="N509" s="9" t="s">
        <v>45</v>
      </c>
      <c r="O509" s="9" t="s">
        <v>2191</v>
      </c>
      <c r="P509" s="9" t="s">
        <v>1296</v>
      </c>
    </row>
    <row r="510">
      <c r="A510" s="17" t="s">
        <v>342</v>
      </c>
      <c r="B510" s="8">
        <v>707.0</v>
      </c>
      <c r="C510" s="8">
        <v>637021.0</v>
      </c>
      <c r="D510" s="8">
        <v>638737.0</v>
      </c>
      <c r="E510" s="9" t="s">
        <v>387</v>
      </c>
      <c r="F510" s="9"/>
      <c r="G510" s="9" t="s">
        <v>388</v>
      </c>
      <c r="H510" s="9" t="s">
        <v>345</v>
      </c>
      <c r="I510" s="8">
        <v>1932.0</v>
      </c>
      <c r="J510" s="9" t="s">
        <v>389</v>
      </c>
      <c r="K510" s="9" t="s">
        <v>390</v>
      </c>
      <c r="L510" s="9" t="s">
        <v>391</v>
      </c>
      <c r="M510" s="9"/>
      <c r="N510" s="9" t="s">
        <v>45</v>
      </c>
      <c r="O510" s="12" t="str">
        <f>С поля боя.</f>
        <v>#ERROR!</v>
      </c>
      <c r="P510" s="9" t="s">
        <v>1300</v>
      </c>
    </row>
    <row r="511">
      <c r="A511" s="17" t="s">
        <v>342</v>
      </c>
      <c r="B511" s="8">
        <v>707.0</v>
      </c>
      <c r="C511" s="8">
        <v>637021.0</v>
      </c>
      <c r="D511" s="8">
        <v>638737.0</v>
      </c>
      <c r="E511" s="9" t="s">
        <v>387</v>
      </c>
      <c r="F511" s="9"/>
      <c r="G511" s="9" t="s">
        <v>388</v>
      </c>
      <c r="H511" s="9" t="s">
        <v>345</v>
      </c>
      <c r="I511" s="8">
        <v>1932.0</v>
      </c>
      <c r="J511" s="9" t="s">
        <v>389</v>
      </c>
      <c r="K511" s="9" t="s">
        <v>390</v>
      </c>
      <c r="L511" s="9" t="s">
        <v>391</v>
      </c>
      <c r="M511" s="9" t="s">
        <v>2192</v>
      </c>
      <c r="N511" s="9" t="s">
        <v>45</v>
      </c>
      <c r="O511" s="9" t="s">
        <v>2193</v>
      </c>
      <c r="P511" s="9" t="s">
        <v>1316</v>
      </c>
    </row>
    <row r="512">
      <c r="A512" s="17" t="s">
        <v>342</v>
      </c>
      <c r="B512" s="8">
        <v>709.0</v>
      </c>
      <c r="C512" s="8">
        <v>646737.0</v>
      </c>
      <c r="D512" s="8">
        <v>648841.0</v>
      </c>
      <c r="E512" s="9" t="s">
        <v>387</v>
      </c>
      <c r="F512" s="9"/>
      <c r="G512" s="9" t="s">
        <v>388</v>
      </c>
      <c r="H512" s="9" t="s">
        <v>345</v>
      </c>
      <c r="I512" s="8">
        <v>1932.0</v>
      </c>
      <c r="J512" s="9" t="s">
        <v>389</v>
      </c>
      <c r="K512" s="9" t="s">
        <v>390</v>
      </c>
      <c r="L512" s="9" t="s">
        <v>391</v>
      </c>
      <c r="M512" s="9" t="s">
        <v>2194</v>
      </c>
      <c r="N512" s="9" t="s">
        <v>35</v>
      </c>
      <c r="O512" s="9" t="s">
        <v>2195</v>
      </c>
      <c r="P512" s="9" t="s">
        <v>1296</v>
      </c>
    </row>
    <row r="513">
      <c r="A513" s="17" t="s">
        <v>342</v>
      </c>
      <c r="B513" s="8">
        <v>718.0</v>
      </c>
      <c r="C513" s="8">
        <v>717432.0</v>
      </c>
      <c r="D513" s="8">
        <v>725895.0</v>
      </c>
      <c r="E513" s="9" t="s">
        <v>387</v>
      </c>
      <c r="F513" s="9"/>
      <c r="G513" s="9" t="s">
        <v>388</v>
      </c>
      <c r="H513" s="9" t="s">
        <v>345</v>
      </c>
      <c r="I513" s="8">
        <v>1932.0</v>
      </c>
      <c r="J513" s="9" t="s">
        <v>389</v>
      </c>
      <c r="K513" s="9" t="s">
        <v>390</v>
      </c>
      <c r="L513" s="9" t="s">
        <v>391</v>
      </c>
      <c r="M513" s="9" t="s">
        <v>2196</v>
      </c>
      <c r="N513" s="9" t="s">
        <v>35</v>
      </c>
      <c r="O513" s="9" t="s">
        <v>2197</v>
      </c>
      <c r="P513" s="9" t="s">
        <v>1300</v>
      </c>
    </row>
    <row r="514">
      <c r="A514" s="17" t="s">
        <v>342</v>
      </c>
      <c r="B514" s="8">
        <v>720.0</v>
      </c>
      <c r="C514" s="8">
        <v>729462.0</v>
      </c>
      <c r="D514" s="8">
        <v>733761.0</v>
      </c>
      <c r="E514" s="9" t="s">
        <v>387</v>
      </c>
      <c r="F514" s="9"/>
      <c r="G514" s="9" t="s">
        <v>388</v>
      </c>
      <c r="H514" s="9" t="s">
        <v>345</v>
      </c>
      <c r="I514" s="8">
        <v>1932.0</v>
      </c>
      <c r="J514" s="9" t="s">
        <v>389</v>
      </c>
      <c r="K514" s="9" t="s">
        <v>390</v>
      </c>
      <c r="L514" s="9" t="s">
        <v>391</v>
      </c>
      <c r="M514" s="9" t="s">
        <v>2198</v>
      </c>
      <c r="N514" s="9" t="s">
        <v>35</v>
      </c>
      <c r="O514" s="9" t="s">
        <v>2199</v>
      </c>
      <c r="P514" s="9" t="s">
        <v>1296</v>
      </c>
    </row>
    <row r="515">
      <c r="A515" s="17" t="s">
        <v>342</v>
      </c>
      <c r="B515" s="8">
        <v>729.0</v>
      </c>
      <c r="C515" s="8">
        <v>768550.0</v>
      </c>
      <c r="D515" s="8">
        <v>771207.0</v>
      </c>
      <c r="E515" s="9" t="s">
        <v>387</v>
      </c>
      <c r="F515" s="9"/>
      <c r="G515" s="9" t="s">
        <v>388</v>
      </c>
      <c r="H515" s="9" t="s">
        <v>345</v>
      </c>
      <c r="I515" s="8">
        <v>1932.0</v>
      </c>
      <c r="J515" s="9" t="s">
        <v>389</v>
      </c>
      <c r="K515" s="9" t="s">
        <v>390</v>
      </c>
      <c r="L515" s="9" t="s">
        <v>391</v>
      </c>
      <c r="M515" s="9" t="s">
        <v>2200</v>
      </c>
      <c r="N515" s="9" t="s">
        <v>35</v>
      </c>
      <c r="O515" s="9" t="s">
        <v>2199</v>
      </c>
      <c r="P515" s="9" t="s">
        <v>1296</v>
      </c>
    </row>
    <row r="516">
      <c r="A516" s="17" t="s">
        <v>342</v>
      </c>
      <c r="B516" s="8">
        <v>751.0</v>
      </c>
      <c r="C516" s="8">
        <v>880052.0</v>
      </c>
      <c r="D516" s="8">
        <v>884828.0</v>
      </c>
      <c r="E516" s="9" t="s">
        <v>387</v>
      </c>
      <c r="F516" s="9"/>
      <c r="G516" s="9" t="s">
        <v>388</v>
      </c>
      <c r="H516" s="9" t="s">
        <v>345</v>
      </c>
      <c r="I516" s="8">
        <v>1932.0</v>
      </c>
      <c r="J516" s="9" t="s">
        <v>389</v>
      </c>
      <c r="K516" s="9" t="s">
        <v>390</v>
      </c>
      <c r="L516" s="9" t="s">
        <v>391</v>
      </c>
      <c r="M516" s="9" t="s">
        <v>2201</v>
      </c>
      <c r="N516" s="9" t="s">
        <v>35</v>
      </c>
      <c r="O516" s="9" t="s">
        <v>2202</v>
      </c>
      <c r="P516" s="9" t="s">
        <v>1296</v>
      </c>
    </row>
    <row r="517">
      <c r="A517" s="17" t="s">
        <v>342</v>
      </c>
      <c r="B517" s="8">
        <v>797.0</v>
      </c>
      <c r="C517" s="8">
        <v>1158626.0</v>
      </c>
      <c r="D517" s="8">
        <v>1160775.0</v>
      </c>
      <c r="E517" s="9" t="s">
        <v>387</v>
      </c>
      <c r="F517" s="9"/>
      <c r="G517" s="9" t="s">
        <v>388</v>
      </c>
      <c r="H517" s="9" t="s">
        <v>345</v>
      </c>
      <c r="I517" s="8">
        <v>1932.0</v>
      </c>
      <c r="J517" s="9" t="s">
        <v>389</v>
      </c>
      <c r="K517" s="9" t="s">
        <v>390</v>
      </c>
      <c r="L517" s="9" t="s">
        <v>391</v>
      </c>
      <c r="M517" s="9" t="s">
        <v>2111</v>
      </c>
      <c r="N517" s="9" t="s">
        <v>35</v>
      </c>
      <c r="O517" s="9" t="s">
        <v>2203</v>
      </c>
      <c r="P517" s="9" t="s">
        <v>1316</v>
      </c>
    </row>
    <row r="518">
      <c r="A518" s="17" t="s">
        <v>342</v>
      </c>
      <c r="B518" s="8">
        <v>799.0</v>
      </c>
      <c r="C518" s="8">
        <v>1165895.0</v>
      </c>
      <c r="D518" s="8">
        <v>1182134.0</v>
      </c>
      <c r="E518" s="9" t="s">
        <v>387</v>
      </c>
      <c r="F518" s="9"/>
      <c r="G518" s="9" t="s">
        <v>388</v>
      </c>
      <c r="H518" s="9" t="s">
        <v>345</v>
      </c>
      <c r="I518" s="8">
        <v>1932.0</v>
      </c>
      <c r="J518" s="9" t="s">
        <v>389</v>
      </c>
      <c r="K518" s="9" t="s">
        <v>390</v>
      </c>
      <c r="L518" s="9" t="s">
        <v>391</v>
      </c>
      <c r="M518" s="9" t="s">
        <v>2204</v>
      </c>
      <c r="N518" s="9" t="s">
        <v>35</v>
      </c>
      <c r="O518" s="9" t="s">
        <v>2205</v>
      </c>
      <c r="P518" s="9" t="s">
        <v>1316</v>
      </c>
    </row>
    <row r="519">
      <c r="A519" s="17" t="s">
        <v>342</v>
      </c>
      <c r="B519" s="8">
        <v>811.0</v>
      </c>
      <c r="C519" s="8">
        <v>1244596.0</v>
      </c>
      <c r="D519" s="8">
        <v>1245849.0</v>
      </c>
      <c r="E519" s="9" t="s">
        <v>387</v>
      </c>
      <c r="F519" s="9"/>
      <c r="G519" s="9" t="s">
        <v>388</v>
      </c>
      <c r="H519" s="9" t="s">
        <v>345</v>
      </c>
      <c r="I519" s="8">
        <v>1932.0</v>
      </c>
      <c r="J519" s="9" t="s">
        <v>389</v>
      </c>
      <c r="K519" s="9" t="s">
        <v>390</v>
      </c>
      <c r="L519" s="9" t="s">
        <v>391</v>
      </c>
      <c r="M519" s="9"/>
      <c r="N519" s="9" t="s">
        <v>45</v>
      </c>
      <c r="O519" s="9" t="s">
        <v>2206</v>
      </c>
      <c r="P519" s="9" t="s">
        <v>1316</v>
      </c>
    </row>
    <row r="520">
      <c r="A520" s="17" t="s">
        <v>342</v>
      </c>
      <c r="B520" s="8">
        <v>862.0</v>
      </c>
      <c r="C520" s="8">
        <v>1533357.0</v>
      </c>
      <c r="D520" s="8">
        <v>1543104.0</v>
      </c>
      <c r="E520" s="9" t="s">
        <v>387</v>
      </c>
      <c r="F520" s="9"/>
      <c r="G520" s="9" t="s">
        <v>388</v>
      </c>
      <c r="H520" s="9" t="s">
        <v>345</v>
      </c>
      <c r="I520" s="8">
        <v>1932.0</v>
      </c>
      <c r="J520" s="9" t="s">
        <v>389</v>
      </c>
      <c r="K520" s="9" t="s">
        <v>390</v>
      </c>
      <c r="L520" s="9" t="s">
        <v>391</v>
      </c>
      <c r="M520" s="9" t="s">
        <v>2207</v>
      </c>
      <c r="N520" s="9" t="s">
        <v>35</v>
      </c>
      <c r="O520" s="9" t="s">
        <v>2208</v>
      </c>
      <c r="P520" s="9" t="s">
        <v>1296</v>
      </c>
    </row>
    <row r="521">
      <c r="A521" s="17" t="s">
        <v>342</v>
      </c>
      <c r="B521" s="8">
        <v>862.0</v>
      </c>
      <c r="C521" s="8">
        <v>1533357.0</v>
      </c>
      <c r="D521" s="8">
        <v>1543104.0</v>
      </c>
      <c r="E521" s="9" t="s">
        <v>387</v>
      </c>
      <c r="F521" s="9"/>
      <c r="G521" s="9" t="s">
        <v>388</v>
      </c>
      <c r="H521" s="9" t="s">
        <v>345</v>
      </c>
      <c r="I521" s="8">
        <v>1932.0</v>
      </c>
      <c r="J521" s="9" t="s">
        <v>389</v>
      </c>
      <c r="K521" s="9" t="s">
        <v>390</v>
      </c>
      <c r="L521" s="9" t="s">
        <v>391</v>
      </c>
      <c r="M521" s="9" t="s">
        <v>2209</v>
      </c>
      <c r="N521" s="9" t="s">
        <v>35</v>
      </c>
      <c r="O521" s="9" t="s">
        <v>2210</v>
      </c>
      <c r="P521" s="9" t="s">
        <v>1296</v>
      </c>
    </row>
    <row r="522">
      <c r="A522" s="17" t="s">
        <v>342</v>
      </c>
      <c r="B522" s="8">
        <v>946.0</v>
      </c>
      <c r="C522" s="8">
        <v>2003895.0</v>
      </c>
      <c r="D522" s="8">
        <v>2007581.0</v>
      </c>
      <c r="E522" s="9" t="s">
        <v>387</v>
      </c>
      <c r="F522" s="9"/>
      <c r="G522" s="9" t="s">
        <v>388</v>
      </c>
      <c r="H522" s="9" t="s">
        <v>345</v>
      </c>
      <c r="I522" s="8">
        <v>1932.0</v>
      </c>
      <c r="J522" s="9" t="s">
        <v>389</v>
      </c>
      <c r="K522" s="9" t="s">
        <v>390</v>
      </c>
      <c r="L522" s="9" t="s">
        <v>391</v>
      </c>
      <c r="M522" s="9" t="s">
        <v>2211</v>
      </c>
      <c r="N522" s="9" t="s">
        <v>35</v>
      </c>
      <c r="O522" s="9" t="s">
        <v>2212</v>
      </c>
      <c r="P522" s="9" t="s">
        <v>1300</v>
      </c>
    </row>
    <row r="523">
      <c r="A523" s="17" t="s">
        <v>342</v>
      </c>
      <c r="B523" s="8">
        <v>964.0</v>
      </c>
      <c r="C523" s="8">
        <v>2103716.0</v>
      </c>
      <c r="D523" s="8">
        <v>2105969.0</v>
      </c>
      <c r="E523" s="9" t="s">
        <v>387</v>
      </c>
      <c r="F523" s="9"/>
      <c r="G523" s="9" t="s">
        <v>388</v>
      </c>
      <c r="H523" s="9" t="s">
        <v>345</v>
      </c>
      <c r="I523" s="8">
        <v>1932.0</v>
      </c>
      <c r="J523" s="9" t="s">
        <v>389</v>
      </c>
      <c r="K523" s="9" t="s">
        <v>390</v>
      </c>
      <c r="L523" s="9" t="s">
        <v>391</v>
      </c>
      <c r="M523" s="9" t="s">
        <v>2213</v>
      </c>
      <c r="N523" s="9" t="s">
        <v>35</v>
      </c>
      <c r="O523" s="9" t="s">
        <v>2214</v>
      </c>
      <c r="P523" s="9" t="s">
        <v>1316</v>
      </c>
    </row>
    <row r="524">
      <c r="A524" s="17" t="s">
        <v>342</v>
      </c>
      <c r="B524" s="8">
        <v>966.0</v>
      </c>
      <c r="C524" s="8">
        <v>2111551.0</v>
      </c>
      <c r="D524" s="8">
        <v>2114671.0</v>
      </c>
      <c r="E524" s="9" t="s">
        <v>387</v>
      </c>
      <c r="F524" s="9"/>
      <c r="G524" s="9" t="s">
        <v>388</v>
      </c>
      <c r="H524" s="9" t="s">
        <v>345</v>
      </c>
      <c r="I524" s="8">
        <v>1932.0</v>
      </c>
      <c r="J524" s="9" t="s">
        <v>389</v>
      </c>
      <c r="K524" s="9" t="s">
        <v>390</v>
      </c>
      <c r="L524" s="9" t="s">
        <v>391</v>
      </c>
      <c r="M524" s="9" t="s">
        <v>2215</v>
      </c>
      <c r="N524" s="9" t="s">
        <v>35</v>
      </c>
      <c r="O524" s="9" t="s">
        <v>2216</v>
      </c>
      <c r="P524" s="9" t="s">
        <v>1316</v>
      </c>
    </row>
    <row r="525">
      <c r="A525" s="17" t="s">
        <v>342</v>
      </c>
      <c r="B525" s="8">
        <v>967.0</v>
      </c>
      <c r="C525" s="8">
        <v>2116029.0</v>
      </c>
      <c r="D525" s="8">
        <v>2119492.0</v>
      </c>
      <c r="E525" s="9" t="s">
        <v>387</v>
      </c>
      <c r="F525" s="9"/>
      <c r="G525" s="9" t="s">
        <v>388</v>
      </c>
      <c r="H525" s="9" t="s">
        <v>345</v>
      </c>
      <c r="I525" s="8">
        <v>1932.0</v>
      </c>
      <c r="J525" s="9" t="s">
        <v>389</v>
      </c>
      <c r="K525" s="9" t="s">
        <v>390</v>
      </c>
      <c r="L525" s="9" t="s">
        <v>391</v>
      </c>
      <c r="M525" s="9" t="s">
        <v>2217</v>
      </c>
      <c r="N525" s="9" t="s">
        <v>35</v>
      </c>
      <c r="O525" s="9" t="s">
        <v>2218</v>
      </c>
      <c r="P525" s="9" t="s">
        <v>1316</v>
      </c>
    </row>
    <row r="526">
      <c r="A526" s="17" t="s">
        <v>342</v>
      </c>
      <c r="B526" s="8">
        <v>990.0</v>
      </c>
      <c r="C526" s="8">
        <v>2235149.0</v>
      </c>
      <c r="D526" s="8">
        <v>2235982.0</v>
      </c>
      <c r="E526" s="9" t="s">
        <v>387</v>
      </c>
      <c r="F526" s="9"/>
      <c r="G526" s="9" t="s">
        <v>388</v>
      </c>
      <c r="H526" s="9" t="s">
        <v>345</v>
      </c>
      <c r="I526" s="8">
        <v>1932.0</v>
      </c>
      <c r="J526" s="9" t="s">
        <v>389</v>
      </c>
      <c r="K526" s="9" t="s">
        <v>390</v>
      </c>
      <c r="L526" s="9" t="s">
        <v>391</v>
      </c>
      <c r="M526" s="9"/>
      <c r="N526" s="9" t="s">
        <v>45</v>
      </c>
      <c r="O526" s="9" t="s">
        <v>2219</v>
      </c>
      <c r="P526" s="9" t="s">
        <v>1296</v>
      </c>
    </row>
    <row r="527">
      <c r="A527" s="17" t="s">
        <v>342</v>
      </c>
      <c r="B527" s="8">
        <v>1002.0</v>
      </c>
      <c r="C527" s="8">
        <v>2339718.0</v>
      </c>
      <c r="D527" s="8">
        <v>2348031.0</v>
      </c>
      <c r="E527" s="9" t="s">
        <v>387</v>
      </c>
      <c r="F527" s="9"/>
      <c r="G527" s="9" t="s">
        <v>388</v>
      </c>
      <c r="H527" s="9" t="s">
        <v>345</v>
      </c>
      <c r="I527" s="8">
        <v>1932.0</v>
      </c>
      <c r="J527" s="9" t="s">
        <v>389</v>
      </c>
      <c r="K527" s="9" t="s">
        <v>390</v>
      </c>
      <c r="L527" s="9" t="s">
        <v>391</v>
      </c>
      <c r="M527" s="9" t="s">
        <v>2220</v>
      </c>
      <c r="N527" s="9" t="s">
        <v>35</v>
      </c>
      <c r="O527" s="9" t="s">
        <v>2221</v>
      </c>
      <c r="P527" s="9" t="s">
        <v>1300</v>
      </c>
    </row>
    <row r="528">
      <c r="A528" s="17" t="s">
        <v>342</v>
      </c>
      <c r="B528" s="8">
        <v>1027.0</v>
      </c>
      <c r="C528" s="8">
        <v>2542375.0</v>
      </c>
      <c r="D528" s="8">
        <v>2544031.0</v>
      </c>
      <c r="E528" s="9" t="s">
        <v>387</v>
      </c>
      <c r="F528" s="9"/>
      <c r="G528" s="9" t="s">
        <v>388</v>
      </c>
      <c r="H528" s="9" t="s">
        <v>345</v>
      </c>
      <c r="I528" s="8">
        <v>1932.0</v>
      </c>
      <c r="J528" s="9" t="s">
        <v>389</v>
      </c>
      <c r="K528" s="9" t="s">
        <v>390</v>
      </c>
      <c r="L528" s="9" t="s">
        <v>391</v>
      </c>
      <c r="M528" s="9" t="s">
        <v>2222</v>
      </c>
      <c r="N528" s="9" t="s">
        <v>35</v>
      </c>
      <c r="O528" s="9" t="s">
        <v>2223</v>
      </c>
      <c r="P528" s="9" t="s">
        <v>1298</v>
      </c>
    </row>
    <row r="529">
      <c r="A529" s="17" t="s">
        <v>342</v>
      </c>
      <c r="B529" s="8">
        <v>1048.0</v>
      </c>
      <c r="C529" s="8">
        <v>2679843.0</v>
      </c>
      <c r="D529" s="8">
        <v>2691781.0</v>
      </c>
      <c r="E529" s="9" t="s">
        <v>387</v>
      </c>
      <c r="F529" s="9"/>
      <c r="G529" s="9" t="s">
        <v>388</v>
      </c>
      <c r="H529" s="9" t="s">
        <v>345</v>
      </c>
      <c r="I529" s="8">
        <v>1932.0</v>
      </c>
      <c r="J529" s="9" t="s">
        <v>389</v>
      </c>
      <c r="K529" s="9" t="s">
        <v>390</v>
      </c>
      <c r="L529" s="9" t="s">
        <v>391</v>
      </c>
      <c r="M529" s="9" t="s">
        <v>2224</v>
      </c>
      <c r="N529" s="9" t="s">
        <v>35</v>
      </c>
      <c r="O529" s="9" t="s">
        <v>2225</v>
      </c>
      <c r="P529" s="9" t="s">
        <v>1316</v>
      </c>
    </row>
    <row r="530">
      <c r="A530" s="17" t="s">
        <v>342</v>
      </c>
      <c r="B530" s="8">
        <v>1048.0</v>
      </c>
      <c r="C530" s="8">
        <v>2679843.0</v>
      </c>
      <c r="D530" s="8">
        <v>2691781.0</v>
      </c>
      <c r="E530" s="9" t="s">
        <v>387</v>
      </c>
      <c r="F530" s="9"/>
      <c r="G530" s="9" t="s">
        <v>388</v>
      </c>
      <c r="H530" s="9" t="s">
        <v>345</v>
      </c>
      <c r="I530" s="8">
        <v>1932.0</v>
      </c>
      <c r="J530" s="9" t="s">
        <v>389</v>
      </c>
      <c r="K530" s="9" t="s">
        <v>390</v>
      </c>
      <c r="L530" s="9" t="s">
        <v>391</v>
      </c>
      <c r="M530" s="9" t="s">
        <v>2226</v>
      </c>
      <c r="N530" s="9" t="s">
        <v>35</v>
      </c>
      <c r="O530" s="9" t="s">
        <v>2227</v>
      </c>
      <c r="P530" s="9" t="s">
        <v>1298</v>
      </c>
    </row>
    <row r="531">
      <c r="A531" s="17" t="s">
        <v>342</v>
      </c>
      <c r="B531" s="8">
        <v>1049.0</v>
      </c>
      <c r="C531" s="8">
        <v>2692015.0</v>
      </c>
      <c r="D531" s="8">
        <v>2695952.0</v>
      </c>
      <c r="E531" s="9" t="s">
        <v>387</v>
      </c>
      <c r="F531" s="9"/>
      <c r="G531" s="9" t="s">
        <v>388</v>
      </c>
      <c r="H531" s="9" t="s">
        <v>345</v>
      </c>
      <c r="I531" s="8">
        <v>1932.0</v>
      </c>
      <c r="J531" s="9" t="s">
        <v>389</v>
      </c>
      <c r="K531" s="9" t="s">
        <v>390</v>
      </c>
      <c r="L531" s="9" t="s">
        <v>391</v>
      </c>
      <c r="M531" s="9" t="s">
        <v>2228</v>
      </c>
      <c r="N531" s="9" t="s">
        <v>35</v>
      </c>
      <c r="O531" s="9" t="s">
        <v>2229</v>
      </c>
      <c r="P531" s="9" t="s">
        <v>1316</v>
      </c>
    </row>
    <row r="532">
      <c r="A532" s="17" t="s">
        <v>342</v>
      </c>
      <c r="B532" s="8">
        <v>1050.0</v>
      </c>
      <c r="C532" s="8">
        <v>2696156.0</v>
      </c>
      <c r="D532" s="8">
        <v>2705328.0</v>
      </c>
      <c r="E532" s="9" t="s">
        <v>387</v>
      </c>
      <c r="F532" s="9"/>
      <c r="G532" s="9" t="s">
        <v>388</v>
      </c>
      <c r="H532" s="9" t="s">
        <v>345</v>
      </c>
      <c r="I532" s="8">
        <v>1932.0</v>
      </c>
      <c r="J532" s="9" t="s">
        <v>389</v>
      </c>
      <c r="K532" s="9" t="s">
        <v>390</v>
      </c>
      <c r="L532" s="9" t="s">
        <v>391</v>
      </c>
      <c r="M532" s="9" t="s">
        <v>2230</v>
      </c>
      <c r="N532" s="9" t="s">
        <v>35</v>
      </c>
      <c r="O532" s="9" t="s">
        <v>2231</v>
      </c>
      <c r="P532" s="9" t="s">
        <v>1316</v>
      </c>
    </row>
    <row r="533">
      <c r="A533" s="17" t="s">
        <v>342</v>
      </c>
      <c r="B533" s="8">
        <v>1144.0</v>
      </c>
      <c r="C533" s="8">
        <v>3263890.0</v>
      </c>
      <c r="D533" s="8">
        <v>3276140.0</v>
      </c>
      <c r="E533" s="9" t="s">
        <v>387</v>
      </c>
      <c r="F533" s="9"/>
      <c r="G533" s="9" t="s">
        <v>388</v>
      </c>
      <c r="H533" s="9" t="s">
        <v>345</v>
      </c>
      <c r="I533" s="8">
        <v>1932.0</v>
      </c>
      <c r="J533" s="9" t="s">
        <v>389</v>
      </c>
      <c r="K533" s="9" t="s">
        <v>390</v>
      </c>
      <c r="L533" s="9" t="s">
        <v>391</v>
      </c>
      <c r="M533" s="9" t="s">
        <v>2232</v>
      </c>
      <c r="N533" s="9" t="s">
        <v>35</v>
      </c>
      <c r="O533" s="9" t="s">
        <v>2233</v>
      </c>
      <c r="P533" s="9" t="s">
        <v>1316</v>
      </c>
    </row>
    <row r="534">
      <c r="A534" s="17" t="s">
        <v>342</v>
      </c>
      <c r="B534" s="8">
        <v>1144.0</v>
      </c>
      <c r="C534" s="8">
        <v>3263890.0</v>
      </c>
      <c r="D534" s="8">
        <v>3276140.0</v>
      </c>
      <c r="E534" s="9" t="s">
        <v>387</v>
      </c>
      <c r="F534" s="9"/>
      <c r="G534" s="9" t="s">
        <v>388</v>
      </c>
      <c r="H534" s="9" t="s">
        <v>345</v>
      </c>
      <c r="I534" s="8">
        <v>1932.0</v>
      </c>
      <c r="J534" s="9" t="s">
        <v>389</v>
      </c>
      <c r="K534" s="9" t="s">
        <v>390</v>
      </c>
      <c r="L534" s="9" t="s">
        <v>391</v>
      </c>
      <c r="M534" s="9" t="s">
        <v>2234</v>
      </c>
      <c r="N534" s="9" t="s">
        <v>35</v>
      </c>
      <c r="O534" s="9" t="s">
        <v>2235</v>
      </c>
      <c r="P534" s="9" t="s">
        <v>1298</v>
      </c>
    </row>
    <row r="535">
      <c r="A535" s="17" t="s">
        <v>342</v>
      </c>
      <c r="B535" s="8">
        <v>1168.0</v>
      </c>
      <c r="C535" s="8">
        <v>3407921.0</v>
      </c>
      <c r="D535" s="8">
        <v>3416250.0</v>
      </c>
      <c r="E535" s="9" t="s">
        <v>387</v>
      </c>
      <c r="F535" s="9"/>
      <c r="G535" s="9" t="s">
        <v>388</v>
      </c>
      <c r="H535" s="9" t="s">
        <v>345</v>
      </c>
      <c r="I535" s="8">
        <v>1932.0</v>
      </c>
      <c r="J535" s="9" t="s">
        <v>389</v>
      </c>
      <c r="K535" s="9" t="s">
        <v>390</v>
      </c>
      <c r="L535" s="9" t="s">
        <v>391</v>
      </c>
      <c r="M535" s="9" t="s">
        <v>2236</v>
      </c>
      <c r="N535" s="9" t="s">
        <v>35</v>
      </c>
      <c r="O535" s="9" t="s">
        <v>2237</v>
      </c>
      <c r="P535" s="9" t="s">
        <v>1296</v>
      </c>
    </row>
    <row r="536">
      <c r="A536" s="17" t="s">
        <v>342</v>
      </c>
      <c r="B536" s="8">
        <v>1195.0</v>
      </c>
      <c r="C536" s="8">
        <v>3609577.0</v>
      </c>
      <c r="D536" s="8">
        <v>3612139.0</v>
      </c>
      <c r="E536" s="9" t="s">
        <v>387</v>
      </c>
      <c r="F536" s="9"/>
      <c r="G536" s="9" t="s">
        <v>388</v>
      </c>
      <c r="H536" s="9" t="s">
        <v>345</v>
      </c>
      <c r="I536" s="8">
        <v>1932.0</v>
      </c>
      <c r="J536" s="9" t="s">
        <v>389</v>
      </c>
      <c r="K536" s="9" t="s">
        <v>390</v>
      </c>
      <c r="L536" s="9" t="s">
        <v>391</v>
      </c>
      <c r="M536" s="9" t="s">
        <v>2238</v>
      </c>
      <c r="N536" s="9" t="s">
        <v>35</v>
      </c>
      <c r="O536" s="9" t="s">
        <v>2239</v>
      </c>
      <c r="P536" s="9" t="s">
        <v>1316</v>
      </c>
    </row>
    <row r="537">
      <c r="A537" s="17" t="s">
        <v>342</v>
      </c>
      <c r="B537" s="8">
        <v>1212.0</v>
      </c>
      <c r="C537" s="8">
        <v>3740557.0</v>
      </c>
      <c r="D537" s="8">
        <v>3751032.0</v>
      </c>
      <c r="E537" s="9" t="s">
        <v>387</v>
      </c>
      <c r="F537" s="9"/>
      <c r="G537" s="9" t="s">
        <v>388</v>
      </c>
      <c r="H537" s="9" t="s">
        <v>345</v>
      </c>
      <c r="I537" s="8">
        <v>1932.0</v>
      </c>
      <c r="J537" s="9" t="s">
        <v>389</v>
      </c>
      <c r="K537" s="9" t="s">
        <v>390</v>
      </c>
      <c r="L537" s="9" t="s">
        <v>391</v>
      </c>
      <c r="M537" s="9" t="s">
        <v>2240</v>
      </c>
      <c r="N537" s="9" t="s">
        <v>35</v>
      </c>
      <c r="O537" s="9" t="s">
        <v>2241</v>
      </c>
      <c r="P537" s="9" t="s">
        <v>1316</v>
      </c>
    </row>
    <row r="538">
      <c r="A538" s="17" t="s">
        <v>342</v>
      </c>
      <c r="B538" s="8">
        <v>1212.0</v>
      </c>
      <c r="C538" s="8">
        <v>3740557.0</v>
      </c>
      <c r="D538" s="8">
        <v>3751032.0</v>
      </c>
      <c r="E538" s="9" t="s">
        <v>387</v>
      </c>
      <c r="F538" s="9"/>
      <c r="G538" s="9" t="s">
        <v>388</v>
      </c>
      <c r="H538" s="9" t="s">
        <v>345</v>
      </c>
      <c r="I538" s="8">
        <v>1932.0</v>
      </c>
      <c r="J538" s="9" t="s">
        <v>389</v>
      </c>
      <c r="K538" s="9" t="s">
        <v>390</v>
      </c>
      <c r="L538" s="9" t="s">
        <v>391</v>
      </c>
      <c r="M538" s="9" t="s">
        <v>2242</v>
      </c>
      <c r="N538" s="9" t="s">
        <v>35</v>
      </c>
      <c r="O538" s="9" t="s">
        <v>2243</v>
      </c>
      <c r="P538" s="9" t="s">
        <v>1316</v>
      </c>
    </row>
    <row r="539">
      <c r="A539" s="17" t="s">
        <v>342</v>
      </c>
      <c r="B539" s="8">
        <v>1212.0</v>
      </c>
      <c r="C539" s="8">
        <v>3740557.0</v>
      </c>
      <c r="D539" s="8">
        <v>3751032.0</v>
      </c>
      <c r="E539" s="9" t="s">
        <v>387</v>
      </c>
      <c r="F539" s="9"/>
      <c r="G539" s="9" t="s">
        <v>388</v>
      </c>
      <c r="H539" s="9" t="s">
        <v>345</v>
      </c>
      <c r="I539" s="8">
        <v>1932.0</v>
      </c>
      <c r="J539" s="9" t="s">
        <v>389</v>
      </c>
      <c r="K539" s="9" t="s">
        <v>390</v>
      </c>
      <c r="L539" s="9" t="s">
        <v>391</v>
      </c>
      <c r="M539" s="9" t="s">
        <v>2244</v>
      </c>
      <c r="N539" s="9" t="s">
        <v>35</v>
      </c>
      <c r="O539" s="9" t="s">
        <v>2245</v>
      </c>
      <c r="P539" s="9" t="s">
        <v>1316</v>
      </c>
    </row>
    <row r="540">
      <c r="A540" s="17" t="s">
        <v>342</v>
      </c>
      <c r="B540" s="8">
        <v>1212.0</v>
      </c>
      <c r="C540" s="8">
        <v>3740557.0</v>
      </c>
      <c r="D540" s="8">
        <v>3751032.0</v>
      </c>
      <c r="E540" s="9" t="s">
        <v>387</v>
      </c>
      <c r="F540" s="9"/>
      <c r="G540" s="9" t="s">
        <v>388</v>
      </c>
      <c r="H540" s="9" t="s">
        <v>345</v>
      </c>
      <c r="I540" s="8">
        <v>1932.0</v>
      </c>
      <c r="J540" s="9" t="s">
        <v>389</v>
      </c>
      <c r="K540" s="9" t="s">
        <v>390</v>
      </c>
      <c r="L540" s="9" t="s">
        <v>391</v>
      </c>
      <c r="M540" s="9" t="s">
        <v>2246</v>
      </c>
      <c r="N540" s="9" t="s">
        <v>35</v>
      </c>
      <c r="O540" s="9" t="s">
        <v>2247</v>
      </c>
      <c r="P540" s="9" t="s">
        <v>1298</v>
      </c>
    </row>
    <row r="541">
      <c r="A541" s="17" t="s">
        <v>342</v>
      </c>
      <c r="B541" s="8">
        <v>1215.0</v>
      </c>
      <c r="C541" s="8">
        <v>3780934.0</v>
      </c>
      <c r="D541" s="8">
        <v>3783803.0</v>
      </c>
      <c r="E541" s="9" t="s">
        <v>387</v>
      </c>
      <c r="F541" s="9"/>
      <c r="G541" s="9" t="s">
        <v>388</v>
      </c>
      <c r="H541" s="9" t="s">
        <v>345</v>
      </c>
      <c r="I541" s="8">
        <v>1932.0</v>
      </c>
      <c r="J541" s="9" t="s">
        <v>389</v>
      </c>
      <c r="K541" s="9" t="s">
        <v>390</v>
      </c>
      <c r="L541" s="9" t="s">
        <v>391</v>
      </c>
      <c r="M541" s="9" t="s">
        <v>2248</v>
      </c>
      <c r="N541" s="9" t="s">
        <v>35</v>
      </c>
      <c r="O541" s="9" t="s">
        <v>2249</v>
      </c>
      <c r="P541" s="9" t="s">
        <v>1296</v>
      </c>
    </row>
    <row r="542">
      <c r="A542" s="17" t="s">
        <v>342</v>
      </c>
      <c r="B542" s="8">
        <v>1301.0</v>
      </c>
      <c r="C542" s="8">
        <v>4368139.0</v>
      </c>
      <c r="D542" s="8">
        <v>4374467.0</v>
      </c>
      <c r="E542" s="9" t="s">
        <v>387</v>
      </c>
      <c r="F542" s="9"/>
      <c r="G542" s="9" t="s">
        <v>388</v>
      </c>
      <c r="H542" s="9" t="s">
        <v>345</v>
      </c>
      <c r="I542" s="8">
        <v>1932.0</v>
      </c>
      <c r="J542" s="9" t="s">
        <v>389</v>
      </c>
      <c r="K542" s="9" t="s">
        <v>390</v>
      </c>
      <c r="L542" s="9" t="s">
        <v>391</v>
      </c>
      <c r="M542" s="9" t="s">
        <v>2250</v>
      </c>
      <c r="N542" s="9" t="s">
        <v>35</v>
      </c>
      <c r="O542" s="9" t="s">
        <v>2251</v>
      </c>
      <c r="P542" s="9" t="s">
        <v>1296</v>
      </c>
    </row>
    <row r="543">
      <c r="A543" s="17" t="s">
        <v>342</v>
      </c>
      <c r="B543" s="8">
        <v>1321.0</v>
      </c>
      <c r="C543" s="8">
        <v>4501134.0</v>
      </c>
      <c r="D543" s="8">
        <v>4505529.0</v>
      </c>
      <c r="E543" s="9" t="s">
        <v>387</v>
      </c>
      <c r="F543" s="9"/>
      <c r="G543" s="9" t="s">
        <v>388</v>
      </c>
      <c r="H543" s="9" t="s">
        <v>345</v>
      </c>
      <c r="I543" s="8">
        <v>1932.0</v>
      </c>
      <c r="J543" s="9" t="s">
        <v>389</v>
      </c>
      <c r="K543" s="9" t="s">
        <v>390</v>
      </c>
      <c r="L543" s="9" t="s">
        <v>391</v>
      </c>
      <c r="M543" s="9" t="s">
        <v>2252</v>
      </c>
      <c r="N543" s="9" t="s">
        <v>35</v>
      </c>
      <c r="O543" s="9" t="s">
        <v>2253</v>
      </c>
      <c r="P543" s="9" t="s">
        <v>1296</v>
      </c>
    </row>
    <row r="544">
      <c r="A544" s="17" t="s">
        <v>342</v>
      </c>
      <c r="B544" s="8">
        <v>1334.0</v>
      </c>
      <c r="C544" s="8">
        <v>4581421.0</v>
      </c>
      <c r="D544" s="8">
        <v>4588703.0</v>
      </c>
      <c r="E544" s="9" t="s">
        <v>387</v>
      </c>
      <c r="F544" s="9"/>
      <c r="G544" s="9" t="s">
        <v>388</v>
      </c>
      <c r="H544" s="9" t="s">
        <v>345</v>
      </c>
      <c r="I544" s="8">
        <v>1932.0</v>
      </c>
      <c r="J544" s="9" t="s">
        <v>389</v>
      </c>
      <c r="K544" s="9" t="s">
        <v>390</v>
      </c>
      <c r="L544" s="9" t="s">
        <v>391</v>
      </c>
      <c r="M544" s="9" t="s">
        <v>2254</v>
      </c>
      <c r="N544" s="9" t="s">
        <v>35</v>
      </c>
      <c r="O544" s="9" t="s">
        <v>2255</v>
      </c>
      <c r="P544" s="9" t="s">
        <v>1296</v>
      </c>
    </row>
    <row r="545">
      <c r="A545" s="17" t="s">
        <v>342</v>
      </c>
      <c r="B545" s="8">
        <v>1431.0</v>
      </c>
      <c r="C545" s="8">
        <v>5244386.0</v>
      </c>
      <c r="D545" s="8">
        <v>5247695.0</v>
      </c>
      <c r="E545" s="9" t="s">
        <v>387</v>
      </c>
      <c r="F545" s="9"/>
      <c r="G545" s="9" t="s">
        <v>388</v>
      </c>
      <c r="H545" s="9" t="s">
        <v>345</v>
      </c>
      <c r="I545" s="8">
        <v>1932.0</v>
      </c>
      <c r="J545" s="9" t="s">
        <v>389</v>
      </c>
      <c r="K545" s="9" t="s">
        <v>390</v>
      </c>
      <c r="L545" s="9" t="s">
        <v>391</v>
      </c>
      <c r="M545" s="9" t="s">
        <v>2256</v>
      </c>
      <c r="N545" s="9" t="s">
        <v>35</v>
      </c>
      <c r="O545" s="9" t="s">
        <v>2257</v>
      </c>
      <c r="P545" s="9" t="s">
        <v>1296</v>
      </c>
    </row>
    <row r="546">
      <c r="A546" s="17" t="s">
        <v>342</v>
      </c>
      <c r="B546" s="8">
        <v>1432.0</v>
      </c>
      <c r="C546" s="8">
        <v>5247927.0</v>
      </c>
      <c r="D546" s="8">
        <v>5250941.0</v>
      </c>
      <c r="E546" s="9" t="s">
        <v>387</v>
      </c>
      <c r="F546" s="9"/>
      <c r="G546" s="9" t="s">
        <v>388</v>
      </c>
      <c r="H546" s="9" t="s">
        <v>345</v>
      </c>
      <c r="I546" s="8">
        <v>1932.0</v>
      </c>
      <c r="J546" s="9" t="s">
        <v>389</v>
      </c>
      <c r="K546" s="9" t="s">
        <v>390</v>
      </c>
      <c r="L546" s="9" t="s">
        <v>391</v>
      </c>
      <c r="M546" s="9" t="s">
        <v>2258</v>
      </c>
      <c r="N546" s="9" t="s">
        <v>35</v>
      </c>
      <c r="O546" s="9" t="s">
        <v>2259</v>
      </c>
      <c r="P546" s="9" t="s">
        <v>1296</v>
      </c>
    </row>
    <row r="547">
      <c r="A547" s="17" t="s">
        <v>342</v>
      </c>
      <c r="B547" s="8">
        <v>1435.0</v>
      </c>
      <c r="C547" s="8">
        <v>5264393.0</v>
      </c>
      <c r="D547" s="8">
        <v>5268146.0</v>
      </c>
      <c r="E547" s="9" t="s">
        <v>387</v>
      </c>
      <c r="F547" s="9"/>
      <c r="G547" s="9" t="s">
        <v>388</v>
      </c>
      <c r="H547" s="9" t="s">
        <v>345</v>
      </c>
      <c r="I547" s="8">
        <v>1932.0</v>
      </c>
      <c r="J547" s="9" t="s">
        <v>389</v>
      </c>
      <c r="K547" s="9" t="s">
        <v>390</v>
      </c>
      <c r="L547" s="9" t="s">
        <v>391</v>
      </c>
      <c r="M547" s="9" t="s">
        <v>2258</v>
      </c>
      <c r="N547" s="9" t="s">
        <v>35</v>
      </c>
      <c r="O547" s="9" t="s">
        <v>2260</v>
      </c>
      <c r="P547" s="9" t="s">
        <v>1296</v>
      </c>
    </row>
    <row r="548">
      <c r="A548" s="17" t="s">
        <v>342</v>
      </c>
      <c r="B548" s="8">
        <v>1435.0</v>
      </c>
      <c r="C548" s="8">
        <v>5264393.0</v>
      </c>
      <c r="D548" s="8">
        <v>5268146.0</v>
      </c>
      <c r="E548" s="9" t="s">
        <v>387</v>
      </c>
      <c r="F548" s="9"/>
      <c r="G548" s="9" t="s">
        <v>388</v>
      </c>
      <c r="H548" s="9" t="s">
        <v>345</v>
      </c>
      <c r="I548" s="8">
        <v>1932.0</v>
      </c>
      <c r="J548" s="9" t="s">
        <v>389</v>
      </c>
      <c r="K548" s="9" t="s">
        <v>390</v>
      </c>
      <c r="L548" s="9" t="s">
        <v>391</v>
      </c>
      <c r="M548" s="9" t="s">
        <v>2261</v>
      </c>
      <c r="N548" s="9" t="s">
        <v>35</v>
      </c>
      <c r="O548" s="9" t="s">
        <v>2262</v>
      </c>
      <c r="P548" s="9" t="s">
        <v>1296</v>
      </c>
    </row>
    <row r="549">
      <c r="A549" s="17" t="s">
        <v>342</v>
      </c>
      <c r="B549" s="8">
        <v>1488.0</v>
      </c>
      <c r="C549" s="8">
        <v>288563.0</v>
      </c>
      <c r="D549" s="8">
        <v>293413.0</v>
      </c>
      <c r="E549" s="9" t="s">
        <v>425</v>
      </c>
      <c r="F549" s="9"/>
      <c r="G549" s="9" t="s">
        <v>426</v>
      </c>
      <c r="H549" s="9" t="s">
        <v>345</v>
      </c>
      <c r="I549" s="8">
        <v>1953.0</v>
      </c>
      <c r="J549" s="9" t="s">
        <v>346</v>
      </c>
      <c r="K549" s="9" t="s">
        <v>43</v>
      </c>
      <c r="L549" s="9" t="s">
        <v>43</v>
      </c>
      <c r="M549" s="9" t="s">
        <v>2263</v>
      </c>
      <c r="N549" s="9" t="s">
        <v>35</v>
      </c>
      <c r="O549" s="9" t="s">
        <v>2264</v>
      </c>
      <c r="P549" s="9" t="s">
        <v>1300</v>
      </c>
    </row>
    <row r="550">
      <c r="A550" s="17" t="s">
        <v>342</v>
      </c>
      <c r="B550" s="8">
        <v>1488.0</v>
      </c>
      <c r="C550" s="8">
        <v>288563.0</v>
      </c>
      <c r="D550" s="8">
        <v>293413.0</v>
      </c>
      <c r="E550" s="9" t="s">
        <v>425</v>
      </c>
      <c r="F550" s="9"/>
      <c r="G550" s="9" t="s">
        <v>426</v>
      </c>
      <c r="H550" s="9" t="s">
        <v>345</v>
      </c>
      <c r="I550" s="8">
        <v>1953.0</v>
      </c>
      <c r="J550" s="9" t="s">
        <v>346</v>
      </c>
      <c r="K550" s="9" t="s">
        <v>43</v>
      </c>
      <c r="L550" s="9" t="s">
        <v>43</v>
      </c>
      <c r="M550" s="9" t="s">
        <v>2265</v>
      </c>
      <c r="N550" s="9" t="s">
        <v>45</v>
      </c>
      <c r="O550" s="9" t="s">
        <v>2266</v>
      </c>
      <c r="P550" s="9" t="s">
        <v>1296</v>
      </c>
    </row>
    <row r="551">
      <c r="A551" s="17" t="s">
        <v>342</v>
      </c>
      <c r="B551" s="8">
        <v>1494.0</v>
      </c>
      <c r="C551" s="8">
        <v>323057.0</v>
      </c>
      <c r="D551" s="8">
        <v>330111.0</v>
      </c>
      <c r="E551" s="9" t="s">
        <v>425</v>
      </c>
      <c r="F551" s="9"/>
      <c r="G551" s="9" t="s">
        <v>426</v>
      </c>
      <c r="H551" s="9" t="s">
        <v>345</v>
      </c>
      <c r="I551" s="8">
        <v>1953.0</v>
      </c>
      <c r="J551" s="9" t="s">
        <v>346</v>
      </c>
      <c r="K551" s="9" t="s">
        <v>43</v>
      </c>
      <c r="L551" s="9" t="s">
        <v>43</v>
      </c>
      <c r="M551" s="9" t="s">
        <v>2267</v>
      </c>
      <c r="N551" s="9" t="s">
        <v>35</v>
      </c>
      <c r="O551" s="9" t="s">
        <v>2268</v>
      </c>
      <c r="P551" s="9" t="s">
        <v>1296</v>
      </c>
    </row>
    <row r="552">
      <c r="A552" s="17" t="s">
        <v>342</v>
      </c>
      <c r="B552" s="8">
        <v>1505.0</v>
      </c>
      <c r="C552" s="8">
        <v>401649.0</v>
      </c>
      <c r="D552" s="8">
        <v>406411.0</v>
      </c>
      <c r="E552" s="9" t="s">
        <v>425</v>
      </c>
      <c r="F552" s="9"/>
      <c r="G552" s="9" t="s">
        <v>426</v>
      </c>
      <c r="H552" s="9" t="s">
        <v>345</v>
      </c>
      <c r="I552" s="8">
        <v>1953.0</v>
      </c>
      <c r="J552" s="9" t="s">
        <v>346</v>
      </c>
      <c r="K552" s="9" t="s">
        <v>43</v>
      </c>
      <c r="L552" s="9" t="s">
        <v>43</v>
      </c>
      <c r="M552" s="9" t="s">
        <v>2269</v>
      </c>
      <c r="N552" s="9" t="s">
        <v>35</v>
      </c>
      <c r="O552" s="9" t="s">
        <v>2270</v>
      </c>
      <c r="P552" s="9" t="s">
        <v>1316</v>
      </c>
    </row>
    <row r="553">
      <c r="A553" s="17" t="s">
        <v>342</v>
      </c>
      <c r="B553" s="8">
        <v>1505.0</v>
      </c>
      <c r="C553" s="8">
        <v>401649.0</v>
      </c>
      <c r="D553" s="8">
        <v>406411.0</v>
      </c>
      <c r="E553" s="9" t="s">
        <v>425</v>
      </c>
      <c r="F553" s="9"/>
      <c r="G553" s="9" t="s">
        <v>426</v>
      </c>
      <c r="H553" s="9" t="s">
        <v>345</v>
      </c>
      <c r="I553" s="8">
        <v>1953.0</v>
      </c>
      <c r="J553" s="9" t="s">
        <v>346</v>
      </c>
      <c r="K553" s="9" t="s">
        <v>43</v>
      </c>
      <c r="L553" s="9" t="s">
        <v>43</v>
      </c>
      <c r="M553" s="9" t="s">
        <v>2271</v>
      </c>
      <c r="N553" s="9" t="s">
        <v>35</v>
      </c>
      <c r="O553" s="9" t="s">
        <v>2272</v>
      </c>
      <c r="P553" s="9" t="s">
        <v>1300</v>
      </c>
    </row>
    <row r="554">
      <c r="A554" s="17" t="s">
        <v>342</v>
      </c>
      <c r="B554" s="8">
        <v>1514.0</v>
      </c>
      <c r="C554" s="8">
        <v>439744.0</v>
      </c>
      <c r="D554" s="8">
        <v>448066.0</v>
      </c>
      <c r="E554" s="9" t="s">
        <v>425</v>
      </c>
      <c r="F554" s="9"/>
      <c r="G554" s="9" t="s">
        <v>426</v>
      </c>
      <c r="H554" s="9" t="s">
        <v>345</v>
      </c>
      <c r="I554" s="8">
        <v>1953.0</v>
      </c>
      <c r="J554" s="9" t="s">
        <v>346</v>
      </c>
      <c r="K554" s="9" t="s">
        <v>43</v>
      </c>
      <c r="L554" s="9" t="s">
        <v>43</v>
      </c>
      <c r="M554" s="9" t="s">
        <v>2273</v>
      </c>
      <c r="N554" s="9" t="s">
        <v>35</v>
      </c>
      <c r="O554" s="9" t="s">
        <v>2274</v>
      </c>
      <c r="P554" s="9" t="s">
        <v>2275</v>
      </c>
    </row>
    <row r="555">
      <c r="A555" s="17" t="s">
        <v>342</v>
      </c>
      <c r="B555" s="8">
        <v>1525.0</v>
      </c>
      <c r="C555" s="8">
        <v>496531.0</v>
      </c>
      <c r="D555" s="8">
        <v>502433.0</v>
      </c>
      <c r="E555" s="9" t="s">
        <v>425</v>
      </c>
      <c r="F555" s="9"/>
      <c r="G555" s="9" t="s">
        <v>426</v>
      </c>
      <c r="H555" s="9" t="s">
        <v>345</v>
      </c>
      <c r="I555" s="8">
        <v>1953.0</v>
      </c>
      <c r="J555" s="9" t="s">
        <v>346</v>
      </c>
      <c r="K555" s="9" t="s">
        <v>43</v>
      </c>
      <c r="L555" s="9" t="s">
        <v>43</v>
      </c>
      <c r="M555" s="9" t="s">
        <v>2276</v>
      </c>
      <c r="N555" s="9" t="s">
        <v>35</v>
      </c>
      <c r="O555" s="9" t="s">
        <v>2277</v>
      </c>
      <c r="P555" s="9" t="s">
        <v>1316</v>
      </c>
    </row>
    <row r="556">
      <c r="A556" s="17" t="s">
        <v>342</v>
      </c>
      <c r="B556" s="8">
        <v>1525.0</v>
      </c>
      <c r="C556" s="8">
        <v>496531.0</v>
      </c>
      <c r="D556" s="8">
        <v>502433.0</v>
      </c>
      <c r="E556" s="9" t="s">
        <v>425</v>
      </c>
      <c r="F556" s="9"/>
      <c r="G556" s="9" t="s">
        <v>426</v>
      </c>
      <c r="H556" s="9" t="s">
        <v>345</v>
      </c>
      <c r="I556" s="8">
        <v>1953.0</v>
      </c>
      <c r="J556" s="9" t="s">
        <v>346</v>
      </c>
      <c r="K556" s="9" t="s">
        <v>43</v>
      </c>
      <c r="L556" s="9" t="s">
        <v>43</v>
      </c>
      <c r="M556" s="9" t="s">
        <v>2278</v>
      </c>
      <c r="N556" s="9" t="s">
        <v>35</v>
      </c>
      <c r="O556" s="9" t="s">
        <v>2279</v>
      </c>
      <c r="P556" s="9" t="s">
        <v>1316</v>
      </c>
    </row>
    <row r="557">
      <c r="A557" s="17" t="s">
        <v>342</v>
      </c>
      <c r="B557" s="8">
        <v>1544.0</v>
      </c>
      <c r="C557" s="8">
        <v>607880.0</v>
      </c>
      <c r="D557" s="8">
        <v>609891.0</v>
      </c>
      <c r="E557" s="9" t="s">
        <v>425</v>
      </c>
      <c r="F557" s="9"/>
      <c r="G557" s="9" t="s">
        <v>426</v>
      </c>
      <c r="H557" s="9" t="s">
        <v>345</v>
      </c>
      <c r="I557" s="8">
        <v>1953.0</v>
      </c>
      <c r="J557" s="9" t="s">
        <v>346</v>
      </c>
      <c r="K557" s="9" t="s">
        <v>43</v>
      </c>
      <c r="L557" s="9" t="s">
        <v>43</v>
      </c>
      <c r="M557" s="9"/>
      <c r="N557" s="9" t="s">
        <v>45</v>
      </c>
      <c r="O557" s="9" t="s">
        <v>2280</v>
      </c>
      <c r="P557" s="9" t="s">
        <v>1316</v>
      </c>
    </row>
    <row r="558">
      <c r="A558" s="17" t="s">
        <v>342</v>
      </c>
      <c r="B558" s="8">
        <v>1554.0</v>
      </c>
      <c r="C558" s="8">
        <v>668391.0</v>
      </c>
      <c r="D558" s="8">
        <v>678922.0</v>
      </c>
      <c r="E558" s="9" t="s">
        <v>425</v>
      </c>
      <c r="F558" s="9"/>
      <c r="G558" s="9" t="s">
        <v>426</v>
      </c>
      <c r="H558" s="9" t="s">
        <v>345</v>
      </c>
      <c r="I558" s="8">
        <v>1953.0</v>
      </c>
      <c r="J558" s="9" t="s">
        <v>346</v>
      </c>
      <c r="K558" s="9" t="s">
        <v>43</v>
      </c>
      <c r="L558" s="9" t="s">
        <v>43</v>
      </c>
      <c r="M558" s="9"/>
      <c r="N558" s="9" t="s">
        <v>45</v>
      </c>
      <c r="O558" s="9" t="s">
        <v>2281</v>
      </c>
      <c r="P558" s="9" t="s">
        <v>1300</v>
      </c>
    </row>
    <row r="559">
      <c r="A559" s="17" t="s">
        <v>342</v>
      </c>
      <c r="B559" s="8">
        <v>1561.0</v>
      </c>
      <c r="C559" s="8">
        <v>720285.0</v>
      </c>
      <c r="D559" s="8">
        <v>722130.0</v>
      </c>
      <c r="E559" s="9" t="s">
        <v>425</v>
      </c>
      <c r="F559" s="9"/>
      <c r="G559" s="9" t="s">
        <v>426</v>
      </c>
      <c r="H559" s="9" t="s">
        <v>345</v>
      </c>
      <c r="I559" s="8">
        <v>1953.0</v>
      </c>
      <c r="J559" s="9" t="s">
        <v>346</v>
      </c>
      <c r="K559" s="9" t="s">
        <v>43</v>
      </c>
      <c r="L559" s="9" t="s">
        <v>43</v>
      </c>
      <c r="M559" s="9" t="s">
        <v>2282</v>
      </c>
      <c r="N559" s="9" t="s">
        <v>35</v>
      </c>
      <c r="O559" s="9" t="s">
        <v>2283</v>
      </c>
      <c r="P559" s="9" t="s">
        <v>1296</v>
      </c>
    </row>
    <row r="560">
      <c r="A560" s="17" t="s">
        <v>342</v>
      </c>
      <c r="B560" s="8">
        <v>1568.0</v>
      </c>
      <c r="C560" s="8">
        <v>765059.0</v>
      </c>
      <c r="D560" s="8">
        <v>769233.0</v>
      </c>
      <c r="E560" s="9" t="s">
        <v>425</v>
      </c>
      <c r="F560" s="9"/>
      <c r="G560" s="9" t="s">
        <v>426</v>
      </c>
      <c r="H560" s="9" t="s">
        <v>345</v>
      </c>
      <c r="I560" s="8">
        <v>1953.0</v>
      </c>
      <c r="J560" s="9" t="s">
        <v>346</v>
      </c>
      <c r="K560" s="9" t="s">
        <v>43</v>
      </c>
      <c r="L560" s="9" t="s">
        <v>43</v>
      </c>
      <c r="M560" s="9" t="s">
        <v>2284</v>
      </c>
      <c r="N560" s="9" t="s">
        <v>35</v>
      </c>
      <c r="O560" s="9" t="s">
        <v>2285</v>
      </c>
      <c r="P560" s="9" t="s">
        <v>1296</v>
      </c>
    </row>
    <row r="561">
      <c r="A561" s="17" t="s">
        <v>342</v>
      </c>
      <c r="B561" s="8">
        <v>1571.0</v>
      </c>
      <c r="C561" s="8">
        <v>775158.0</v>
      </c>
      <c r="D561" s="8">
        <v>778624.0</v>
      </c>
      <c r="E561" s="9" t="s">
        <v>425</v>
      </c>
      <c r="F561" s="9"/>
      <c r="G561" s="9" t="s">
        <v>426</v>
      </c>
      <c r="H561" s="9" t="s">
        <v>345</v>
      </c>
      <c r="I561" s="8">
        <v>1953.0</v>
      </c>
      <c r="J561" s="9" t="s">
        <v>346</v>
      </c>
      <c r="K561" s="9" t="s">
        <v>43</v>
      </c>
      <c r="L561" s="9" t="s">
        <v>43</v>
      </c>
      <c r="M561" s="9" t="s">
        <v>2286</v>
      </c>
      <c r="N561" s="9" t="s">
        <v>35</v>
      </c>
      <c r="O561" s="9" t="s">
        <v>2287</v>
      </c>
      <c r="P561" s="9" t="s">
        <v>1296</v>
      </c>
    </row>
    <row r="562">
      <c r="A562" s="17" t="s">
        <v>342</v>
      </c>
      <c r="B562" s="8">
        <v>1577.0</v>
      </c>
      <c r="C562" s="8">
        <v>801767.0</v>
      </c>
      <c r="D562" s="8">
        <v>806600.0</v>
      </c>
      <c r="E562" s="9" t="s">
        <v>425</v>
      </c>
      <c r="F562" s="9"/>
      <c r="G562" s="9" t="s">
        <v>426</v>
      </c>
      <c r="H562" s="9" t="s">
        <v>345</v>
      </c>
      <c r="I562" s="8">
        <v>1953.0</v>
      </c>
      <c r="J562" s="9" t="s">
        <v>346</v>
      </c>
      <c r="K562" s="9" t="s">
        <v>43</v>
      </c>
      <c r="L562" s="9" t="s">
        <v>43</v>
      </c>
      <c r="M562" s="9"/>
      <c r="N562" s="9" t="s">
        <v>45</v>
      </c>
      <c r="O562" s="9" t="s">
        <v>2288</v>
      </c>
      <c r="P562" s="9" t="s">
        <v>1296</v>
      </c>
    </row>
    <row r="563">
      <c r="A563" s="17" t="s">
        <v>342</v>
      </c>
      <c r="B563" s="8">
        <v>1578.0</v>
      </c>
      <c r="C563" s="8">
        <v>808236.0</v>
      </c>
      <c r="D563" s="8">
        <v>812136.0</v>
      </c>
      <c r="E563" s="9" t="s">
        <v>425</v>
      </c>
      <c r="F563" s="9"/>
      <c r="G563" s="9" t="s">
        <v>426</v>
      </c>
      <c r="H563" s="9" t="s">
        <v>345</v>
      </c>
      <c r="I563" s="8">
        <v>1953.0</v>
      </c>
      <c r="J563" s="9" t="s">
        <v>346</v>
      </c>
      <c r="K563" s="9" t="s">
        <v>43</v>
      </c>
      <c r="L563" s="9" t="s">
        <v>43</v>
      </c>
      <c r="M563" s="9"/>
      <c r="N563" s="9" t="s">
        <v>45</v>
      </c>
      <c r="O563" s="9" t="s">
        <v>2289</v>
      </c>
      <c r="P563" s="9" t="s">
        <v>1296</v>
      </c>
    </row>
    <row r="564">
      <c r="A564" s="17" t="s">
        <v>342</v>
      </c>
      <c r="B564" s="8">
        <v>1579.0</v>
      </c>
      <c r="C564" s="8">
        <v>814484.0</v>
      </c>
      <c r="D564" s="8">
        <v>820666.0</v>
      </c>
      <c r="E564" s="9" t="s">
        <v>425</v>
      </c>
      <c r="F564" s="9"/>
      <c r="G564" s="9" t="s">
        <v>426</v>
      </c>
      <c r="H564" s="9" t="s">
        <v>345</v>
      </c>
      <c r="I564" s="8">
        <v>1953.0</v>
      </c>
      <c r="J564" s="9" t="s">
        <v>346</v>
      </c>
      <c r="K564" s="9" t="s">
        <v>43</v>
      </c>
      <c r="L564" s="9" t="s">
        <v>43</v>
      </c>
      <c r="M564" s="9"/>
      <c r="N564" s="9" t="s">
        <v>45</v>
      </c>
      <c r="O564" s="9" t="s">
        <v>2290</v>
      </c>
      <c r="P564" s="9" t="s">
        <v>1296</v>
      </c>
    </row>
    <row r="565">
      <c r="A565" s="17" t="s">
        <v>342</v>
      </c>
      <c r="B565" s="8">
        <v>1590.0</v>
      </c>
      <c r="C565" s="8">
        <v>891817.0</v>
      </c>
      <c r="D565" s="8">
        <v>893328.0</v>
      </c>
      <c r="E565" s="9" t="s">
        <v>425</v>
      </c>
      <c r="F565" s="9"/>
      <c r="G565" s="9" t="s">
        <v>426</v>
      </c>
      <c r="H565" s="9" t="s">
        <v>345</v>
      </c>
      <c r="I565" s="8">
        <v>1953.0</v>
      </c>
      <c r="J565" s="9" t="s">
        <v>346</v>
      </c>
      <c r="K565" s="9" t="s">
        <v>43</v>
      </c>
      <c r="L565" s="9" t="s">
        <v>43</v>
      </c>
      <c r="M565" s="9" t="s">
        <v>2291</v>
      </c>
      <c r="N565" s="9" t="s">
        <v>35</v>
      </c>
      <c r="O565" s="9" t="s">
        <v>2292</v>
      </c>
      <c r="P565" s="9" t="s">
        <v>1316</v>
      </c>
    </row>
    <row r="566">
      <c r="A566" s="17" t="s">
        <v>342</v>
      </c>
      <c r="B566" s="8">
        <v>1599.0</v>
      </c>
      <c r="C566" s="8">
        <v>933736.0</v>
      </c>
      <c r="D566" s="8">
        <v>935403.0</v>
      </c>
      <c r="E566" s="9" t="s">
        <v>425</v>
      </c>
      <c r="F566" s="9"/>
      <c r="G566" s="9" t="s">
        <v>426</v>
      </c>
      <c r="H566" s="9" t="s">
        <v>345</v>
      </c>
      <c r="I566" s="8">
        <v>1953.0</v>
      </c>
      <c r="J566" s="9" t="s">
        <v>346</v>
      </c>
      <c r="K566" s="9" t="s">
        <v>43</v>
      </c>
      <c r="L566" s="9" t="s">
        <v>43</v>
      </c>
      <c r="M566" s="9" t="s">
        <v>2293</v>
      </c>
      <c r="N566" s="9" t="s">
        <v>35</v>
      </c>
      <c r="O566" s="9" t="s">
        <v>2294</v>
      </c>
      <c r="P566" s="9" t="s">
        <v>1296</v>
      </c>
    </row>
    <row r="567">
      <c r="A567" s="17" t="s">
        <v>342</v>
      </c>
      <c r="B567" s="8">
        <v>1601.0</v>
      </c>
      <c r="C567" s="8">
        <v>942724.0</v>
      </c>
      <c r="D567" s="8">
        <v>947300.0</v>
      </c>
      <c r="E567" s="9" t="s">
        <v>425</v>
      </c>
      <c r="F567" s="9"/>
      <c r="G567" s="9" t="s">
        <v>426</v>
      </c>
      <c r="H567" s="9" t="s">
        <v>345</v>
      </c>
      <c r="I567" s="8">
        <v>1953.0</v>
      </c>
      <c r="J567" s="9" t="s">
        <v>346</v>
      </c>
      <c r="K567" s="9" t="s">
        <v>43</v>
      </c>
      <c r="L567" s="9" t="s">
        <v>43</v>
      </c>
      <c r="M567" s="9" t="s">
        <v>2295</v>
      </c>
      <c r="N567" s="9" t="s">
        <v>35</v>
      </c>
      <c r="O567" s="9" t="s">
        <v>2296</v>
      </c>
      <c r="P567" s="9" t="s">
        <v>1296</v>
      </c>
    </row>
    <row r="568">
      <c r="A568" s="17" t="s">
        <v>342</v>
      </c>
      <c r="B568" s="8">
        <v>1609.0</v>
      </c>
      <c r="C568" s="8">
        <v>980552.0</v>
      </c>
      <c r="D568" s="8">
        <v>983744.0</v>
      </c>
      <c r="E568" s="9" t="s">
        <v>425</v>
      </c>
      <c r="F568" s="9"/>
      <c r="G568" s="9" t="s">
        <v>426</v>
      </c>
      <c r="H568" s="9" t="s">
        <v>345</v>
      </c>
      <c r="I568" s="8">
        <v>1953.0</v>
      </c>
      <c r="J568" s="9" t="s">
        <v>346</v>
      </c>
      <c r="K568" s="9" t="s">
        <v>43</v>
      </c>
      <c r="L568" s="9" t="s">
        <v>43</v>
      </c>
      <c r="M568" s="9" t="s">
        <v>2297</v>
      </c>
      <c r="N568" s="9" t="s">
        <v>35</v>
      </c>
      <c r="O568" s="9" t="s">
        <v>2298</v>
      </c>
      <c r="P568" s="9" t="s">
        <v>1296</v>
      </c>
    </row>
    <row r="569">
      <c r="A569" s="17" t="s">
        <v>342</v>
      </c>
      <c r="B569" s="8">
        <v>1653.0</v>
      </c>
      <c r="C569" s="8">
        <v>1196527.0</v>
      </c>
      <c r="D569" s="8">
        <v>1199560.0</v>
      </c>
      <c r="E569" s="9" t="s">
        <v>425</v>
      </c>
      <c r="F569" s="9"/>
      <c r="G569" s="9" t="s">
        <v>426</v>
      </c>
      <c r="H569" s="9" t="s">
        <v>345</v>
      </c>
      <c r="I569" s="8">
        <v>1953.0</v>
      </c>
      <c r="J569" s="9" t="s">
        <v>346</v>
      </c>
      <c r="K569" s="9" t="s">
        <v>43</v>
      </c>
      <c r="L569" s="9" t="s">
        <v>43</v>
      </c>
      <c r="M569" s="9" t="s">
        <v>2299</v>
      </c>
      <c r="N569" s="9" t="s">
        <v>35</v>
      </c>
      <c r="O569" s="9" t="s">
        <v>2300</v>
      </c>
      <c r="P569" s="9" t="s">
        <v>1296</v>
      </c>
    </row>
    <row r="570">
      <c r="A570" s="17" t="s">
        <v>342</v>
      </c>
      <c r="B570" s="8">
        <v>1654.0</v>
      </c>
      <c r="C570" s="8">
        <v>1199637.0</v>
      </c>
      <c r="D570" s="8">
        <v>1204497.0</v>
      </c>
      <c r="E570" s="9" t="s">
        <v>425</v>
      </c>
      <c r="F570" s="9"/>
      <c r="G570" s="9" t="s">
        <v>426</v>
      </c>
      <c r="H570" s="9" t="s">
        <v>345</v>
      </c>
      <c r="I570" s="8">
        <v>1953.0</v>
      </c>
      <c r="J570" s="9" t="s">
        <v>346</v>
      </c>
      <c r="K570" s="9" t="s">
        <v>43</v>
      </c>
      <c r="L570" s="9" t="s">
        <v>43</v>
      </c>
      <c r="M570" s="9" t="s">
        <v>2301</v>
      </c>
      <c r="N570" s="9" t="s">
        <v>35</v>
      </c>
      <c r="O570" s="9" t="s">
        <v>2302</v>
      </c>
      <c r="P570" s="9" t="s">
        <v>1296</v>
      </c>
    </row>
    <row r="571">
      <c r="A571" s="17" t="s">
        <v>342</v>
      </c>
      <c r="B571" s="8">
        <v>1662.0</v>
      </c>
      <c r="C571" s="8">
        <v>1254520.0</v>
      </c>
      <c r="D571" s="8">
        <v>1261040.0</v>
      </c>
      <c r="E571" s="9" t="s">
        <v>425</v>
      </c>
      <c r="F571" s="9"/>
      <c r="G571" s="9" t="s">
        <v>426</v>
      </c>
      <c r="H571" s="9" t="s">
        <v>345</v>
      </c>
      <c r="I571" s="8">
        <v>1953.0</v>
      </c>
      <c r="J571" s="9" t="s">
        <v>346</v>
      </c>
      <c r="K571" s="9" t="s">
        <v>43</v>
      </c>
      <c r="L571" s="9" t="s">
        <v>43</v>
      </c>
      <c r="M571" s="9" t="s">
        <v>2303</v>
      </c>
      <c r="N571" s="9" t="s">
        <v>35</v>
      </c>
      <c r="O571" s="9" t="s">
        <v>2304</v>
      </c>
      <c r="P571" s="9" t="s">
        <v>1296</v>
      </c>
    </row>
    <row r="572">
      <c r="A572" s="17" t="s">
        <v>342</v>
      </c>
      <c r="B572" s="8">
        <v>1700.0</v>
      </c>
      <c r="C572" s="8">
        <v>1449051.0</v>
      </c>
      <c r="D572" s="8">
        <v>1457450.0</v>
      </c>
      <c r="E572" s="9" t="s">
        <v>425</v>
      </c>
      <c r="F572" s="9"/>
      <c r="G572" s="9" t="s">
        <v>426</v>
      </c>
      <c r="H572" s="9" t="s">
        <v>345</v>
      </c>
      <c r="I572" s="8">
        <v>1953.0</v>
      </c>
      <c r="J572" s="9" t="s">
        <v>346</v>
      </c>
      <c r="K572" s="9" t="s">
        <v>43</v>
      </c>
      <c r="L572" s="9" t="s">
        <v>43</v>
      </c>
      <c r="M572" s="9" t="s">
        <v>2305</v>
      </c>
      <c r="N572" s="9" t="s">
        <v>35</v>
      </c>
      <c r="O572" s="9" t="s">
        <v>1555</v>
      </c>
      <c r="P572" s="9" t="s">
        <v>1296</v>
      </c>
    </row>
    <row r="573">
      <c r="A573" s="17" t="s">
        <v>342</v>
      </c>
      <c r="B573" s="8">
        <v>1712.0</v>
      </c>
      <c r="C573" s="8">
        <v>1529405.0</v>
      </c>
      <c r="D573" s="8">
        <v>1535800.0</v>
      </c>
      <c r="E573" s="9" t="s">
        <v>425</v>
      </c>
      <c r="F573" s="9"/>
      <c r="G573" s="9" t="s">
        <v>426</v>
      </c>
      <c r="H573" s="9" t="s">
        <v>345</v>
      </c>
      <c r="I573" s="8">
        <v>1953.0</v>
      </c>
      <c r="J573" s="9" t="s">
        <v>346</v>
      </c>
      <c r="K573" s="9" t="s">
        <v>43</v>
      </c>
      <c r="L573" s="9" t="s">
        <v>43</v>
      </c>
      <c r="M573" s="9" t="s">
        <v>2306</v>
      </c>
      <c r="N573" s="9" t="s">
        <v>35</v>
      </c>
      <c r="O573" s="12" t="str">
        <f>С цыганки автобус.</f>
        <v>#ERROR!</v>
      </c>
      <c r="P573" s="9" t="s">
        <v>1300</v>
      </c>
    </row>
    <row r="574">
      <c r="A574" s="17" t="s">
        <v>342</v>
      </c>
      <c r="B574" s="8">
        <v>1712.0</v>
      </c>
      <c r="C574" s="8">
        <v>1529405.0</v>
      </c>
      <c r="D574" s="8">
        <v>1535800.0</v>
      </c>
      <c r="E574" s="9" t="s">
        <v>425</v>
      </c>
      <c r="F574" s="9"/>
      <c r="G574" s="9" t="s">
        <v>426</v>
      </c>
      <c r="H574" s="9" t="s">
        <v>345</v>
      </c>
      <c r="I574" s="8">
        <v>1953.0</v>
      </c>
      <c r="J574" s="9" t="s">
        <v>346</v>
      </c>
      <c r="K574" s="9" t="s">
        <v>43</v>
      </c>
      <c r="L574" s="9" t="s">
        <v>43</v>
      </c>
      <c r="M574" s="9" t="s">
        <v>2307</v>
      </c>
      <c r="N574" s="9" t="s">
        <v>35</v>
      </c>
      <c r="O574" s="9" t="s">
        <v>2308</v>
      </c>
      <c r="P574" s="9" t="s">
        <v>1316</v>
      </c>
    </row>
    <row r="575">
      <c r="A575" s="17" t="s">
        <v>342</v>
      </c>
      <c r="B575" s="8">
        <v>1731.0</v>
      </c>
      <c r="C575" s="8">
        <v>1640137.0</v>
      </c>
      <c r="D575" s="8">
        <v>1645470.0</v>
      </c>
      <c r="E575" s="9" t="s">
        <v>425</v>
      </c>
      <c r="F575" s="9"/>
      <c r="G575" s="9" t="s">
        <v>426</v>
      </c>
      <c r="H575" s="9" t="s">
        <v>345</v>
      </c>
      <c r="I575" s="8">
        <v>1953.0</v>
      </c>
      <c r="J575" s="9" t="s">
        <v>346</v>
      </c>
      <c r="K575" s="9" t="s">
        <v>43</v>
      </c>
      <c r="L575" s="9" t="s">
        <v>43</v>
      </c>
      <c r="M575" s="9" t="s">
        <v>2309</v>
      </c>
      <c r="N575" s="9" t="s">
        <v>35</v>
      </c>
      <c r="O575" s="9" t="s">
        <v>2310</v>
      </c>
      <c r="P575" s="9" t="s">
        <v>1296</v>
      </c>
    </row>
    <row r="576">
      <c r="A576" s="17" t="s">
        <v>342</v>
      </c>
      <c r="B576" s="8">
        <v>1738.0</v>
      </c>
      <c r="C576" s="8">
        <v>1671304.0</v>
      </c>
      <c r="D576" s="8">
        <v>1678377.0</v>
      </c>
      <c r="E576" s="9" t="s">
        <v>425</v>
      </c>
      <c r="F576" s="9"/>
      <c r="G576" s="9" t="s">
        <v>426</v>
      </c>
      <c r="H576" s="9" t="s">
        <v>345</v>
      </c>
      <c r="I576" s="8">
        <v>1953.0</v>
      </c>
      <c r="J576" s="9" t="s">
        <v>346</v>
      </c>
      <c r="K576" s="9" t="s">
        <v>43</v>
      </c>
      <c r="L576" s="9" t="s">
        <v>43</v>
      </c>
      <c r="M576" s="9" t="s">
        <v>2311</v>
      </c>
      <c r="N576" s="9" t="s">
        <v>35</v>
      </c>
      <c r="O576" s="9" t="s">
        <v>2312</v>
      </c>
      <c r="P576" s="9" t="s">
        <v>1296</v>
      </c>
    </row>
    <row r="577">
      <c r="A577" s="17" t="s">
        <v>342</v>
      </c>
      <c r="B577" s="8">
        <v>1762.0</v>
      </c>
      <c r="C577" s="8">
        <v>1778581.0</v>
      </c>
      <c r="D577" s="8">
        <v>1781933.0</v>
      </c>
      <c r="E577" s="9" t="s">
        <v>425</v>
      </c>
      <c r="F577" s="9"/>
      <c r="G577" s="9" t="s">
        <v>426</v>
      </c>
      <c r="H577" s="9" t="s">
        <v>345</v>
      </c>
      <c r="I577" s="8">
        <v>1953.0</v>
      </c>
      <c r="J577" s="9" t="s">
        <v>346</v>
      </c>
      <c r="K577" s="9" t="s">
        <v>43</v>
      </c>
      <c r="L577" s="9" t="s">
        <v>43</v>
      </c>
      <c r="M577" s="9" t="s">
        <v>2313</v>
      </c>
      <c r="N577" s="9" t="s">
        <v>35</v>
      </c>
      <c r="O577" s="9" t="s">
        <v>2314</v>
      </c>
      <c r="P577" s="9" t="s">
        <v>1316</v>
      </c>
    </row>
    <row r="578">
      <c r="A578" s="17" t="s">
        <v>342</v>
      </c>
      <c r="B578" s="8">
        <v>1864.0</v>
      </c>
      <c r="C578" s="8">
        <v>359100.0</v>
      </c>
      <c r="D578" s="8">
        <v>365130.0</v>
      </c>
      <c r="E578" s="9" t="s">
        <v>448</v>
      </c>
      <c r="F578" s="9"/>
      <c r="G578" s="9"/>
      <c r="H578" s="9"/>
      <c r="I578" s="9"/>
      <c r="J578" s="9"/>
      <c r="K578" s="9"/>
      <c r="L578" s="9"/>
      <c r="M578" s="9" t="s">
        <v>2315</v>
      </c>
      <c r="N578" s="9" t="s">
        <v>35</v>
      </c>
      <c r="O578" s="9" t="s">
        <v>2316</v>
      </c>
      <c r="P578" s="9" t="s">
        <v>1316</v>
      </c>
    </row>
    <row r="579">
      <c r="A579" s="17" t="s">
        <v>342</v>
      </c>
      <c r="B579" s="8">
        <v>1868.0</v>
      </c>
      <c r="C579" s="8">
        <v>383720.0</v>
      </c>
      <c r="D579" s="8">
        <v>388060.0</v>
      </c>
      <c r="E579" s="9" t="s">
        <v>448</v>
      </c>
      <c r="F579" s="9"/>
      <c r="G579" s="9"/>
      <c r="H579" s="9"/>
      <c r="I579" s="9"/>
      <c r="J579" s="9"/>
      <c r="K579" s="9"/>
      <c r="L579" s="9"/>
      <c r="M579" s="9" t="s">
        <v>2317</v>
      </c>
      <c r="N579" s="9" t="s">
        <v>35</v>
      </c>
      <c r="O579" s="9" t="s">
        <v>2318</v>
      </c>
      <c r="P579" s="9" t="s">
        <v>1296</v>
      </c>
    </row>
    <row r="580">
      <c r="A580" s="17" t="s">
        <v>342</v>
      </c>
      <c r="B580" s="8">
        <v>1897.0</v>
      </c>
      <c r="C580" s="8">
        <v>473120.0</v>
      </c>
      <c r="D580" s="8">
        <v>476510.0</v>
      </c>
      <c r="E580" s="9" t="s">
        <v>448</v>
      </c>
      <c r="F580" s="9"/>
      <c r="G580" s="9"/>
      <c r="H580" s="9"/>
      <c r="I580" s="9"/>
      <c r="J580" s="9"/>
      <c r="K580" s="9"/>
      <c r="L580" s="9"/>
      <c r="M580" s="9"/>
      <c r="N580" s="9" t="s">
        <v>45</v>
      </c>
      <c r="O580" s="9" t="s">
        <v>2319</v>
      </c>
      <c r="P580" s="9" t="s">
        <v>1316</v>
      </c>
    </row>
    <row r="581">
      <c r="A581" s="17" t="s">
        <v>342</v>
      </c>
      <c r="B581" s="8">
        <v>1916.0</v>
      </c>
      <c r="C581" s="8">
        <v>536725.0</v>
      </c>
      <c r="D581" s="8">
        <v>540765.0</v>
      </c>
      <c r="E581" s="9" t="s">
        <v>448</v>
      </c>
      <c r="F581" s="9"/>
      <c r="G581" s="9"/>
      <c r="H581" s="9"/>
      <c r="I581" s="9"/>
      <c r="J581" s="9"/>
      <c r="K581" s="9"/>
      <c r="L581" s="9"/>
      <c r="M581" s="9" t="s">
        <v>410</v>
      </c>
      <c r="N581" s="9" t="s">
        <v>35</v>
      </c>
      <c r="O581" s="9" t="s">
        <v>2320</v>
      </c>
      <c r="P581" s="9" t="s">
        <v>1316</v>
      </c>
    </row>
    <row r="582">
      <c r="A582" s="17" t="s">
        <v>342</v>
      </c>
      <c r="B582" s="8">
        <v>1975.0</v>
      </c>
      <c r="C582" s="8">
        <v>732459.0</v>
      </c>
      <c r="D582" s="8">
        <v>736311.0</v>
      </c>
      <c r="E582" s="9" t="s">
        <v>448</v>
      </c>
      <c r="F582" s="9"/>
      <c r="G582" s="9"/>
      <c r="H582" s="9"/>
      <c r="I582" s="9"/>
      <c r="J582" s="9"/>
      <c r="K582" s="9"/>
      <c r="L582" s="9"/>
      <c r="M582" s="9" t="s">
        <v>2321</v>
      </c>
      <c r="N582" s="9" t="s">
        <v>35</v>
      </c>
      <c r="O582" s="9" t="s">
        <v>2322</v>
      </c>
      <c r="P582" s="9" t="s">
        <v>1316</v>
      </c>
    </row>
    <row r="583">
      <c r="A583" s="17" t="s">
        <v>342</v>
      </c>
      <c r="B583" s="8">
        <v>1987.0</v>
      </c>
      <c r="C583" s="8">
        <v>769167.0</v>
      </c>
      <c r="D583" s="8">
        <v>771821.0</v>
      </c>
      <c r="E583" s="9" t="s">
        <v>448</v>
      </c>
      <c r="F583" s="9"/>
      <c r="G583" s="9"/>
      <c r="H583" s="9"/>
      <c r="I583" s="9"/>
      <c r="J583" s="9"/>
      <c r="K583" s="9"/>
      <c r="L583" s="9"/>
      <c r="M583" s="9" t="s">
        <v>2323</v>
      </c>
      <c r="N583" s="9" t="s">
        <v>35</v>
      </c>
      <c r="O583" s="9" t="s">
        <v>2324</v>
      </c>
      <c r="P583" s="9" t="s">
        <v>1316</v>
      </c>
    </row>
    <row r="584">
      <c r="A584" s="17" t="s">
        <v>342</v>
      </c>
      <c r="B584" s="8">
        <v>2002.0</v>
      </c>
      <c r="C584" s="8">
        <v>829912.0</v>
      </c>
      <c r="D584" s="8">
        <v>830517.0</v>
      </c>
      <c r="E584" s="9" t="s">
        <v>448</v>
      </c>
      <c r="F584" s="9"/>
      <c r="G584" s="9"/>
      <c r="H584" s="9"/>
      <c r="I584" s="9"/>
      <c r="J584" s="9"/>
      <c r="K584" s="9"/>
      <c r="L584" s="9"/>
      <c r="M584" s="9"/>
      <c r="N584" s="9" t="s">
        <v>45</v>
      </c>
      <c r="O584" s="9" t="s">
        <v>2325</v>
      </c>
      <c r="P584" s="9" t="s">
        <v>1298</v>
      </c>
    </row>
    <row r="585">
      <c r="A585" s="17" t="s">
        <v>342</v>
      </c>
      <c r="B585" s="8">
        <v>2086.0</v>
      </c>
      <c r="C585" s="8">
        <v>1134856.0</v>
      </c>
      <c r="D585" s="8">
        <v>1136633.0</v>
      </c>
      <c r="E585" s="9" t="s">
        <v>448</v>
      </c>
      <c r="F585" s="9"/>
      <c r="G585" s="9"/>
      <c r="H585" s="9"/>
      <c r="I585" s="9"/>
      <c r="J585" s="9"/>
      <c r="K585" s="9"/>
      <c r="L585" s="9"/>
      <c r="M585" s="9" t="s">
        <v>2326</v>
      </c>
      <c r="N585" s="9" t="s">
        <v>45</v>
      </c>
      <c r="O585" s="9" t="s">
        <v>2327</v>
      </c>
      <c r="P585" s="9" t="s">
        <v>1298</v>
      </c>
    </row>
    <row r="586">
      <c r="A586" s="17" t="s">
        <v>342</v>
      </c>
      <c r="B586" s="8">
        <v>2106.0</v>
      </c>
      <c r="C586" s="8">
        <v>1201452.0</v>
      </c>
      <c r="D586" s="8">
        <v>1202464.0</v>
      </c>
      <c r="E586" s="9" t="s">
        <v>448</v>
      </c>
      <c r="F586" s="9"/>
      <c r="G586" s="9"/>
      <c r="H586" s="9"/>
      <c r="I586" s="9"/>
      <c r="J586" s="9"/>
      <c r="K586" s="9"/>
      <c r="L586" s="9"/>
      <c r="M586" s="9"/>
      <c r="N586" s="9" t="s">
        <v>45</v>
      </c>
      <c r="O586" s="9" t="s">
        <v>2216</v>
      </c>
      <c r="P586" s="9" t="s">
        <v>1316</v>
      </c>
    </row>
    <row r="587">
      <c r="A587" s="17" t="s">
        <v>342</v>
      </c>
      <c r="B587" s="8">
        <v>2107.0</v>
      </c>
      <c r="C587" s="8">
        <v>1203787.0</v>
      </c>
      <c r="D587" s="8">
        <v>1205429.0</v>
      </c>
      <c r="E587" s="9" t="s">
        <v>448</v>
      </c>
      <c r="F587" s="9"/>
      <c r="G587" s="9"/>
      <c r="H587" s="9"/>
      <c r="I587" s="9"/>
      <c r="J587" s="9"/>
      <c r="K587" s="9"/>
      <c r="L587" s="9"/>
      <c r="M587" s="9"/>
      <c r="N587" s="9" t="s">
        <v>45</v>
      </c>
      <c r="O587" s="9" t="s">
        <v>2328</v>
      </c>
      <c r="P587" s="9" t="s">
        <v>1316</v>
      </c>
    </row>
    <row r="588">
      <c r="A588" s="17" t="s">
        <v>342</v>
      </c>
      <c r="B588" s="8">
        <v>2108.0</v>
      </c>
      <c r="C588" s="8">
        <v>1206219.0</v>
      </c>
      <c r="D588" s="8">
        <v>1208911.0</v>
      </c>
      <c r="E588" s="9" t="s">
        <v>448</v>
      </c>
      <c r="F588" s="9"/>
      <c r="G588" s="9"/>
      <c r="H588" s="9"/>
      <c r="I588" s="9"/>
      <c r="J588" s="9"/>
      <c r="K588" s="9"/>
      <c r="L588" s="9"/>
      <c r="M588" s="9" t="s">
        <v>1259</v>
      </c>
      <c r="N588" s="9" t="s">
        <v>35</v>
      </c>
      <c r="O588" s="9" t="s">
        <v>2329</v>
      </c>
      <c r="P588" s="9" t="s">
        <v>1316</v>
      </c>
    </row>
    <row r="589">
      <c r="A589" s="17" t="s">
        <v>342</v>
      </c>
      <c r="B589" s="8">
        <v>2108.0</v>
      </c>
      <c r="C589" s="8">
        <v>1206219.0</v>
      </c>
      <c r="D589" s="8">
        <v>1208911.0</v>
      </c>
      <c r="E589" s="9" t="s">
        <v>448</v>
      </c>
      <c r="F589" s="9"/>
      <c r="G589" s="9"/>
      <c r="H589" s="9"/>
      <c r="I589" s="9"/>
      <c r="J589" s="9"/>
      <c r="K589" s="9"/>
      <c r="L589" s="9"/>
      <c r="M589" s="9" t="s">
        <v>2330</v>
      </c>
      <c r="N589" s="9" t="s">
        <v>35</v>
      </c>
      <c r="O589" s="9" t="s">
        <v>2331</v>
      </c>
      <c r="P589" s="9" t="s">
        <v>1316</v>
      </c>
    </row>
    <row r="590">
      <c r="A590" s="17" t="s">
        <v>342</v>
      </c>
      <c r="B590" s="8">
        <v>2110.0</v>
      </c>
      <c r="C590" s="8">
        <v>1211422.0</v>
      </c>
      <c r="D590" s="8">
        <v>1212990.0</v>
      </c>
      <c r="E590" s="9" t="s">
        <v>448</v>
      </c>
      <c r="F590" s="9"/>
      <c r="G590" s="9"/>
      <c r="H590" s="9"/>
      <c r="I590" s="9"/>
      <c r="J590" s="9"/>
      <c r="K590" s="9"/>
      <c r="L590" s="9"/>
      <c r="M590" s="9" t="s">
        <v>88</v>
      </c>
      <c r="N590" s="9" t="s">
        <v>35</v>
      </c>
      <c r="O590" s="9" t="s">
        <v>2332</v>
      </c>
      <c r="P590" s="9" t="s">
        <v>1316</v>
      </c>
    </row>
    <row r="591">
      <c r="A591" s="17" t="s">
        <v>342</v>
      </c>
      <c r="B591" s="8">
        <v>2153.0</v>
      </c>
      <c r="C591" s="8">
        <v>1363162.0</v>
      </c>
      <c r="D591" s="8">
        <v>1364162.0</v>
      </c>
      <c r="E591" s="9" t="s">
        <v>448</v>
      </c>
      <c r="F591" s="9"/>
      <c r="G591" s="9"/>
      <c r="H591" s="9"/>
      <c r="I591" s="9"/>
      <c r="J591" s="9"/>
      <c r="K591" s="9"/>
      <c r="L591" s="9"/>
      <c r="M591" s="9" t="s">
        <v>88</v>
      </c>
      <c r="N591" s="9" t="s">
        <v>35</v>
      </c>
      <c r="O591" s="9" t="s">
        <v>2212</v>
      </c>
      <c r="P591" s="9" t="s">
        <v>1298</v>
      </c>
    </row>
    <row r="592">
      <c r="A592" s="17" t="s">
        <v>342</v>
      </c>
      <c r="B592" s="8">
        <v>2170.0</v>
      </c>
      <c r="C592" s="8">
        <v>1423245.0</v>
      </c>
      <c r="D592" s="8">
        <v>1427060.0</v>
      </c>
      <c r="E592" s="9" t="s">
        <v>448</v>
      </c>
      <c r="F592" s="9"/>
      <c r="G592" s="9"/>
      <c r="H592" s="9"/>
      <c r="I592" s="9"/>
      <c r="J592" s="9"/>
      <c r="K592" s="9"/>
      <c r="L592" s="9"/>
      <c r="M592" s="9" t="s">
        <v>2333</v>
      </c>
      <c r="N592" s="9" t="s">
        <v>35</v>
      </c>
      <c r="O592" s="9" t="s">
        <v>2334</v>
      </c>
      <c r="P592" s="9" t="s">
        <v>1298</v>
      </c>
    </row>
    <row r="593">
      <c r="A593" s="17" t="s">
        <v>342</v>
      </c>
      <c r="B593" s="8">
        <v>2183.0</v>
      </c>
      <c r="C593" s="8">
        <v>1464597.0</v>
      </c>
      <c r="D593" s="8">
        <v>1467251.0</v>
      </c>
      <c r="E593" s="9" t="s">
        <v>448</v>
      </c>
      <c r="F593" s="9"/>
      <c r="G593" s="9"/>
      <c r="H593" s="9"/>
      <c r="I593" s="9"/>
      <c r="J593" s="9"/>
      <c r="K593" s="9"/>
      <c r="L593" s="9"/>
      <c r="M593" s="9" t="s">
        <v>2335</v>
      </c>
      <c r="N593" s="9" t="s">
        <v>35</v>
      </c>
      <c r="O593" s="9" t="s">
        <v>2216</v>
      </c>
      <c r="P593" s="9" t="s">
        <v>1316</v>
      </c>
    </row>
    <row r="594">
      <c r="A594" s="17" t="s">
        <v>342</v>
      </c>
      <c r="B594" s="8">
        <v>2205.0</v>
      </c>
      <c r="C594" s="8">
        <v>1540646.0</v>
      </c>
      <c r="D594" s="8">
        <v>1542794.0</v>
      </c>
      <c r="E594" s="9" t="s">
        <v>448</v>
      </c>
      <c r="F594" s="9"/>
      <c r="G594" s="9"/>
      <c r="H594" s="9"/>
      <c r="I594" s="9"/>
      <c r="J594" s="9"/>
      <c r="K594" s="9"/>
      <c r="L594" s="9"/>
      <c r="M594" s="9" t="s">
        <v>2336</v>
      </c>
      <c r="N594" s="9" t="s">
        <v>35</v>
      </c>
      <c r="O594" s="9" t="s">
        <v>2337</v>
      </c>
      <c r="P594" s="9" t="s">
        <v>1300</v>
      </c>
    </row>
    <row r="595">
      <c r="A595" s="17" t="s">
        <v>342</v>
      </c>
      <c r="B595" s="8">
        <v>2214.0</v>
      </c>
      <c r="C595" s="8">
        <v>1563640.0</v>
      </c>
      <c r="D595" s="8">
        <v>1565295.0</v>
      </c>
      <c r="E595" s="9" t="s">
        <v>448</v>
      </c>
      <c r="F595" s="9"/>
      <c r="G595" s="9"/>
      <c r="H595" s="9"/>
      <c r="I595" s="9"/>
      <c r="J595" s="9"/>
      <c r="K595" s="9"/>
      <c r="L595" s="9"/>
      <c r="M595" s="9" t="s">
        <v>2338</v>
      </c>
      <c r="N595" s="9" t="s">
        <v>35</v>
      </c>
      <c r="O595" s="9" t="s">
        <v>2339</v>
      </c>
      <c r="P595" s="9" t="s">
        <v>1296</v>
      </c>
    </row>
    <row r="596">
      <c r="A596" s="17" t="s">
        <v>342</v>
      </c>
      <c r="B596" s="8">
        <v>2294.0</v>
      </c>
      <c r="C596" s="8">
        <v>1812516.0</v>
      </c>
      <c r="D596" s="8">
        <v>1815504.0</v>
      </c>
      <c r="E596" s="9" t="s">
        <v>448</v>
      </c>
      <c r="F596" s="9"/>
      <c r="G596" s="9"/>
      <c r="H596" s="9"/>
      <c r="I596" s="9"/>
      <c r="J596" s="9"/>
      <c r="K596" s="9"/>
      <c r="L596" s="9"/>
      <c r="M596" s="9" t="s">
        <v>2340</v>
      </c>
      <c r="N596" s="9" t="s">
        <v>35</v>
      </c>
      <c r="O596" s="9" t="s">
        <v>2341</v>
      </c>
      <c r="P596" s="9" t="s">
        <v>1316</v>
      </c>
    </row>
    <row r="597">
      <c r="A597" s="17" t="s">
        <v>342</v>
      </c>
      <c r="B597" s="8">
        <v>2310.0</v>
      </c>
      <c r="C597" s="8">
        <v>1867624.0</v>
      </c>
      <c r="D597" s="8">
        <v>1870784.0</v>
      </c>
      <c r="E597" s="9" t="s">
        <v>448</v>
      </c>
      <c r="F597" s="9"/>
      <c r="G597" s="9"/>
      <c r="H597" s="9"/>
      <c r="I597" s="9"/>
      <c r="J597" s="9"/>
      <c r="K597" s="9"/>
      <c r="L597" s="9"/>
      <c r="M597" s="9" t="s">
        <v>2342</v>
      </c>
      <c r="N597" s="9" t="s">
        <v>35</v>
      </c>
      <c r="O597" s="9" t="s">
        <v>2343</v>
      </c>
      <c r="P597" s="9" t="s">
        <v>1298</v>
      </c>
    </row>
    <row r="598">
      <c r="A598" s="17" t="s">
        <v>342</v>
      </c>
      <c r="B598" s="8">
        <v>2385.0</v>
      </c>
      <c r="C598" s="8">
        <v>2140482.0</v>
      </c>
      <c r="D598" s="8">
        <v>2143075.0</v>
      </c>
      <c r="E598" s="9" t="s">
        <v>448</v>
      </c>
      <c r="F598" s="9"/>
      <c r="G598" s="9"/>
      <c r="H598" s="9"/>
      <c r="I598" s="9"/>
      <c r="J598" s="9"/>
      <c r="K598" s="9"/>
      <c r="L598" s="9"/>
      <c r="M598" s="9" t="s">
        <v>2344</v>
      </c>
      <c r="N598" s="9" t="s">
        <v>35</v>
      </c>
      <c r="O598" s="9" t="s">
        <v>2345</v>
      </c>
      <c r="P598" s="9" t="s">
        <v>1296</v>
      </c>
    </row>
    <row r="599">
      <c r="A599" s="17" t="s">
        <v>342</v>
      </c>
      <c r="B599" s="8">
        <v>2386.0</v>
      </c>
      <c r="C599" s="8">
        <v>2144678.0</v>
      </c>
      <c r="D599" s="8">
        <v>2145913.0</v>
      </c>
      <c r="E599" s="9" t="s">
        <v>448</v>
      </c>
      <c r="F599" s="9"/>
      <c r="G599" s="9"/>
      <c r="H599" s="9"/>
      <c r="I599" s="9"/>
      <c r="J599" s="9"/>
      <c r="K599" s="9"/>
      <c r="L599" s="9"/>
      <c r="M599" s="9" t="s">
        <v>2346</v>
      </c>
      <c r="N599" s="9" t="s">
        <v>35</v>
      </c>
      <c r="O599" s="9" t="s">
        <v>2347</v>
      </c>
      <c r="P599" s="9" t="s">
        <v>1296</v>
      </c>
    </row>
    <row r="600">
      <c r="A600" s="17" t="s">
        <v>342</v>
      </c>
      <c r="B600" s="8">
        <v>2391.0</v>
      </c>
      <c r="C600" s="8">
        <v>2160320.0</v>
      </c>
      <c r="D600" s="8">
        <v>2162999.0</v>
      </c>
      <c r="E600" s="9" t="s">
        <v>448</v>
      </c>
      <c r="F600" s="9"/>
      <c r="G600" s="9"/>
      <c r="H600" s="9"/>
      <c r="I600" s="9"/>
      <c r="J600" s="9"/>
      <c r="K600" s="9"/>
      <c r="L600" s="9"/>
      <c r="M600" s="9" t="s">
        <v>2348</v>
      </c>
      <c r="N600" s="9" t="s">
        <v>35</v>
      </c>
      <c r="O600" s="9" t="s">
        <v>2349</v>
      </c>
      <c r="P600" s="9" t="s">
        <v>1296</v>
      </c>
    </row>
    <row r="601">
      <c r="A601" s="17" t="s">
        <v>342</v>
      </c>
      <c r="B601" s="8">
        <v>2391.0</v>
      </c>
      <c r="C601" s="8">
        <v>2160320.0</v>
      </c>
      <c r="D601" s="8">
        <v>2162999.0</v>
      </c>
      <c r="E601" s="9" t="s">
        <v>448</v>
      </c>
      <c r="F601" s="9"/>
      <c r="G601" s="9"/>
      <c r="H601" s="9"/>
      <c r="I601" s="9"/>
      <c r="J601" s="9"/>
      <c r="K601" s="9"/>
      <c r="L601" s="9"/>
      <c r="M601" s="9" t="s">
        <v>2350</v>
      </c>
      <c r="N601" s="9" t="s">
        <v>35</v>
      </c>
      <c r="O601" s="9" t="s">
        <v>2351</v>
      </c>
      <c r="P601" s="9" t="s">
        <v>1296</v>
      </c>
    </row>
    <row r="602">
      <c r="A602" s="17" t="s">
        <v>342</v>
      </c>
      <c r="B602" s="8">
        <v>2398.0</v>
      </c>
      <c r="C602" s="8">
        <v>2184188.0</v>
      </c>
      <c r="D602" s="8">
        <v>2186459.0</v>
      </c>
      <c r="E602" s="9" t="s">
        <v>448</v>
      </c>
      <c r="F602" s="9"/>
      <c r="G602" s="9"/>
      <c r="H602" s="9"/>
      <c r="I602" s="9"/>
      <c r="J602" s="9"/>
      <c r="K602" s="9"/>
      <c r="L602" s="9"/>
      <c r="M602" s="9" t="s">
        <v>2352</v>
      </c>
      <c r="N602" s="9" t="s">
        <v>35</v>
      </c>
      <c r="O602" s="9" t="s">
        <v>2353</v>
      </c>
      <c r="P602" s="9" t="s">
        <v>1296</v>
      </c>
    </row>
    <row r="603">
      <c r="A603" s="17" t="s">
        <v>342</v>
      </c>
      <c r="B603" s="8">
        <v>2398.0</v>
      </c>
      <c r="C603" s="8">
        <v>2184188.0</v>
      </c>
      <c r="D603" s="8">
        <v>2186459.0</v>
      </c>
      <c r="E603" s="9" t="s">
        <v>448</v>
      </c>
      <c r="F603" s="9"/>
      <c r="G603" s="9"/>
      <c r="H603" s="9"/>
      <c r="I603" s="9"/>
      <c r="J603" s="9"/>
      <c r="K603" s="9"/>
      <c r="L603" s="9"/>
      <c r="M603" s="9" t="s">
        <v>2354</v>
      </c>
      <c r="N603" s="9" t="s">
        <v>35</v>
      </c>
      <c r="O603" s="9" t="s">
        <v>2355</v>
      </c>
      <c r="P603" s="9" t="s">
        <v>1296</v>
      </c>
    </row>
    <row r="604">
      <c r="A604" s="17" t="s">
        <v>342</v>
      </c>
      <c r="B604" s="8">
        <v>2399.0</v>
      </c>
      <c r="C604" s="8">
        <v>2186768.0</v>
      </c>
      <c r="D604" s="8">
        <v>2188163.0</v>
      </c>
      <c r="E604" s="9" t="s">
        <v>448</v>
      </c>
      <c r="F604" s="9"/>
      <c r="G604" s="9"/>
      <c r="H604" s="9"/>
      <c r="I604" s="9"/>
      <c r="J604" s="9"/>
      <c r="K604" s="9"/>
      <c r="L604" s="9"/>
      <c r="M604" s="9" t="s">
        <v>2356</v>
      </c>
      <c r="N604" s="9" t="s">
        <v>35</v>
      </c>
      <c r="O604" s="9" t="s">
        <v>2357</v>
      </c>
      <c r="P604" s="9" t="s">
        <v>1296</v>
      </c>
    </row>
    <row r="605">
      <c r="A605" s="17" t="s">
        <v>342</v>
      </c>
      <c r="B605" s="8">
        <v>2424.0</v>
      </c>
      <c r="C605" s="8">
        <v>2256570.0</v>
      </c>
      <c r="D605" s="8">
        <v>2259533.0</v>
      </c>
      <c r="E605" s="9" t="s">
        <v>448</v>
      </c>
      <c r="F605" s="9"/>
      <c r="G605" s="9"/>
      <c r="H605" s="9"/>
      <c r="I605" s="9"/>
      <c r="J605" s="9"/>
      <c r="K605" s="9"/>
      <c r="L605" s="9"/>
      <c r="M605" s="9" t="s">
        <v>2358</v>
      </c>
      <c r="N605" s="9" t="s">
        <v>35</v>
      </c>
      <c r="O605" s="9" t="s">
        <v>2359</v>
      </c>
      <c r="P605" s="9" t="s">
        <v>1316</v>
      </c>
    </row>
    <row r="606">
      <c r="A606" s="17" t="s">
        <v>342</v>
      </c>
      <c r="B606" s="8">
        <v>2443.0</v>
      </c>
      <c r="C606" s="8">
        <v>2350077.0</v>
      </c>
      <c r="D606" s="8">
        <v>2351448.0</v>
      </c>
      <c r="E606" s="9" t="s">
        <v>448</v>
      </c>
      <c r="F606" s="9"/>
      <c r="G606" s="9"/>
      <c r="H606" s="9"/>
      <c r="I606" s="9"/>
      <c r="J606" s="9"/>
      <c r="K606" s="9"/>
      <c r="L606" s="9"/>
      <c r="M606" s="9" t="s">
        <v>88</v>
      </c>
      <c r="N606" s="9" t="s">
        <v>35</v>
      </c>
      <c r="O606" s="9" t="s">
        <v>2360</v>
      </c>
      <c r="P606" s="9" t="s">
        <v>1296</v>
      </c>
    </row>
    <row r="607">
      <c r="A607" s="17" t="s">
        <v>342</v>
      </c>
      <c r="B607" s="8">
        <v>2447.0</v>
      </c>
      <c r="C607" s="8">
        <v>2363579.0</v>
      </c>
      <c r="D607" s="8">
        <v>2365455.0</v>
      </c>
      <c r="E607" s="9" t="s">
        <v>448</v>
      </c>
      <c r="F607" s="9"/>
      <c r="G607" s="9"/>
      <c r="H607" s="9"/>
      <c r="I607" s="9"/>
      <c r="J607" s="9"/>
      <c r="K607" s="9"/>
      <c r="L607" s="9"/>
      <c r="M607" s="9" t="s">
        <v>2361</v>
      </c>
      <c r="N607" s="9" t="s">
        <v>35</v>
      </c>
      <c r="O607" s="9" t="s">
        <v>2362</v>
      </c>
      <c r="P607" s="9" t="s">
        <v>1296</v>
      </c>
    </row>
    <row r="608">
      <c r="A608" s="17" t="s">
        <v>342</v>
      </c>
      <c r="B608" s="8">
        <v>2576.0</v>
      </c>
      <c r="C608" s="8">
        <v>2801124.0</v>
      </c>
      <c r="D608" s="8">
        <v>2802804.0</v>
      </c>
      <c r="E608" s="9" t="s">
        <v>448</v>
      </c>
      <c r="F608" s="9"/>
      <c r="G608" s="9"/>
      <c r="H608" s="9"/>
      <c r="I608" s="9"/>
      <c r="J608" s="9"/>
      <c r="K608" s="9"/>
      <c r="L608" s="9"/>
      <c r="M608" s="9"/>
      <c r="N608" s="9" t="s">
        <v>45</v>
      </c>
      <c r="O608" s="9" t="s">
        <v>2363</v>
      </c>
      <c r="P608" s="9" t="s">
        <v>1296</v>
      </c>
    </row>
    <row r="609">
      <c r="A609" s="17" t="s">
        <v>342</v>
      </c>
      <c r="B609" s="8">
        <v>2608.0</v>
      </c>
      <c r="C609" s="8">
        <v>2898328.0</v>
      </c>
      <c r="D609" s="8">
        <v>2900988.0</v>
      </c>
      <c r="E609" s="9" t="s">
        <v>448</v>
      </c>
      <c r="F609" s="9"/>
      <c r="G609" s="9"/>
      <c r="H609" s="9"/>
      <c r="I609" s="9"/>
      <c r="J609" s="9"/>
      <c r="K609" s="9"/>
      <c r="L609" s="9"/>
      <c r="M609" s="9" t="s">
        <v>2364</v>
      </c>
      <c r="N609" s="9" t="s">
        <v>35</v>
      </c>
      <c r="O609" s="9" t="s">
        <v>2365</v>
      </c>
      <c r="P609" s="9" t="s">
        <v>1296</v>
      </c>
    </row>
    <row r="610">
      <c r="A610" s="17" t="s">
        <v>342</v>
      </c>
      <c r="B610" s="8">
        <v>2624.0</v>
      </c>
      <c r="C610" s="8">
        <v>2964129.0</v>
      </c>
      <c r="D610" s="8">
        <v>2966289.0</v>
      </c>
      <c r="E610" s="9" t="s">
        <v>448</v>
      </c>
      <c r="F610" s="9"/>
      <c r="G610" s="9"/>
      <c r="H610" s="9"/>
      <c r="I610" s="9"/>
      <c r="J610" s="9"/>
      <c r="K610" s="9"/>
      <c r="L610" s="9"/>
      <c r="M610" s="9" t="s">
        <v>2366</v>
      </c>
      <c r="N610" s="9" t="s">
        <v>35</v>
      </c>
      <c r="O610" s="9" t="s">
        <v>2367</v>
      </c>
      <c r="P610" s="9" t="s">
        <v>1296</v>
      </c>
    </row>
    <row r="611">
      <c r="A611" s="17" t="s">
        <v>342</v>
      </c>
      <c r="B611" s="8">
        <v>2716.0</v>
      </c>
      <c r="C611" s="8">
        <v>3299413.0</v>
      </c>
      <c r="D611" s="8">
        <v>3301283.0</v>
      </c>
      <c r="E611" s="9" t="s">
        <v>448</v>
      </c>
      <c r="F611" s="9"/>
      <c r="G611" s="9"/>
      <c r="H611" s="9"/>
      <c r="I611" s="9"/>
      <c r="J611" s="9"/>
      <c r="K611" s="9"/>
      <c r="L611" s="9"/>
      <c r="M611" s="9" t="s">
        <v>2368</v>
      </c>
      <c r="N611" s="9" t="s">
        <v>35</v>
      </c>
      <c r="O611" s="9" t="s">
        <v>2369</v>
      </c>
      <c r="P611" s="9" t="s">
        <v>1316</v>
      </c>
    </row>
    <row r="612">
      <c r="A612" s="17" t="s">
        <v>342</v>
      </c>
      <c r="B612" s="8">
        <v>2728.0</v>
      </c>
      <c r="C612" s="8">
        <v>3343683.0</v>
      </c>
      <c r="D612" s="8">
        <v>3345863.0</v>
      </c>
      <c r="E612" s="9" t="s">
        <v>448</v>
      </c>
      <c r="F612" s="9"/>
      <c r="G612" s="9"/>
      <c r="H612" s="9"/>
      <c r="I612" s="9"/>
      <c r="J612" s="9"/>
      <c r="K612" s="9"/>
      <c r="L612" s="9"/>
      <c r="M612" s="9"/>
      <c r="N612" s="9" t="s">
        <v>45</v>
      </c>
      <c r="O612" s="9" t="s">
        <v>2370</v>
      </c>
      <c r="P612" s="9" t="s">
        <v>1296</v>
      </c>
    </row>
    <row r="613">
      <c r="A613" s="17" t="s">
        <v>342</v>
      </c>
      <c r="B613" s="8">
        <v>2742.0</v>
      </c>
      <c r="C613" s="8">
        <v>3400969.0</v>
      </c>
      <c r="D613" s="8">
        <v>3402449.0</v>
      </c>
      <c r="E613" s="9" t="s">
        <v>448</v>
      </c>
      <c r="F613" s="9"/>
      <c r="G613" s="9"/>
      <c r="H613" s="9"/>
      <c r="I613" s="9"/>
      <c r="J613" s="9"/>
      <c r="K613" s="9"/>
      <c r="L613" s="9"/>
      <c r="M613" s="9"/>
      <c r="N613" s="9" t="s">
        <v>45</v>
      </c>
      <c r="O613" s="9" t="s">
        <v>2371</v>
      </c>
      <c r="P613" s="9" t="s">
        <v>1296</v>
      </c>
    </row>
    <row r="614">
      <c r="A614" s="17" t="s">
        <v>342</v>
      </c>
      <c r="B614" s="8">
        <v>2742.0</v>
      </c>
      <c r="C614" s="8">
        <v>3400969.0</v>
      </c>
      <c r="D614" s="8">
        <v>3402449.0</v>
      </c>
      <c r="E614" s="9" t="s">
        <v>448</v>
      </c>
      <c r="F614" s="9"/>
      <c r="G614" s="9"/>
      <c r="H614" s="9"/>
      <c r="I614" s="9"/>
      <c r="J614" s="9"/>
      <c r="K614" s="9"/>
      <c r="L614" s="9"/>
      <c r="M614" s="9" t="s">
        <v>2372</v>
      </c>
      <c r="N614" s="9" t="s">
        <v>35</v>
      </c>
      <c r="O614" s="9" t="s">
        <v>2373</v>
      </c>
      <c r="P614" s="9" t="s">
        <v>1298</v>
      </c>
    </row>
    <row r="615">
      <c r="A615" s="17" t="s">
        <v>342</v>
      </c>
      <c r="B615" s="8">
        <v>2768.0</v>
      </c>
      <c r="C615" s="8">
        <v>3488618.0</v>
      </c>
      <c r="D615" s="8">
        <v>3489218.0</v>
      </c>
      <c r="E615" s="9" t="s">
        <v>448</v>
      </c>
      <c r="F615" s="9"/>
      <c r="G615" s="9"/>
      <c r="H615" s="9"/>
      <c r="I615" s="9"/>
      <c r="J615" s="9"/>
      <c r="K615" s="9"/>
      <c r="L615" s="9"/>
      <c r="M615" s="9"/>
      <c r="N615" s="9" t="s">
        <v>45</v>
      </c>
      <c r="O615" s="9" t="s">
        <v>2374</v>
      </c>
      <c r="P615" s="9" t="s">
        <v>1296</v>
      </c>
    </row>
    <row r="616">
      <c r="A616" s="17" t="s">
        <v>342</v>
      </c>
      <c r="B616" s="8">
        <v>2770.0</v>
      </c>
      <c r="C616" s="8">
        <v>3491535.0</v>
      </c>
      <c r="D616" s="8">
        <v>3493555.0</v>
      </c>
      <c r="E616" s="9" t="s">
        <v>448</v>
      </c>
      <c r="F616" s="9"/>
      <c r="G616" s="9"/>
      <c r="H616" s="9"/>
      <c r="I616" s="9"/>
      <c r="J616" s="9"/>
      <c r="K616" s="9"/>
      <c r="L616" s="9"/>
      <c r="M616" s="9" t="s">
        <v>2375</v>
      </c>
      <c r="N616" s="9" t="s">
        <v>45</v>
      </c>
      <c r="O616" s="9" t="s">
        <v>2376</v>
      </c>
      <c r="P616" s="9" t="s">
        <v>1296</v>
      </c>
    </row>
    <row r="617">
      <c r="A617" s="17" t="s">
        <v>342</v>
      </c>
      <c r="B617" s="8">
        <v>2772.0</v>
      </c>
      <c r="C617" s="8">
        <v>3499646.0</v>
      </c>
      <c r="D617" s="8">
        <v>3503386.0</v>
      </c>
      <c r="E617" s="9" t="s">
        <v>448</v>
      </c>
      <c r="F617" s="9"/>
      <c r="G617" s="9"/>
      <c r="H617" s="9"/>
      <c r="I617" s="9"/>
      <c r="J617" s="9"/>
      <c r="K617" s="9"/>
      <c r="L617" s="9"/>
      <c r="M617" s="9" t="s">
        <v>2377</v>
      </c>
      <c r="N617" s="9" t="s">
        <v>35</v>
      </c>
      <c r="O617" s="9" t="s">
        <v>2378</v>
      </c>
      <c r="P617" s="9" t="s">
        <v>1296</v>
      </c>
    </row>
    <row r="618">
      <c r="A618" s="17" t="s">
        <v>342</v>
      </c>
      <c r="B618" s="8">
        <v>2785.0</v>
      </c>
      <c r="C618" s="8">
        <v>3559371.0</v>
      </c>
      <c r="D618" s="8">
        <v>3560821.0</v>
      </c>
      <c r="E618" s="9" t="s">
        <v>448</v>
      </c>
      <c r="F618" s="9"/>
      <c r="G618" s="9"/>
      <c r="H618" s="9"/>
      <c r="I618" s="9"/>
      <c r="J618" s="9"/>
      <c r="K618" s="9"/>
      <c r="L618" s="9"/>
      <c r="M618" s="9" t="s">
        <v>2379</v>
      </c>
      <c r="N618" s="9" t="s">
        <v>35</v>
      </c>
      <c r="O618" s="9" t="s">
        <v>2380</v>
      </c>
      <c r="P618" s="9" t="s">
        <v>1296</v>
      </c>
    </row>
    <row r="619">
      <c r="A619" s="17" t="s">
        <v>342</v>
      </c>
      <c r="B619" s="8">
        <v>2790.0</v>
      </c>
      <c r="C619" s="8">
        <v>3587451.0</v>
      </c>
      <c r="D619" s="8">
        <v>3588791.0</v>
      </c>
      <c r="E619" s="9" t="s">
        <v>448</v>
      </c>
      <c r="F619" s="9"/>
      <c r="G619" s="9"/>
      <c r="H619" s="9"/>
      <c r="I619" s="9"/>
      <c r="J619" s="9"/>
      <c r="K619" s="9"/>
      <c r="L619" s="9"/>
      <c r="M619" s="9"/>
      <c r="N619" s="9" t="s">
        <v>45</v>
      </c>
      <c r="O619" s="9" t="s">
        <v>2381</v>
      </c>
      <c r="P619" s="9" t="s">
        <v>1296</v>
      </c>
    </row>
    <row r="620">
      <c r="A620" s="17" t="s">
        <v>342</v>
      </c>
      <c r="B620" s="8">
        <v>2843.0</v>
      </c>
      <c r="C620" s="8">
        <v>3835621.0</v>
      </c>
      <c r="D620" s="8">
        <v>3839691.0</v>
      </c>
      <c r="E620" s="9" t="s">
        <v>448</v>
      </c>
      <c r="F620" s="9"/>
      <c r="G620" s="9"/>
      <c r="H620" s="9"/>
      <c r="I620" s="9"/>
      <c r="J620" s="9"/>
      <c r="K620" s="9"/>
      <c r="L620" s="9"/>
      <c r="M620" s="9" t="s">
        <v>2382</v>
      </c>
      <c r="N620" s="9" t="s">
        <v>35</v>
      </c>
      <c r="O620" s="9" t="s">
        <v>2383</v>
      </c>
      <c r="P620" s="9" t="s">
        <v>1316</v>
      </c>
    </row>
    <row r="621">
      <c r="A621" s="17" t="s">
        <v>342</v>
      </c>
      <c r="B621" s="8">
        <v>2916.0</v>
      </c>
      <c r="C621" s="8">
        <v>4189359.0</v>
      </c>
      <c r="D621" s="8">
        <v>4191779.0</v>
      </c>
      <c r="E621" s="9" t="s">
        <v>448</v>
      </c>
      <c r="F621" s="9"/>
      <c r="G621" s="9"/>
      <c r="H621" s="9"/>
      <c r="I621" s="9"/>
      <c r="J621" s="9"/>
      <c r="K621" s="9"/>
      <c r="L621" s="9"/>
      <c r="M621" s="9" t="s">
        <v>2384</v>
      </c>
      <c r="N621" s="9" t="s">
        <v>45</v>
      </c>
      <c r="O621" s="9" t="s">
        <v>2262</v>
      </c>
      <c r="P621" s="9" t="s">
        <v>1296</v>
      </c>
    </row>
    <row r="622">
      <c r="A622" s="17" t="s">
        <v>342</v>
      </c>
      <c r="B622" s="8">
        <v>2931.0</v>
      </c>
      <c r="C622" s="8">
        <v>3037413.0</v>
      </c>
      <c r="D622" s="8">
        <v>3048880.0</v>
      </c>
      <c r="E622" s="9" t="s">
        <v>472</v>
      </c>
      <c r="F622" s="9"/>
      <c r="G622" s="9" t="s">
        <v>344</v>
      </c>
      <c r="H622" s="9" t="s">
        <v>345</v>
      </c>
      <c r="I622" s="8">
        <v>1940.0</v>
      </c>
      <c r="J622" s="9" t="s">
        <v>346</v>
      </c>
      <c r="K622" s="9" t="s">
        <v>347</v>
      </c>
      <c r="L622" s="9" t="s">
        <v>43</v>
      </c>
      <c r="M622" s="9" t="s">
        <v>2385</v>
      </c>
      <c r="N622" s="9" t="s">
        <v>35</v>
      </c>
      <c r="O622" s="9" t="s">
        <v>2386</v>
      </c>
      <c r="P622" s="9" t="s">
        <v>1296</v>
      </c>
    </row>
    <row r="623">
      <c r="A623" s="17" t="s">
        <v>342</v>
      </c>
      <c r="B623" s="8">
        <v>2942.0</v>
      </c>
      <c r="C623" s="8">
        <v>3146615.0</v>
      </c>
      <c r="D623" s="8">
        <v>3154477.0</v>
      </c>
      <c r="E623" s="9" t="s">
        <v>472</v>
      </c>
      <c r="F623" s="9"/>
      <c r="G623" s="9" t="s">
        <v>344</v>
      </c>
      <c r="H623" s="9" t="s">
        <v>345</v>
      </c>
      <c r="I623" s="8">
        <v>1940.0</v>
      </c>
      <c r="J623" s="9" t="s">
        <v>346</v>
      </c>
      <c r="K623" s="9" t="s">
        <v>347</v>
      </c>
      <c r="L623" s="9" t="s">
        <v>43</v>
      </c>
      <c r="M623" s="9" t="s">
        <v>2387</v>
      </c>
      <c r="N623" s="9" t="s">
        <v>35</v>
      </c>
      <c r="O623" s="9" t="s">
        <v>2388</v>
      </c>
      <c r="P623" s="9" t="s">
        <v>1298</v>
      </c>
    </row>
    <row r="624">
      <c r="A624" s="17" t="s">
        <v>342</v>
      </c>
      <c r="B624" s="8">
        <v>2951.0</v>
      </c>
      <c r="C624" s="8">
        <v>3254420.0</v>
      </c>
      <c r="D624" s="8">
        <v>3258480.0</v>
      </c>
      <c r="E624" s="9" t="s">
        <v>472</v>
      </c>
      <c r="F624" s="9"/>
      <c r="G624" s="9" t="s">
        <v>344</v>
      </c>
      <c r="H624" s="9" t="s">
        <v>345</v>
      </c>
      <c r="I624" s="8">
        <v>1940.0</v>
      </c>
      <c r="J624" s="9" t="s">
        <v>346</v>
      </c>
      <c r="K624" s="9" t="s">
        <v>347</v>
      </c>
      <c r="L624" s="9" t="s">
        <v>43</v>
      </c>
      <c r="M624" s="9" t="s">
        <v>2389</v>
      </c>
      <c r="N624" s="9" t="s">
        <v>35</v>
      </c>
      <c r="O624" s="9" t="s">
        <v>2390</v>
      </c>
      <c r="P624" s="9" t="s">
        <v>1296</v>
      </c>
    </row>
    <row r="625">
      <c r="A625" s="17" t="s">
        <v>342</v>
      </c>
      <c r="B625" s="8">
        <v>2974.0</v>
      </c>
      <c r="C625" s="8">
        <v>3428540.0</v>
      </c>
      <c r="D625" s="8">
        <v>3433340.0</v>
      </c>
      <c r="E625" s="9" t="s">
        <v>472</v>
      </c>
      <c r="F625" s="9"/>
      <c r="G625" s="9" t="s">
        <v>344</v>
      </c>
      <c r="H625" s="9" t="s">
        <v>345</v>
      </c>
      <c r="I625" s="8">
        <v>1940.0</v>
      </c>
      <c r="J625" s="9" t="s">
        <v>346</v>
      </c>
      <c r="K625" s="9" t="s">
        <v>347</v>
      </c>
      <c r="L625" s="9" t="s">
        <v>43</v>
      </c>
      <c r="M625" s="9" t="s">
        <v>2391</v>
      </c>
      <c r="N625" s="9" t="s">
        <v>35</v>
      </c>
      <c r="O625" s="9" t="s">
        <v>2392</v>
      </c>
      <c r="P625" s="9" t="s">
        <v>1296</v>
      </c>
    </row>
    <row r="626">
      <c r="A626" s="17" t="s">
        <v>342</v>
      </c>
      <c r="B626" s="8">
        <v>2974.0</v>
      </c>
      <c r="C626" s="8">
        <v>3428540.0</v>
      </c>
      <c r="D626" s="8">
        <v>3433340.0</v>
      </c>
      <c r="E626" s="9" t="s">
        <v>472</v>
      </c>
      <c r="F626" s="9"/>
      <c r="G626" s="9" t="s">
        <v>344</v>
      </c>
      <c r="H626" s="9" t="s">
        <v>345</v>
      </c>
      <c r="I626" s="8">
        <v>1940.0</v>
      </c>
      <c r="J626" s="9" t="s">
        <v>346</v>
      </c>
      <c r="K626" s="9" t="s">
        <v>347</v>
      </c>
      <c r="L626" s="9" t="s">
        <v>43</v>
      </c>
      <c r="M626" s="9" t="s">
        <v>2393</v>
      </c>
      <c r="N626" s="9" t="s">
        <v>35</v>
      </c>
      <c r="O626" s="9" t="s">
        <v>2394</v>
      </c>
      <c r="P626" s="9" t="s">
        <v>1296</v>
      </c>
    </row>
    <row r="627">
      <c r="A627" s="17" t="s">
        <v>342</v>
      </c>
      <c r="B627" s="8">
        <v>2984.0</v>
      </c>
      <c r="C627" s="8">
        <v>3491040.0</v>
      </c>
      <c r="D627" s="8">
        <v>3502680.0</v>
      </c>
      <c r="E627" s="9" t="s">
        <v>472</v>
      </c>
      <c r="F627" s="9"/>
      <c r="G627" s="9" t="s">
        <v>344</v>
      </c>
      <c r="H627" s="9" t="s">
        <v>345</v>
      </c>
      <c r="I627" s="8">
        <v>1940.0</v>
      </c>
      <c r="J627" s="9" t="s">
        <v>346</v>
      </c>
      <c r="K627" s="9" t="s">
        <v>347</v>
      </c>
      <c r="L627" s="9" t="s">
        <v>43</v>
      </c>
      <c r="M627" s="9" t="s">
        <v>2395</v>
      </c>
      <c r="N627" s="9" t="s">
        <v>35</v>
      </c>
      <c r="O627" s="9" t="s">
        <v>2396</v>
      </c>
      <c r="P627" s="9" t="s">
        <v>1296</v>
      </c>
    </row>
    <row r="628">
      <c r="A628" s="17" t="s">
        <v>342</v>
      </c>
      <c r="B628" s="8">
        <v>2984.0</v>
      </c>
      <c r="C628" s="8">
        <v>3491040.0</v>
      </c>
      <c r="D628" s="8">
        <v>3502680.0</v>
      </c>
      <c r="E628" s="9" t="s">
        <v>472</v>
      </c>
      <c r="F628" s="9"/>
      <c r="G628" s="9" t="s">
        <v>344</v>
      </c>
      <c r="H628" s="9" t="s">
        <v>345</v>
      </c>
      <c r="I628" s="8">
        <v>1940.0</v>
      </c>
      <c r="J628" s="9" t="s">
        <v>346</v>
      </c>
      <c r="K628" s="9" t="s">
        <v>347</v>
      </c>
      <c r="L628" s="9" t="s">
        <v>43</v>
      </c>
      <c r="M628" s="9" t="s">
        <v>2397</v>
      </c>
      <c r="N628" s="9" t="s">
        <v>35</v>
      </c>
      <c r="O628" s="9" t="s">
        <v>2398</v>
      </c>
      <c r="P628" s="9" t="s">
        <v>1296</v>
      </c>
    </row>
    <row r="629">
      <c r="A629" s="17" t="s">
        <v>342</v>
      </c>
      <c r="B629" s="8">
        <v>2986.0</v>
      </c>
      <c r="C629" s="8">
        <v>3507960.0</v>
      </c>
      <c r="D629" s="8">
        <v>3515760.0</v>
      </c>
      <c r="E629" s="9" t="s">
        <v>472</v>
      </c>
      <c r="F629" s="9"/>
      <c r="G629" s="9" t="s">
        <v>344</v>
      </c>
      <c r="H629" s="9" t="s">
        <v>345</v>
      </c>
      <c r="I629" s="8">
        <v>1940.0</v>
      </c>
      <c r="J629" s="9" t="s">
        <v>346</v>
      </c>
      <c r="K629" s="9" t="s">
        <v>347</v>
      </c>
      <c r="L629" s="9" t="s">
        <v>43</v>
      </c>
      <c r="M629" s="9" t="s">
        <v>2399</v>
      </c>
      <c r="N629" s="9" t="s">
        <v>35</v>
      </c>
      <c r="O629" s="9" t="s">
        <v>2400</v>
      </c>
      <c r="P629" s="9" t="s">
        <v>1296</v>
      </c>
    </row>
    <row r="630">
      <c r="A630" s="17" t="s">
        <v>342</v>
      </c>
      <c r="B630" s="8">
        <v>2991.0</v>
      </c>
      <c r="C630" s="8">
        <v>3548480.0</v>
      </c>
      <c r="D630" s="8">
        <v>3560840.0</v>
      </c>
      <c r="E630" s="9" t="s">
        <v>472</v>
      </c>
      <c r="F630" s="9"/>
      <c r="G630" s="9" t="s">
        <v>344</v>
      </c>
      <c r="H630" s="9" t="s">
        <v>345</v>
      </c>
      <c r="I630" s="8">
        <v>1940.0</v>
      </c>
      <c r="J630" s="9" t="s">
        <v>346</v>
      </c>
      <c r="K630" s="9" t="s">
        <v>347</v>
      </c>
      <c r="L630" s="9" t="s">
        <v>43</v>
      </c>
      <c r="M630" s="9" t="s">
        <v>2401</v>
      </c>
      <c r="N630" s="9" t="s">
        <v>35</v>
      </c>
      <c r="O630" s="9" t="s">
        <v>2402</v>
      </c>
      <c r="P630" s="9" t="s">
        <v>1296</v>
      </c>
    </row>
    <row r="631">
      <c r="A631" s="17" t="s">
        <v>342</v>
      </c>
      <c r="B631" s="8">
        <v>3007.0</v>
      </c>
      <c r="C631" s="8">
        <v>3697840.0</v>
      </c>
      <c r="D631" s="8">
        <v>3702320.0</v>
      </c>
      <c r="E631" s="9" t="s">
        <v>472</v>
      </c>
      <c r="F631" s="9"/>
      <c r="G631" s="9" t="s">
        <v>344</v>
      </c>
      <c r="H631" s="9" t="s">
        <v>345</v>
      </c>
      <c r="I631" s="8">
        <v>1940.0</v>
      </c>
      <c r="J631" s="9" t="s">
        <v>346</v>
      </c>
      <c r="K631" s="9" t="s">
        <v>347</v>
      </c>
      <c r="L631" s="9" t="s">
        <v>43</v>
      </c>
      <c r="M631" s="9"/>
      <c r="N631" s="9" t="s">
        <v>45</v>
      </c>
      <c r="O631" s="9" t="s">
        <v>2403</v>
      </c>
      <c r="P631" s="9" t="s">
        <v>1316</v>
      </c>
    </row>
    <row r="632">
      <c r="A632" s="17" t="s">
        <v>342</v>
      </c>
      <c r="B632" s="8">
        <v>3024.0</v>
      </c>
      <c r="C632" s="8">
        <v>3851900.0</v>
      </c>
      <c r="D632" s="8">
        <v>3858250.0</v>
      </c>
      <c r="E632" s="9" t="s">
        <v>472</v>
      </c>
      <c r="F632" s="9"/>
      <c r="G632" s="9" t="s">
        <v>344</v>
      </c>
      <c r="H632" s="9" t="s">
        <v>345</v>
      </c>
      <c r="I632" s="8">
        <v>1940.0</v>
      </c>
      <c r="J632" s="9" t="s">
        <v>346</v>
      </c>
      <c r="K632" s="9" t="s">
        <v>347</v>
      </c>
      <c r="L632" s="9" t="s">
        <v>43</v>
      </c>
      <c r="M632" s="9" t="s">
        <v>1532</v>
      </c>
      <c r="N632" s="9" t="s">
        <v>35</v>
      </c>
      <c r="O632" s="9" t="s">
        <v>2404</v>
      </c>
      <c r="P632" s="9" t="s">
        <v>2275</v>
      </c>
    </row>
    <row r="633">
      <c r="A633" s="17" t="s">
        <v>342</v>
      </c>
      <c r="B633" s="8">
        <v>3025.0</v>
      </c>
      <c r="C633" s="8">
        <v>3858800.0</v>
      </c>
      <c r="D633" s="8">
        <v>3865025.0</v>
      </c>
      <c r="E633" s="9" t="s">
        <v>472</v>
      </c>
      <c r="F633" s="9"/>
      <c r="G633" s="9" t="s">
        <v>344</v>
      </c>
      <c r="H633" s="9" t="s">
        <v>345</v>
      </c>
      <c r="I633" s="8">
        <v>1940.0</v>
      </c>
      <c r="J633" s="9" t="s">
        <v>346</v>
      </c>
      <c r="K633" s="9" t="s">
        <v>347</v>
      </c>
      <c r="L633" s="9" t="s">
        <v>43</v>
      </c>
      <c r="M633" s="9" t="s">
        <v>2405</v>
      </c>
      <c r="N633" s="9" t="s">
        <v>35</v>
      </c>
      <c r="O633" s="9" t="s">
        <v>2406</v>
      </c>
      <c r="P633" s="9" t="s">
        <v>2275</v>
      </c>
    </row>
    <row r="634">
      <c r="A634" s="17" t="s">
        <v>342</v>
      </c>
      <c r="B634" s="8">
        <v>3029.0</v>
      </c>
      <c r="C634" s="8">
        <v>3901650.0</v>
      </c>
      <c r="D634" s="8">
        <v>3909025.0</v>
      </c>
      <c r="E634" s="9" t="s">
        <v>472</v>
      </c>
      <c r="F634" s="9"/>
      <c r="G634" s="9" t="s">
        <v>344</v>
      </c>
      <c r="H634" s="9" t="s">
        <v>345</v>
      </c>
      <c r="I634" s="8">
        <v>1940.0</v>
      </c>
      <c r="J634" s="9" t="s">
        <v>346</v>
      </c>
      <c r="K634" s="9" t="s">
        <v>347</v>
      </c>
      <c r="L634" s="9" t="s">
        <v>43</v>
      </c>
      <c r="M634" s="9" t="s">
        <v>2407</v>
      </c>
      <c r="N634" s="9" t="s">
        <v>35</v>
      </c>
      <c r="O634" s="9" t="s">
        <v>2408</v>
      </c>
      <c r="P634" s="9" t="s">
        <v>1296</v>
      </c>
    </row>
    <row r="635">
      <c r="A635" s="17" t="s">
        <v>342</v>
      </c>
      <c r="B635" s="8">
        <v>3139.0</v>
      </c>
      <c r="C635" s="8">
        <v>3780526.0</v>
      </c>
      <c r="D635" s="8">
        <v>3785526.0</v>
      </c>
      <c r="E635" s="9" t="s">
        <v>483</v>
      </c>
      <c r="F635" s="9"/>
      <c r="G635" s="9" t="s">
        <v>426</v>
      </c>
      <c r="H635" s="9" t="s">
        <v>345</v>
      </c>
      <c r="I635" s="8">
        <v>1953.0</v>
      </c>
      <c r="J635" s="9" t="s">
        <v>346</v>
      </c>
      <c r="K635" s="9" t="s">
        <v>43</v>
      </c>
      <c r="L635" s="9" t="s">
        <v>43</v>
      </c>
      <c r="M635" s="9" t="s">
        <v>2409</v>
      </c>
      <c r="N635" s="9" t="s">
        <v>35</v>
      </c>
      <c r="O635" s="9" t="s">
        <v>2410</v>
      </c>
      <c r="P635" s="9" t="s">
        <v>1296</v>
      </c>
    </row>
    <row r="636">
      <c r="A636" s="17" t="s">
        <v>342</v>
      </c>
      <c r="B636" s="8">
        <v>3143.0</v>
      </c>
      <c r="C636" s="8">
        <v>3809536.0</v>
      </c>
      <c r="D636" s="8">
        <v>3814347.0</v>
      </c>
      <c r="E636" s="9" t="s">
        <v>483</v>
      </c>
      <c r="F636" s="9"/>
      <c r="G636" s="9" t="s">
        <v>426</v>
      </c>
      <c r="H636" s="9" t="s">
        <v>345</v>
      </c>
      <c r="I636" s="8">
        <v>1953.0</v>
      </c>
      <c r="J636" s="9" t="s">
        <v>346</v>
      </c>
      <c r="K636" s="9" t="s">
        <v>43</v>
      </c>
      <c r="L636" s="9" t="s">
        <v>43</v>
      </c>
      <c r="M636" s="9" t="s">
        <v>2411</v>
      </c>
      <c r="N636" s="9" t="s">
        <v>35</v>
      </c>
      <c r="O636" s="9" t="s">
        <v>2412</v>
      </c>
      <c r="P636" s="9" t="s">
        <v>1296</v>
      </c>
    </row>
    <row r="637">
      <c r="A637" s="17" t="s">
        <v>342</v>
      </c>
      <c r="B637" s="8">
        <v>3191.0</v>
      </c>
      <c r="C637" s="8">
        <v>4068710.0</v>
      </c>
      <c r="D637" s="8">
        <v>4069036.0</v>
      </c>
      <c r="E637" s="9" t="s">
        <v>483</v>
      </c>
      <c r="F637" s="9"/>
      <c r="G637" s="9" t="s">
        <v>426</v>
      </c>
      <c r="H637" s="9" t="s">
        <v>345</v>
      </c>
      <c r="I637" s="8">
        <v>1953.0</v>
      </c>
      <c r="J637" s="9" t="s">
        <v>346</v>
      </c>
      <c r="K637" s="9" t="s">
        <v>43</v>
      </c>
      <c r="L637" s="9" t="s">
        <v>43</v>
      </c>
      <c r="M637" s="9"/>
      <c r="N637" s="9" t="s">
        <v>45</v>
      </c>
      <c r="O637" s="9" t="s">
        <v>2413</v>
      </c>
      <c r="P637" s="9" t="s">
        <v>1300</v>
      </c>
    </row>
    <row r="638">
      <c r="A638" s="17" t="s">
        <v>342</v>
      </c>
      <c r="B638" s="8">
        <v>3199.0</v>
      </c>
      <c r="C638" s="8">
        <v>4103825.0</v>
      </c>
      <c r="D638" s="8">
        <v>4116776.0</v>
      </c>
      <c r="E638" s="9" t="s">
        <v>483</v>
      </c>
      <c r="F638" s="9"/>
      <c r="G638" s="9" t="s">
        <v>426</v>
      </c>
      <c r="H638" s="9" t="s">
        <v>345</v>
      </c>
      <c r="I638" s="8">
        <v>1953.0</v>
      </c>
      <c r="J638" s="9" t="s">
        <v>346</v>
      </c>
      <c r="K638" s="9" t="s">
        <v>43</v>
      </c>
      <c r="L638" s="9" t="s">
        <v>43</v>
      </c>
      <c r="M638" s="9" t="s">
        <v>2414</v>
      </c>
      <c r="N638" s="9" t="s">
        <v>35</v>
      </c>
      <c r="O638" s="9" t="s">
        <v>2415</v>
      </c>
      <c r="P638" s="9" t="s">
        <v>1296</v>
      </c>
    </row>
    <row r="639">
      <c r="A639" s="17" t="s">
        <v>342</v>
      </c>
      <c r="B639" s="8">
        <v>3293.0</v>
      </c>
      <c r="C639" s="8">
        <v>4523392.0</v>
      </c>
      <c r="D639" s="8">
        <v>4532352.0</v>
      </c>
      <c r="E639" s="9" t="s">
        <v>483</v>
      </c>
      <c r="F639" s="9"/>
      <c r="G639" s="9" t="s">
        <v>426</v>
      </c>
      <c r="H639" s="9" t="s">
        <v>345</v>
      </c>
      <c r="I639" s="8">
        <v>1953.0</v>
      </c>
      <c r="J639" s="9" t="s">
        <v>346</v>
      </c>
      <c r="K639" s="9" t="s">
        <v>43</v>
      </c>
      <c r="L639" s="9" t="s">
        <v>43</v>
      </c>
      <c r="M639" s="9" t="s">
        <v>2416</v>
      </c>
      <c r="N639" s="9" t="s">
        <v>35</v>
      </c>
      <c r="O639" s="9" t="s">
        <v>2417</v>
      </c>
      <c r="P639" s="9" t="s">
        <v>1316</v>
      </c>
    </row>
    <row r="640">
      <c r="A640" s="17" t="s">
        <v>342</v>
      </c>
      <c r="B640" s="8">
        <v>3308.0</v>
      </c>
      <c r="C640" s="8">
        <v>4589165.0</v>
      </c>
      <c r="D640" s="8">
        <v>4593788.0</v>
      </c>
      <c r="E640" s="9" t="s">
        <v>483</v>
      </c>
      <c r="F640" s="9"/>
      <c r="G640" s="9" t="s">
        <v>426</v>
      </c>
      <c r="H640" s="9" t="s">
        <v>345</v>
      </c>
      <c r="I640" s="8">
        <v>1953.0</v>
      </c>
      <c r="J640" s="9" t="s">
        <v>346</v>
      </c>
      <c r="K640" s="9" t="s">
        <v>43</v>
      </c>
      <c r="L640" s="9" t="s">
        <v>43</v>
      </c>
      <c r="M640" s="9" t="s">
        <v>2418</v>
      </c>
      <c r="N640" s="9" t="s">
        <v>35</v>
      </c>
      <c r="O640" s="9" t="s">
        <v>2419</v>
      </c>
      <c r="P640" s="9" t="s">
        <v>1316</v>
      </c>
    </row>
    <row r="641">
      <c r="A641" s="17" t="s">
        <v>342</v>
      </c>
      <c r="B641" s="8">
        <v>3323.0</v>
      </c>
      <c r="C641" s="8">
        <v>4654005.0</v>
      </c>
      <c r="D641" s="8">
        <v>4655461.0</v>
      </c>
      <c r="E641" s="9" t="s">
        <v>483</v>
      </c>
      <c r="F641" s="9"/>
      <c r="G641" s="9" t="s">
        <v>426</v>
      </c>
      <c r="H641" s="9" t="s">
        <v>345</v>
      </c>
      <c r="I641" s="8">
        <v>1953.0</v>
      </c>
      <c r="J641" s="9" t="s">
        <v>346</v>
      </c>
      <c r="K641" s="9" t="s">
        <v>43</v>
      </c>
      <c r="L641" s="9" t="s">
        <v>43</v>
      </c>
      <c r="M641" s="9" t="s">
        <v>2420</v>
      </c>
      <c r="N641" s="9" t="s">
        <v>35</v>
      </c>
      <c r="O641" s="9" t="s">
        <v>2421</v>
      </c>
      <c r="P641" s="9" t="s">
        <v>1316</v>
      </c>
    </row>
    <row r="642">
      <c r="A642" s="17" t="s">
        <v>342</v>
      </c>
      <c r="B642" s="8">
        <v>3325.0</v>
      </c>
      <c r="C642" s="8">
        <v>4660148.0</v>
      </c>
      <c r="D642" s="8">
        <v>4664940.0</v>
      </c>
      <c r="E642" s="9" t="s">
        <v>483</v>
      </c>
      <c r="F642" s="9"/>
      <c r="G642" s="9" t="s">
        <v>426</v>
      </c>
      <c r="H642" s="9" t="s">
        <v>345</v>
      </c>
      <c r="I642" s="8">
        <v>1953.0</v>
      </c>
      <c r="J642" s="9" t="s">
        <v>346</v>
      </c>
      <c r="K642" s="9" t="s">
        <v>43</v>
      </c>
      <c r="L642" s="9" t="s">
        <v>43</v>
      </c>
      <c r="M642" s="9" t="s">
        <v>2422</v>
      </c>
      <c r="N642" s="9" t="s">
        <v>35</v>
      </c>
      <c r="O642" s="9" t="s">
        <v>2423</v>
      </c>
      <c r="P642" s="9" t="s">
        <v>1316</v>
      </c>
    </row>
    <row r="643">
      <c r="A643" s="17" t="s">
        <v>342</v>
      </c>
      <c r="B643" s="8">
        <v>3331.0</v>
      </c>
      <c r="C643" s="8">
        <v>4700566.0</v>
      </c>
      <c r="D643" s="8">
        <v>4703695.0</v>
      </c>
      <c r="E643" s="9" t="s">
        <v>483</v>
      </c>
      <c r="F643" s="9"/>
      <c r="G643" s="9" t="s">
        <v>426</v>
      </c>
      <c r="H643" s="9" t="s">
        <v>345</v>
      </c>
      <c r="I643" s="8">
        <v>1953.0</v>
      </c>
      <c r="J643" s="9" t="s">
        <v>346</v>
      </c>
      <c r="K643" s="9" t="s">
        <v>43</v>
      </c>
      <c r="L643" s="9" t="s">
        <v>43</v>
      </c>
      <c r="M643" s="9" t="s">
        <v>2424</v>
      </c>
      <c r="N643" s="9" t="s">
        <v>35</v>
      </c>
      <c r="O643" s="9" t="s">
        <v>2425</v>
      </c>
      <c r="P643" s="9" t="s">
        <v>1296</v>
      </c>
    </row>
    <row r="644">
      <c r="A644" s="17" t="s">
        <v>342</v>
      </c>
      <c r="B644" s="8">
        <v>3331.0</v>
      </c>
      <c r="C644" s="8">
        <v>4700566.0</v>
      </c>
      <c r="D644" s="8">
        <v>4703695.0</v>
      </c>
      <c r="E644" s="9" t="s">
        <v>483</v>
      </c>
      <c r="F644" s="9"/>
      <c r="G644" s="9" t="s">
        <v>426</v>
      </c>
      <c r="H644" s="9" t="s">
        <v>345</v>
      </c>
      <c r="I644" s="8">
        <v>1953.0</v>
      </c>
      <c r="J644" s="9" t="s">
        <v>346</v>
      </c>
      <c r="K644" s="9" t="s">
        <v>43</v>
      </c>
      <c r="L644" s="9" t="s">
        <v>43</v>
      </c>
      <c r="M644" s="9" t="s">
        <v>2426</v>
      </c>
      <c r="N644" s="9" t="s">
        <v>35</v>
      </c>
      <c r="O644" s="9" t="s">
        <v>2427</v>
      </c>
      <c r="P644" s="9" t="s">
        <v>1296</v>
      </c>
    </row>
    <row r="645">
      <c r="A645" s="17" t="s">
        <v>342</v>
      </c>
      <c r="B645" s="8">
        <v>3331.0</v>
      </c>
      <c r="C645" s="8">
        <v>4700566.0</v>
      </c>
      <c r="D645" s="8">
        <v>4703695.0</v>
      </c>
      <c r="E645" s="9" t="s">
        <v>483</v>
      </c>
      <c r="F645" s="9"/>
      <c r="G645" s="9" t="s">
        <v>426</v>
      </c>
      <c r="H645" s="9" t="s">
        <v>345</v>
      </c>
      <c r="I645" s="8">
        <v>1953.0</v>
      </c>
      <c r="J645" s="9" t="s">
        <v>346</v>
      </c>
      <c r="K645" s="9" t="s">
        <v>43</v>
      </c>
      <c r="L645" s="9" t="s">
        <v>43</v>
      </c>
      <c r="M645" s="9" t="s">
        <v>2428</v>
      </c>
      <c r="N645" s="9" t="s">
        <v>35</v>
      </c>
      <c r="O645" s="9" t="s">
        <v>2429</v>
      </c>
      <c r="P645" s="9" t="s">
        <v>1296</v>
      </c>
    </row>
    <row r="646">
      <c r="A646" s="17" t="s">
        <v>342</v>
      </c>
      <c r="B646" s="8">
        <v>3467.0</v>
      </c>
      <c r="C646" s="8">
        <v>5333097.0</v>
      </c>
      <c r="D646" s="8">
        <v>5339967.0</v>
      </c>
      <c r="E646" s="9" t="s">
        <v>483</v>
      </c>
      <c r="F646" s="9"/>
      <c r="G646" s="9" t="s">
        <v>426</v>
      </c>
      <c r="H646" s="9" t="s">
        <v>345</v>
      </c>
      <c r="I646" s="8">
        <v>1953.0</v>
      </c>
      <c r="J646" s="9" t="s">
        <v>346</v>
      </c>
      <c r="K646" s="9" t="s">
        <v>43</v>
      </c>
      <c r="L646" s="9" t="s">
        <v>43</v>
      </c>
      <c r="M646" s="9" t="s">
        <v>2430</v>
      </c>
      <c r="N646" s="9" t="s">
        <v>35</v>
      </c>
      <c r="O646" s="9" t="s">
        <v>2431</v>
      </c>
      <c r="P646" s="9" t="s">
        <v>1298</v>
      </c>
    </row>
    <row r="647">
      <c r="A647" s="17" t="s">
        <v>342</v>
      </c>
      <c r="B647" s="8">
        <v>3537.0</v>
      </c>
      <c r="C647" s="8">
        <v>5642238.0</v>
      </c>
      <c r="D647" s="8">
        <v>5645408.0</v>
      </c>
      <c r="E647" s="9" t="s">
        <v>483</v>
      </c>
      <c r="F647" s="9"/>
      <c r="G647" s="9" t="s">
        <v>426</v>
      </c>
      <c r="H647" s="9" t="s">
        <v>345</v>
      </c>
      <c r="I647" s="8">
        <v>1953.0</v>
      </c>
      <c r="J647" s="9" t="s">
        <v>346</v>
      </c>
      <c r="K647" s="9" t="s">
        <v>43</v>
      </c>
      <c r="L647" s="9" t="s">
        <v>43</v>
      </c>
      <c r="M647" s="9" t="s">
        <v>2432</v>
      </c>
      <c r="N647" s="9" t="s">
        <v>35</v>
      </c>
      <c r="O647" s="9" t="s">
        <v>2433</v>
      </c>
      <c r="P647" s="9" t="s">
        <v>1296</v>
      </c>
    </row>
    <row r="648">
      <c r="A648" s="17" t="s">
        <v>342</v>
      </c>
      <c r="B648" s="8">
        <v>3539.0</v>
      </c>
      <c r="C648" s="8">
        <v>5648823.0</v>
      </c>
      <c r="D648" s="8">
        <v>5650144.0</v>
      </c>
      <c r="E648" s="9" t="s">
        <v>483</v>
      </c>
      <c r="F648" s="9"/>
      <c r="G648" s="9" t="s">
        <v>426</v>
      </c>
      <c r="H648" s="9" t="s">
        <v>345</v>
      </c>
      <c r="I648" s="8">
        <v>1953.0</v>
      </c>
      <c r="J648" s="9" t="s">
        <v>346</v>
      </c>
      <c r="K648" s="9" t="s">
        <v>43</v>
      </c>
      <c r="L648" s="9" t="s">
        <v>43</v>
      </c>
      <c r="M648" s="9" t="s">
        <v>2434</v>
      </c>
      <c r="N648" s="9" t="s">
        <v>35</v>
      </c>
      <c r="O648" s="9" t="s">
        <v>2435</v>
      </c>
      <c r="P648" s="9" t="s">
        <v>1296</v>
      </c>
    </row>
    <row r="649">
      <c r="A649" s="17" t="s">
        <v>342</v>
      </c>
      <c r="B649" s="8">
        <v>3561.0</v>
      </c>
      <c r="C649" s="8">
        <v>5803415.0</v>
      </c>
      <c r="D649" s="8">
        <v>5810683.0</v>
      </c>
      <c r="E649" s="9" t="s">
        <v>483</v>
      </c>
      <c r="F649" s="9"/>
      <c r="G649" s="9" t="s">
        <v>426</v>
      </c>
      <c r="H649" s="9" t="s">
        <v>345</v>
      </c>
      <c r="I649" s="8">
        <v>1953.0</v>
      </c>
      <c r="J649" s="9" t="s">
        <v>346</v>
      </c>
      <c r="K649" s="9" t="s">
        <v>43</v>
      </c>
      <c r="L649" s="9" t="s">
        <v>43</v>
      </c>
      <c r="M649" s="9" t="s">
        <v>2436</v>
      </c>
      <c r="N649" s="9" t="s">
        <v>35</v>
      </c>
      <c r="O649" s="9" t="s">
        <v>2437</v>
      </c>
      <c r="P649" s="9" t="s">
        <v>1296</v>
      </c>
    </row>
    <row r="650">
      <c r="A650" s="17" t="s">
        <v>342</v>
      </c>
      <c r="B650" s="8">
        <v>3584.0</v>
      </c>
      <c r="C650" s="8">
        <v>5941801.0</v>
      </c>
      <c r="D650" s="8">
        <v>5948548.0</v>
      </c>
      <c r="E650" s="9" t="s">
        <v>483</v>
      </c>
      <c r="F650" s="9"/>
      <c r="G650" s="9" t="s">
        <v>426</v>
      </c>
      <c r="H650" s="9" t="s">
        <v>345</v>
      </c>
      <c r="I650" s="8">
        <v>1953.0</v>
      </c>
      <c r="J650" s="9" t="s">
        <v>346</v>
      </c>
      <c r="K650" s="9" t="s">
        <v>43</v>
      </c>
      <c r="L650" s="9" t="s">
        <v>43</v>
      </c>
      <c r="M650" s="9" t="s">
        <v>2438</v>
      </c>
      <c r="N650" s="9" t="s">
        <v>35</v>
      </c>
      <c r="O650" s="9" t="s">
        <v>2439</v>
      </c>
      <c r="P650" s="9" t="s">
        <v>1296</v>
      </c>
    </row>
    <row r="651">
      <c r="A651" s="17" t="s">
        <v>342</v>
      </c>
      <c r="B651" s="8">
        <v>3587.0</v>
      </c>
      <c r="C651" s="8">
        <v>5972586.0</v>
      </c>
      <c r="D651" s="8">
        <v>5976346.0</v>
      </c>
      <c r="E651" s="9" t="s">
        <v>483</v>
      </c>
      <c r="F651" s="9"/>
      <c r="G651" s="9" t="s">
        <v>426</v>
      </c>
      <c r="H651" s="9" t="s">
        <v>345</v>
      </c>
      <c r="I651" s="8">
        <v>1953.0</v>
      </c>
      <c r="J651" s="9" t="s">
        <v>346</v>
      </c>
      <c r="K651" s="9" t="s">
        <v>43</v>
      </c>
      <c r="L651" s="9" t="s">
        <v>43</v>
      </c>
      <c r="M651" s="9" t="s">
        <v>2440</v>
      </c>
      <c r="N651" s="9" t="s">
        <v>35</v>
      </c>
      <c r="O651" s="9" t="s">
        <v>2441</v>
      </c>
      <c r="P651" s="9" t="s">
        <v>1296</v>
      </c>
    </row>
    <row r="652">
      <c r="A652" s="17" t="s">
        <v>342</v>
      </c>
      <c r="B652" s="8">
        <v>3588.0</v>
      </c>
      <c r="C652" s="8">
        <v>5977009.0</v>
      </c>
      <c r="D652" s="8">
        <v>5981741.0</v>
      </c>
      <c r="E652" s="9" t="s">
        <v>483</v>
      </c>
      <c r="F652" s="9"/>
      <c r="G652" s="9" t="s">
        <v>426</v>
      </c>
      <c r="H652" s="9" t="s">
        <v>345</v>
      </c>
      <c r="I652" s="8">
        <v>1953.0</v>
      </c>
      <c r="J652" s="9" t="s">
        <v>346</v>
      </c>
      <c r="K652" s="9" t="s">
        <v>43</v>
      </c>
      <c r="L652" s="9" t="s">
        <v>43</v>
      </c>
      <c r="M652" s="9" t="s">
        <v>2442</v>
      </c>
      <c r="N652" s="9" t="s">
        <v>35</v>
      </c>
      <c r="O652" s="9" t="s">
        <v>2443</v>
      </c>
      <c r="P652" s="9" t="s">
        <v>1316</v>
      </c>
    </row>
    <row r="653">
      <c r="A653" s="17" t="s">
        <v>342</v>
      </c>
      <c r="B653" s="8">
        <v>3588.0</v>
      </c>
      <c r="C653" s="8">
        <v>5977009.0</v>
      </c>
      <c r="D653" s="8">
        <v>5981741.0</v>
      </c>
      <c r="E653" s="9" t="s">
        <v>483</v>
      </c>
      <c r="F653" s="9"/>
      <c r="G653" s="9" t="s">
        <v>426</v>
      </c>
      <c r="H653" s="9" t="s">
        <v>345</v>
      </c>
      <c r="I653" s="8">
        <v>1953.0</v>
      </c>
      <c r="J653" s="9" t="s">
        <v>346</v>
      </c>
      <c r="K653" s="9" t="s">
        <v>43</v>
      </c>
      <c r="L653" s="9" t="s">
        <v>43</v>
      </c>
      <c r="M653" s="9" t="s">
        <v>2444</v>
      </c>
      <c r="N653" s="9" t="s">
        <v>35</v>
      </c>
      <c r="O653" s="9" t="s">
        <v>2445</v>
      </c>
      <c r="P653" s="9" t="s">
        <v>1316</v>
      </c>
    </row>
    <row r="654">
      <c r="A654" s="17" t="s">
        <v>342</v>
      </c>
      <c r="B654" s="8">
        <v>3592.0</v>
      </c>
      <c r="C654" s="8">
        <v>5991971.0</v>
      </c>
      <c r="D654" s="8">
        <v>5999661.0</v>
      </c>
      <c r="E654" s="9" t="s">
        <v>483</v>
      </c>
      <c r="F654" s="9"/>
      <c r="G654" s="9" t="s">
        <v>426</v>
      </c>
      <c r="H654" s="9" t="s">
        <v>345</v>
      </c>
      <c r="I654" s="8">
        <v>1953.0</v>
      </c>
      <c r="J654" s="9" t="s">
        <v>346</v>
      </c>
      <c r="K654" s="9" t="s">
        <v>43</v>
      </c>
      <c r="L654" s="9" t="s">
        <v>43</v>
      </c>
      <c r="M654" s="9" t="s">
        <v>2446</v>
      </c>
      <c r="N654" s="9" t="s">
        <v>35</v>
      </c>
      <c r="O654" s="9" t="s">
        <v>2447</v>
      </c>
      <c r="P654" s="9" t="s">
        <v>1296</v>
      </c>
    </row>
    <row r="655">
      <c r="A655" s="17" t="s">
        <v>342</v>
      </c>
      <c r="B655" s="8">
        <v>3594.0</v>
      </c>
      <c r="C655" s="8">
        <v>6008935.0</v>
      </c>
      <c r="D655" s="8">
        <v>6009668.0</v>
      </c>
      <c r="E655" s="9" t="s">
        <v>483</v>
      </c>
      <c r="F655" s="9"/>
      <c r="G655" s="9" t="s">
        <v>426</v>
      </c>
      <c r="H655" s="9" t="s">
        <v>345</v>
      </c>
      <c r="I655" s="8">
        <v>1953.0</v>
      </c>
      <c r="J655" s="9" t="s">
        <v>346</v>
      </c>
      <c r="K655" s="9" t="s">
        <v>43</v>
      </c>
      <c r="L655" s="9" t="s">
        <v>43</v>
      </c>
      <c r="M655" s="9" t="s">
        <v>2448</v>
      </c>
      <c r="N655" s="9" t="s">
        <v>35</v>
      </c>
      <c r="O655" s="9" t="s">
        <v>2449</v>
      </c>
      <c r="P655" s="9" t="s">
        <v>1296</v>
      </c>
    </row>
    <row r="656">
      <c r="A656" s="17" t="s">
        <v>342</v>
      </c>
      <c r="B656" s="8">
        <v>3595.0</v>
      </c>
      <c r="C656" s="8">
        <v>6011240.0</v>
      </c>
      <c r="D656" s="8">
        <v>6014169.0</v>
      </c>
      <c r="E656" s="9" t="s">
        <v>483</v>
      </c>
      <c r="F656" s="9"/>
      <c r="G656" s="9" t="s">
        <v>426</v>
      </c>
      <c r="H656" s="9" t="s">
        <v>345</v>
      </c>
      <c r="I656" s="8">
        <v>1953.0</v>
      </c>
      <c r="J656" s="9" t="s">
        <v>346</v>
      </c>
      <c r="K656" s="9" t="s">
        <v>43</v>
      </c>
      <c r="L656" s="9" t="s">
        <v>43</v>
      </c>
      <c r="M656" s="9" t="s">
        <v>2450</v>
      </c>
      <c r="N656" s="9" t="s">
        <v>35</v>
      </c>
      <c r="O656" s="9" t="s">
        <v>2451</v>
      </c>
      <c r="P656" s="9" t="s">
        <v>1296</v>
      </c>
    </row>
    <row r="657">
      <c r="A657" s="17" t="s">
        <v>342</v>
      </c>
      <c r="B657" s="8">
        <v>3602.0</v>
      </c>
      <c r="C657" s="8">
        <v>6059647.0</v>
      </c>
      <c r="D657" s="8">
        <v>6065351.0</v>
      </c>
      <c r="E657" s="9" t="s">
        <v>483</v>
      </c>
      <c r="F657" s="9"/>
      <c r="G657" s="9" t="s">
        <v>426</v>
      </c>
      <c r="H657" s="9" t="s">
        <v>345</v>
      </c>
      <c r="I657" s="8">
        <v>1953.0</v>
      </c>
      <c r="J657" s="9" t="s">
        <v>346</v>
      </c>
      <c r="K657" s="9" t="s">
        <v>43</v>
      </c>
      <c r="L657" s="9" t="s">
        <v>43</v>
      </c>
      <c r="M657" s="9" t="s">
        <v>2452</v>
      </c>
      <c r="N657" s="9" t="s">
        <v>35</v>
      </c>
      <c r="O657" s="9" t="s">
        <v>2453</v>
      </c>
      <c r="P657" s="9" t="s">
        <v>1296</v>
      </c>
    </row>
    <row r="658">
      <c r="A658" s="17" t="s">
        <v>342</v>
      </c>
      <c r="B658" s="8">
        <v>3603.0</v>
      </c>
      <c r="C658" s="8">
        <v>6065998.0</v>
      </c>
      <c r="D658" s="8">
        <v>6067913.0</v>
      </c>
      <c r="E658" s="9" t="s">
        <v>483</v>
      </c>
      <c r="F658" s="9"/>
      <c r="G658" s="9" t="s">
        <v>426</v>
      </c>
      <c r="H658" s="9" t="s">
        <v>345</v>
      </c>
      <c r="I658" s="8">
        <v>1953.0</v>
      </c>
      <c r="J658" s="9" t="s">
        <v>346</v>
      </c>
      <c r="K658" s="9" t="s">
        <v>43</v>
      </c>
      <c r="L658" s="9" t="s">
        <v>43</v>
      </c>
      <c r="M658" s="9" t="s">
        <v>2454</v>
      </c>
      <c r="N658" s="9" t="s">
        <v>35</v>
      </c>
      <c r="O658" s="9" t="s">
        <v>2455</v>
      </c>
      <c r="P658" s="9" t="s">
        <v>1296</v>
      </c>
    </row>
    <row r="659">
      <c r="A659" s="17" t="s">
        <v>342</v>
      </c>
      <c r="B659" s="8">
        <v>3603.0</v>
      </c>
      <c r="C659" s="8">
        <v>6065998.0</v>
      </c>
      <c r="D659" s="8">
        <v>6067913.0</v>
      </c>
      <c r="E659" s="9" t="s">
        <v>483</v>
      </c>
      <c r="F659" s="9"/>
      <c r="G659" s="9" t="s">
        <v>426</v>
      </c>
      <c r="H659" s="9" t="s">
        <v>345</v>
      </c>
      <c r="I659" s="8">
        <v>1953.0</v>
      </c>
      <c r="J659" s="9" t="s">
        <v>346</v>
      </c>
      <c r="K659" s="9" t="s">
        <v>43</v>
      </c>
      <c r="L659" s="9" t="s">
        <v>43</v>
      </c>
      <c r="M659" s="9" t="s">
        <v>2456</v>
      </c>
      <c r="N659" s="9" t="s">
        <v>35</v>
      </c>
      <c r="O659" s="9" t="s">
        <v>2457</v>
      </c>
      <c r="P659" s="9" t="s">
        <v>1296</v>
      </c>
    </row>
    <row r="660">
      <c r="A660" s="17" t="s">
        <v>342</v>
      </c>
      <c r="B660" s="8">
        <v>3627.0</v>
      </c>
      <c r="C660" s="8">
        <v>6200772.0</v>
      </c>
      <c r="D660" s="8">
        <v>6232692.0</v>
      </c>
      <c r="E660" s="9" t="s">
        <v>483</v>
      </c>
      <c r="F660" s="9"/>
      <c r="G660" s="9" t="s">
        <v>426</v>
      </c>
      <c r="H660" s="9" t="s">
        <v>345</v>
      </c>
      <c r="I660" s="8">
        <v>1953.0</v>
      </c>
      <c r="J660" s="9" t="s">
        <v>346</v>
      </c>
      <c r="K660" s="9" t="s">
        <v>43</v>
      </c>
      <c r="L660" s="9" t="s">
        <v>43</v>
      </c>
      <c r="M660" s="9" t="s">
        <v>2458</v>
      </c>
      <c r="N660" s="9" t="s">
        <v>35</v>
      </c>
      <c r="O660" s="9" t="s">
        <v>2459</v>
      </c>
      <c r="P660" s="9" t="s">
        <v>1296</v>
      </c>
    </row>
    <row r="661">
      <c r="A661" s="17" t="s">
        <v>342</v>
      </c>
      <c r="B661" s="8">
        <v>3646.0</v>
      </c>
      <c r="C661" s="8">
        <v>6330254.0</v>
      </c>
      <c r="D661" s="8">
        <v>6333023.0</v>
      </c>
      <c r="E661" s="9" t="s">
        <v>483</v>
      </c>
      <c r="F661" s="9"/>
      <c r="G661" s="9" t="s">
        <v>426</v>
      </c>
      <c r="H661" s="9" t="s">
        <v>345</v>
      </c>
      <c r="I661" s="8">
        <v>1953.0</v>
      </c>
      <c r="J661" s="9" t="s">
        <v>346</v>
      </c>
      <c r="K661" s="9" t="s">
        <v>43</v>
      </c>
      <c r="L661" s="9" t="s">
        <v>43</v>
      </c>
      <c r="M661" s="9" t="s">
        <v>88</v>
      </c>
      <c r="N661" s="9" t="s">
        <v>35</v>
      </c>
      <c r="O661" s="9" t="s">
        <v>2460</v>
      </c>
      <c r="P661" s="9" t="s">
        <v>1388</v>
      </c>
    </row>
    <row r="662">
      <c r="A662" s="17" t="s">
        <v>342</v>
      </c>
      <c r="B662" s="8">
        <v>3668.0</v>
      </c>
      <c r="C662" s="8">
        <v>6409626.0</v>
      </c>
      <c r="D662" s="8">
        <v>6420055.0</v>
      </c>
      <c r="E662" s="9" t="s">
        <v>483</v>
      </c>
      <c r="F662" s="9"/>
      <c r="G662" s="9" t="s">
        <v>426</v>
      </c>
      <c r="H662" s="9" t="s">
        <v>345</v>
      </c>
      <c r="I662" s="8">
        <v>1953.0</v>
      </c>
      <c r="J662" s="9" t="s">
        <v>346</v>
      </c>
      <c r="K662" s="9" t="s">
        <v>43</v>
      </c>
      <c r="L662" s="9" t="s">
        <v>43</v>
      </c>
      <c r="M662" s="9" t="s">
        <v>2461</v>
      </c>
      <c r="N662" s="9" t="s">
        <v>35</v>
      </c>
      <c r="O662" s="9" t="s">
        <v>2462</v>
      </c>
      <c r="P662" s="9" t="s">
        <v>1316</v>
      </c>
    </row>
    <row r="663">
      <c r="A663" s="17" t="s">
        <v>342</v>
      </c>
      <c r="B663" s="8">
        <v>3682.0</v>
      </c>
      <c r="C663" s="8">
        <v>6497634.0</v>
      </c>
      <c r="D663" s="8">
        <v>6501274.0</v>
      </c>
      <c r="E663" s="9" t="s">
        <v>483</v>
      </c>
      <c r="F663" s="9"/>
      <c r="G663" s="9" t="s">
        <v>426</v>
      </c>
      <c r="H663" s="9" t="s">
        <v>345</v>
      </c>
      <c r="I663" s="8">
        <v>1953.0</v>
      </c>
      <c r="J663" s="9" t="s">
        <v>346</v>
      </c>
      <c r="K663" s="9" t="s">
        <v>43</v>
      </c>
      <c r="L663" s="9" t="s">
        <v>43</v>
      </c>
      <c r="M663" s="9" t="s">
        <v>2463</v>
      </c>
      <c r="N663" s="9" t="s">
        <v>35</v>
      </c>
      <c r="O663" s="9" t="s">
        <v>2464</v>
      </c>
      <c r="P663" s="9" t="s">
        <v>1388</v>
      </c>
    </row>
    <row r="664">
      <c r="A664" s="17" t="s">
        <v>342</v>
      </c>
      <c r="B664" s="8">
        <v>3683.0</v>
      </c>
      <c r="C664" s="8">
        <v>6501766.0</v>
      </c>
      <c r="D664" s="8">
        <v>6506422.0</v>
      </c>
      <c r="E664" s="9" t="s">
        <v>483</v>
      </c>
      <c r="F664" s="9"/>
      <c r="G664" s="9" t="s">
        <v>426</v>
      </c>
      <c r="H664" s="9" t="s">
        <v>345</v>
      </c>
      <c r="I664" s="8">
        <v>1953.0</v>
      </c>
      <c r="J664" s="9" t="s">
        <v>346</v>
      </c>
      <c r="K664" s="9" t="s">
        <v>43</v>
      </c>
      <c r="L664" s="9" t="s">
        <v>43</v>
      </c>
      <c r="M664" s="9" t="s">
        <v>2465</v>
      </c>
      <c r="N664" s="9" t="s">
        <v>45</v>
      </c>
      <c r="O664" s="9" t="s">
        <v>2466</v>
      </c>
      <c r="P664" s="9" t="s">
        <v>1296</v>
      </c>
    </row>
    <row r="665">
      <c r="A665" s="17" t="s">
        <v>342</v>
      </c>
      <c r="B665" s="8">
        <v>3684.0</v>
      </c>
      <c r="C665" s="8">
        <v>6507758.0</v>
      </c>
      <c r="D665" s="8">
        <v>6512315.0</v>
      </c>
      <c r="E665" s="9" t="s">
        <v>483</v>
      </c>
      <c r="F665" s="9"/>
      <c r="G665" s="9" t="s">
        <v>426</v>
      </c>
      <c r="H665" s="9" t="s">
        <v>345</v>
      </c>
      <c r="I665" s="8">
        <v>1953.0</v>
      </c>
      <c r="J665" s="9" t="s">
        <v>346</v>
      </c>
      <c r="K665" s="9" t="s">
        <v>43</v>
      </c>
      <c r="L665" s="9" t="s">
        <v>43</v>
      </c>
      <c r="M665" s="9" t="s">
        <v>2467</v>
      </c>
      <c r="N665" s="9" t="s">
        <v>35</v>
      </c>
      <c r="O665" s="9" t="s">
        <v>2468</v>
      </c>
      <c r="P665" s="9" t="s">
        <v>1296</v>
      </c>
    </row>
    <row r="666">
      <c r="A666" s="17" t="s">
        <v>342</v>
      </c>
      <c r="B666" s="8">
        <v>3685.0</v>
      </c>
      <c r="C666" s="8">
        <v>6513131.0</v>
      </c>
      <c r="D666" s="8">
        <v>6523262.0</v>
      </c>
      <c r="E666" s="9" t="s">
        <v>483</v>
      </c>
      <c r="F666" s="9"/>
      <c r="G666" s="9" t="s">
        <v>426</v>
      </c>
      <c r="H666" s="9" t="s">
        <v>345</v>
      </c>
      <c r="I666" s="8">
        <v>1953.0</v>
      </c>
      <c r="J666" s="9" t="s">
        <v>346</v>
      </c>
      <c r="K666" s="9" t="s">
        <v>43</v>
      </c>
      <c r="L666" s="9" t="s">
        <v>43</v>
      </c>
      <c r="M666" s="9" t="s">
        <v>2469</v>
      </c>
      <c r="N666" s="9" t="s">
        <v>35</v>
      </c>
      <c r="O666" s="9" t="s">
        <v>2470</v>
      </c>
      <c r="P666" s="9" t="s">
        <v>1300</v>
      </c>
    </row>
    <row r="667">
      <c r="A667" s="17" t="s">
        <v>342</v>
      </c>
      <c r="B667" s="8">
        <v>3686.0</v>
      </c>
      <c r="C667" s="8">
        <v>6527782.0</v>
      </c>
      <c r="D667" s="8">
        <v>6537230.0</v>
      </c>
      <c r="E667" s="9" t="s">
        <v>483</v>
      </c>
      <c r="F667" s="9"/>
      <c r="G667" s="9" t="s">
        <v>426</v>
      </c>
      <c r="H667" s="9" t="s">
        <v>345</v>
      </c>
      <c r="I667" s="8">
        <v>1953.0</v>
      </c>
      <c r="J667" s="9" t="s">
        <v>346</v>
      </c>
      <c r="K667" s="9" t="s">
        <v>43</v>
      </c>
      <c r="L667" s="9" t="s">
        <v>43</v>
      </c>
      <c r="M667" s="9" t="s">
        <v>2471</v>
      </c>
      <c r="N667" s="9" t="s">
        <v>35</v>
      </c>
      <c r="O667" s="9" t="s">
        <v>2472</v>
      </c>
      <c r="P667" s="9" t="s">
        <v>1296</v>
      </c>
    </row>
    <row r="668">
      <c r="A668" s="17" t="s">
        <v>342</v>
      </c>
      <c r="B668" s="8">
        <v>3690.0</v>
      </c>
      <c r="C668" s="8">
        <v>6554245.0</v>
      </c>
      <c r="D668" s="8">
        <v>6555737.0</v>
      </c>
      <c r="E668" s="9" t="s">
        <v>483</v>
      </c>
      <c r="F668" s="9"/>
      <c r="G668" s="9" t="s">
        <v>426</v>
      </c>
      <c r="H668" s="9" t="s">
        <v>345</v>
      </c>
      <c r="I668" s="8">
        <v>1953.0</v>
      </c>
      <c r="J668" s="9" t="s">
        <v>346</v>
      </c>
      <c r="K668" s="9" t="s">
        <v>43</v>
      </c>
      <c r="L668" s="9" t="s">
        <v>43</v>
      </c>
      <c r="M668" s="9"/>
      <c r="N668" s="9" t="s">
        <v>45</v>
      </c>
      <c r="O668" s="9" t="s">
        <v>2473</v>
      </c>
      <c r="P668" s="9" t="s">
        <v>1296</v>
      </c>
    </row>
    <row r="669">
      <c r="A669" s="17" t="s">
        <v>342</v>
      </c>
      <c r="B669" s="8">
        <v>3697.0</v>
      </c>
      <c r="C669" s="8">
        <v>6575641.0</v>
      </c>
      <c r="D669" s="8">
        <v>6578112.0</v>
      </c>
      <c r="E669" s="9" t="s">
        <v>483</v>
      </c>
      <c r="F669" s="9"/>
      <c r="G669" s="9" t="s">
        <v>426</v>
      </c>
      <c r="H669" s="9" t="s">
        <v>345</v>
      </c>
      <c r="I669" s="8">
        <v>1953.0</v>
      </c>
      <c r="J669" s="9" t="s">
        <v>346</v>
      </c>
      <c r="K669" s="9" t="s">
        <v>43</v>
      </c>
      <c r="L669" s="9" t="s">
        <v>43</v>
      </c>
      <c r="M669" s="9" t="s">
        <v>2474</v>
      </c>
      <c r="N669" s="9" t="s">
        <v>35</v>
      </c>
      <c r="O669" s="9" t="s">
        <v>2475</v>
      </c>
      <c r="P669" s="9" t="s">
        <v>1296</v>
      </c>
    </row>
    <row r="670">
      <c r="A670" s="17" t="s">
        <v>342</v>
      </c>
      <c r="B670" s="8">
        <v>3697.0</v>
      </c>
      <c r="C670" s="8">
        <v>6575641.0</v>
      </c>
      <c r="D670" s="8">
        <v>6578112.0</v>
      </c>
      <c r="E670" s="9" t="s">
        <v>483</v>
      </c>
      <c r="F670" s="9"/>
      <c r="G670" s="9" t="s">
        <v>426</v>
      </c>
      <c r="H670" s="9" t="s">
        <v>345</v>
      </c>
      <c r="I670" s="8">
        <v>1953.0</v>
      </c>
      <c r="J670" s="9" t="s">
        <v>346</v>
      </c>
      <c r="K670" s="9" t="s">
        <v>43</v>
      </c>
      <c r="L670" s="9" t="s">
        <v>43</v>
      </c>
      <c r="M670" s="9" t="s">
        <v>2476</v>
      </c>
      <c r="N670" s="9" t="s">
        <v>35</v>
      </c>
      <c r="O670" s="9" t="s">
        <v>2477</v>
      </c>
      <c r="P670" s="9" t="s">
        <v>1296</v>
      </c>
    </row>
    <row r="671">
      <c r="A671" s="17" t="s">
        <v>342</v>
      </c>
      <c r="B671" s="8">
        <v>3701.0</v>
      </c>
      <c r="C671" s="8">
        <v>6592797.0</v>
      </c>
      <c r="D671" s="8">
        <v>6593797.0</v>
      </c>
      <c r="E671" s="9" t="s">
        <v>483</v>
      </c>
      <c r="F671" s="9"/>
      <c r="G671" s="9" t="s">
        <v>426</v>
      </c>
      <c r="H671" s="9" t="s">
        <v>345</v>
      </c>
      <c r="I671" s="8">
        <v>1953.0</v>
      </c>
      <c r="J671" s="9" t="s">
        <v>346</v>
      </c>
      <c r="K671" s="9" t="s">
        <v>43</v>
      </c>
      <c r="L671" s="9" t="s">
        <v>43</v>
      </c>
      <c r="M671" s="9"/>
      <c r="N671" s="9" t="s">
        <v>45</v>
      </c>
      <c r="O671" s="9" t="s">
        <v>2478</v>
      </c>
      <c r="P671" s="9" t="s">
        <v>1296</v>
      </c>
    </row>
    <row r="672">
      <c r="A672" s="17" t="s">
        <v>342</v>
      </c>
      <c r="B672" s="8">
        <v>3702.0</v>
      </c>
      <c r="C672" s="8">
        <v>6596887.0</v>
      </c>
      <c r="D672" s="8">
        <v>6597887.0</v>
      </c>
      <c r="E672" s="9" t="s">
        <v>483</v>
      </c>
      <c r="F672" s="9"/>
      <c r="G672" s="9" t="s">
        <v>426</v>
      </c>
      <c r="H672" s="9" t="s">
        <v>345</v>
      </c>
      <c r="I672" s="8">
        <v>1953.0</v>
      </c>
      <c r="J672" s="9" t="s">
        <v>346</v>
      </c>
      <c r="K672" s="9" t="s">
        <v>43</v>
      </c>
      <c r="L672" s="9" t="s">
        <v>43</v>
      </c>
      <c r="M672" s="9" t="s">
        <v>410</v>
      </c>
      <c r="N672" s="9" t="s">
        <v>35</v>
      </c>
      <c r="O672" s="9" t="s">
        <v>2479</v>
      </c>
      <c r="P672" s="9" t="s">
        <v>1296</v>
      </c>
    </row>
    <row r="673">
      <c r="A673" s="17" t="s">
        <v>342</v>
      </c>
      <c r="B673" s="8">
        <v>3712.0</v>
      </c>
      <c r="C673" s="8">
        <v>6676023.0</v>
      </c>
      <c r="D673" s="8">
        <v>6712861.0</v>
      </c>
      <c r="E673" s="9" t="s">
        <v>483</v>
      </c>
      <c r="F673" s="9"/>
      <c r="G673" s="9" t="s">
        <v>426</v>
      </c>
      <c r="H673" s="9" t="s">
        <v>345</v>
      </c>
      <c r="I673" s="8">
        <v>1953.0</v>
      </c>
      <c r="J673" s="9" t="s">
        <v>346</v>
      </c>
      <c r="K673" s="9" t="s">
        <v>43</v>
      </c>
      <c r="L673" s="9" t="s">
        <v>43</v>
      </c>
      <c r="M673" s="9" t="s">
        <v>2480</v>
      </c>
      <c r="N673" s="9" t="s">
        <v>35</v>
      </c>
      <c r="O673" s="9" t="s">
        <v>1259</v>
      </c>
      <c r="P673" s="9" t="s">
        <v>1300</v>
      </c>
    </row>
    <row r="674">
      <c r="A674" s="17" t="s">
        <v>342</v>
      </c>
      <c r="B674" s="8">
        <v>3718.0</v>
      </c>
      <c r="C674" s="8">
        <v>6739880.0</v>
      </c>
      <c r="D674" s="8">
        <v>6749276.0</v>
      </c>
      <c r="E674" s="9" t="s">
        <v>483</v>
      </c>
      <c r="F674" s="9"/>
      <c r="G674" s="9" t="s">
        <v>426</v>
      </c>
      <c r="H674" s="9" t="s">
        <v>345</v>
      </c>
      <c r="I674" s="8">
        <v>1953.0</v>
      </c>
      <c r="J674" s="9" t="s">
        <v>346</v>
      </c>
      <c r="K674" s="9" t="s">
        <v>43</v>
      </c>
      <c r="L674" s="9" t="s">
        <v>43</v>
      </c>
      <c r="M674" s="9" t="s">
        <v>2481</v>
      </c>
      <c r="N674" s="9" t="s">
        <v>35</v>
      </c>
      <c r="O674" s="9" t="s">
        <v>2482</v>
      </c>
      <c r="P674" s="9" t="s">
        <v>1300</v>
      </c>
    </row>
    <row r="675">
      <c r="A675" s="17" t="s">
        <v>342</v>
      </c>
      <c r="B675" s="8">
        <v>3724.0</v>
      </c>
      <c r="C675" s="8">
        <v>6768789.0</v>
      </c>
      <c r="D675" s="8">
        <v>6788014.0</v>
      </c>
      <c r="E675" s="9" t="s">
        <v>483</v>
      </c>
      <c r="F675" s="9"/>
      <c r="G675" s="9" t="s">
        <v>426</v>
      </c>
      <c r="H675" s="9" t="s">
        <v>345</v>
      </c>
      <c r="I675" s="8">
        <v>1953.0</v>
      </c>
      <c r="J675" s="9" t="s">
        <v>346</v>
      </c>
      <c r="K675" s="9" t="s">
        <v>43</v>
      </c>
      <c r="L675" s="9" t="s">
        <v>43</v>
      </c>
      <c r="M675" s="9" t="s">
        <v>2483</v>
      </c>
      <c r="N675" s="9" t="s">
        <v>35</v>
      </c>
      <c r="O675" s="9" t="s">
        <v>2484</v>
      </c>
      <c r="P675" s="9" t="s">
        <v>1296</v>
      </c>
    </row>
    <row r="676">
      <c r="A676" s="17" t="s">
        <v>342</v>
      </c>
      <c r="B676" s="8">
        <v>3725.0</v>
      </c>
      <c r="C676" s="8">
        <v>6789253.0</v>
      </c>
      <c r="D676" s="8">
        <v>6802350.0</v>
      </c>
      <c r="E676" s="9" t="s">
        <v>483</v>
      </c>
      <c r="F676" s="9"/>
      <c r="G676" s="9" t="s">
        <v>426</v>
      </c>
      <c r="H676" s="9" t="s">
        <v>345</v>
      </c>
      <c r="I676" s="8">
        <v>1953.0</v>
      </c>
      <c r="J676" s="9" t="s">
        <v>346</v>
      </c>
      <c r="K676" s="9" t="s">
        <v>43</v>
      </c>
      <c r="L676" s="9" t="s">
        <v>43</v>
      </c>
      <c r="M676" s="9" t="s">
        <v>2485</v>
      </c>
      <c r="N676" s="9" t="s">
        <v>35</v>
      </c>
      <c r="O676" s="9" t="s">
        <v>2486</v>
      </c>
      <c r="P676" s="9" t="s">
        <v>1296</v>
      </c>
    </row>
    <row r="677">
      <c r="A677" s="17" t="s">
        <v>342</v>
      </c>
      <c r="B677" s="8">
        <v>3725.0</v>
      </c>
      <c r="C677" s="8">
        <v>6789253.0</v>
      </c>
      <c r="D677" s="8">
        <v>6802350.0</v>
      </c>
      <c r="E677" s="9" t="s">
        <v>483</v>
      </c>
      <c r="F677" s="9"/>
      <c r="G677" s="9" t="s">
        <v>426</v>
      </c>
      <c r="H677" s="9" t="s">
        <v>345</v>
      </c>
      <c r="I677" s="8">
        <v>1953.0</v>
      </c>
      <c r="J677" s="9" t="s">
        <v>346</v>
      </c>
      <c r="K677" s="9" t="s">
        <v>43</v>
      </c>
      <c r="L677" s="9" t="s">
        <v>43</v>
      </c>
      <c r="M677" s="9" t="s">
        <v>2487</v>
      </c>
      <c r="N677" s="9" t="s">
        <v>35</v>
      </c>
      <c r="O677" s="9" t="s">
        <v>2488</v>
      </c>
      <c r="P677" s="9" t="s">
        <v>1296</v>
      </c>
    </row>
    <row r="678">
      <c r="A678" s="17" t="s">
        <v>342</v>
      </c>
      <c r="B678" s="8">
        <v>3727.0</v>
      </c>
      <c r="C678" s="8">
        <v>6806937.0</v>
      </c>
      <c r="D678" s="8">
        <v>6815593.0</v>
      </c>
      <c r="E678" s="9" t="s">
        <v>483</v>
      </c>
      <c r="F678" s="9"/>
      <c r="G678" s="9" t="s">
        <v>426</v>
      </c>
      <c r="H678" s="9" t="s">
        <v>345</v>
      </c>
      <c r="I678" s="8">
        <v>1953.0</v>
      </c>
      <c r="J678" s="9" t="s">
        <v>346</v>
      </c>
      <c r="K678" s="9" t="s">
        <v>43</v>
      </c>
      <c r="L678" s="9" t="s">
        <v>43</v>
      </c>
      <c r="M678" s="9" t="s">
        <v>2489</v>
      </c>
      <c r="N678" s="9" t="s">
        <v>35</v>
      </c>
      <c r="O678" s="9" t="s">
        <v>2490</v>
      </c>
      <c r="P678" s="9" t="s">
        <v>1296</v>
      </c>
    </row>
    <row r="679">
      <c r="A679" s="17" t="s">
        <v>342</v>
      </c>
      <c r="B679" s="8">
        <v>3731.0</v>
      </c>
      <c r="C679" s="8">
        <v>6829545.0</v>
      </c>
      <c r="D679" s="8">
        <v>6835207.0</v>
      </c>
      <c r="E679" s="9" t="s">
        <v>483</v>
      </c>
      <c r="F679" s="9"/>
      <c r="G679" s="9" t="s">
        <v>426</v>
      </c>
      <c r="H679" s="9" t="s">
        <v>345</v>
      </c>
      <c r="I679" s="8">
        <v>1953.0</v>
      </c>
      <c r="J679" s="9" t="s">
        <v>346</v>
      </c>
      <c r="K679" s="9" t="s">
        <v>43</v>
      </c>
      <c r="L679" s="9" t="s">
        <v>43</v>
      </c>
      <c r="M679" s="9" t="s">
        <v>2491</v>
      </c>
      <c r="N679" s="9" t="s">
        <v>35</v>
      </c>
      <c r="O679" s="9" t="s">
        <v>2492</v>
      </c>
      <c r="P679" s="9" t="s">
        <v>1296</v>
      </c>
    </row>
    <row r="680">
      <c r="A680" s="17" t="s">
        <v>342</v>
      </c>
      <c r="B680" s="8">
        <v>3732.0</v>
      </c>
      <c r="C680" s="8">
        <v>6836197.0</v>
      </c>
      <c r="D680" s="8">
        <v>6844685.0</v>
      </c>
      <c r="E680" s="9" t="s">
        <v>483</v>
      </c>
      <c r="F680" s="9"/>
      <c r="G680" s="9" t="s">
        <v>426</v>
      </c>
      <c r="H680" s="9" t="s">
        <v>345</v>
      </c>
      <c r="I680" s="8">
        <v>1953.0</v>
      </c>
      <c r="J680" s="9" t="s">
        <v>346</v>
      </c>
      <c r="K680" s="9" t="s">
        <v>43</v>
      </c>
      <c r="L680" s="9" t="s">
        <v>43</v>
      </c>
      <c r="M680" s="9" t="s">
        <v>2493</v>
      </c>
      <c r="N680" s="9" t="s">
        <v>35</v>
      </c>
      <c r="O680" s="9" t="s">
        <v>2494</v>
      </c>
      <c r="P680" s="9" t="s">
        <v>1296</v>
      </c>
    </row>
    <row r="681">
      <c r="A681" s="17" t="s">
        <v>342</v>
      </c>
      <c r="B681" s="8">
        <v>3732.0</v>
      </c>
      <c r="C681" s="8">
        <v>6836197.0</v>
      </c>
      <c r="D681" s="8">
        <v>6844685.0</v>
      </c>
      <c r="E681" s="9" t="s">
        <v>483</v>
      </c>
      <c r="F681" s="9"/>
      <c r="G681" s="9" t="s">
        <v>426</v>
      </c>
      <c r="H681" s="9" t="s">
        <v>345</v>
      </c>
      <c r="I681" s="8">
        <v>1953.0</v>
      </c>
      <c r="J681" s="9" t="s">
        <v>346</v>
      </c>
      <c r="K681" s="9" t="s">
        <v>43</v>
      </c>
      <c r="L681" s="9" t="s">
        <v>43</v>
      </c>
      <c r="M681" s="9" t="s">
        <v>2495</v>
      </c>
      <c r="N681" s="9" t="s">
        <v>35</v>
      </c>
      <c r="O681" s="9" t="s">
        <v>2496</v>
      </c>
      <c r="P681" s="9" t="s">
        <v>1296</v>
      </c>
    </row>
    <row r="682">
      <c r="A682" s="17" t="s">
        <v>342</v>
      </c>
      <c r="B682" s="8">
        <v>3732.0</v>
      </c>
      <c r="C682" s="8">
        <v>6836197.0</v>
      </c>
      <c r="D682" s="8">
        <v>6844685.0</v>
      </c>
      <c r="E682" s="9" t="s">
        <v>483</v>
      </c>
      <c r="F682" s="9"/>
      <c r="G682" s="9" t="s">
        <v>426</v>
      </c>
      <c r="H682" s="9" t="s">
        <v>345</v>
      </c>
      <c r="I682" s="8">
        <v>1953.0</v>
      </c>
      <c r="J682" s="9" t="s">
        <v>346</v>
      </c>
      <c r="K682" s="9" t="s">
        <v>43</v>
      </c>
      <c r="L682" s="9" t="s">
        <v>43</v>
      </c>
      <c r="M682" s="9" t="s">
        <v>2497</v>
      </c>
      <c r="N682" s="9" t="s">
        <v>35</v>
      </c>
      <c r="O682" s="9" t="s">
        <v>2498</v>
      </c>
      <c r="P682" s="9" t="s">
        <v>1296</v>
      </c>
    </row>
    <row r="683">
      <c r="A683" s="17" t="s">
        <v>342</v>
      </c>
      <c r="B683" s="8">
        <v>3732.0</v>
      </c>
      <c r="C683" s="8">
        <v>6836197.0</v>
      </c>
      <c r="D683" s="8">
        <v>6844685.0</v>
      </c>
      <c r="E683" s="9" t="s">
        <v>483</v>
      </c>
      <c r="F683" s="9"/>
      <c r="G683" s="9" t="s">
        <v>426</v>
      </c>
      <c r="H683" s="9" t="s">
        <v>345</v>
      </c>
      <c r="I683" s="8">
        <v>1953.0</v>
      </c>
      <c r="J683" s="9" t="s">
        <v>346</v>
      </c>
      <c r="K683" s="9" t="s">
        <v>43</v>
      </c>
      <c r="L683" s="9" t="s">
        <v>43</v>
      </c>
      <c r="M683" s="9" t="s">
        <v>2499</v>
      </c>
      <c r="N683" s="9" t="s">
        <v>35</v>
      </c>
      <c r="O683" s="9" t="s">
        <v>2500</v>
      </c>
      <c r="P683" s="9" t="s">
        <v>1296</v>
      </c>
    </row>
    <row r="684">
      <c r="A684" s="17" t="s">
        <v>342</v>
      </c>
      <c r="B684" s="8">
        <v>3737.0</v>
      </c>
      <c r="C684" s="8">
        <v>6872817.0</v>
      </c>
      <c r="D684" s="8">
        <v>6908454.0</v>
      </c>
      <c r="E684" s="9" t="s">
        <v>483</v>
      </c>
      <c r="F684" s="9"/>
      <c r="G684" s="9" t="s">
        <v>426</v>
      </c>
      <c r="H684" s="9" t="s">
        <v>345</v>
      </c>
      <c r="I684" s="8">
        <v>1953.0</v>
      </c>
      <c r="J684" s="9" t="s">
        <v>346</v>
      </c>
      <c r="K684" s="9" t="s">
        <v>43</v>
      </c>
      <c r="L684" s="9" t="s">
        <v>43</v>
      </c>
      <c r="M684" s="9" t="s">
        <v>2501</v>
      </c>
      <c r="N684" s="9" t="s">
        <v>35</v>
      </c>
      <c r="O684" s="9" t="s">
        <v>2502</v>
      </c>
      <c r="P684" s="9" t="s">
        <v>1296</v>
      </c>
    </row>
    <row r="685">
      <c r="A685" s="17" t="s">
        <v>342</v>
      </c>
      <c r="B685" s="8">
        <v>3739.0</v>
      </c>
      <c r="C685" s="8">
        <v>6924313.0</v>
      </c>
      <c r="D685" s="8">
        <v>6936062.0</v>
      </c>
      <c r="E685" s="9" t="s">
        <v>483</v>
      </c>
      <c r="F685" s="9"/>
      <c r="G685" s="9" t="s">
        <v>426</v>
      </c>
      <c r="H685" s="9" t="s">
        <v>345</v>
      </c>
      <c r="I685" s="8">
        <v>1953.0</v>
      </c>
      <c r="J685" s="9" t="s">
        <v>346</v>
      </c>
      <c r="K685" s="9" t="s">
        <v>43</v>
      </c>
      <c r="L685" s="9" t="s">
        <v>43</v>
      </c>
      <c r="M685" s="9" t="s">
        <v>2503</v>
      </c>
      <c r="N685" s="9" t="s">
        <v>35</v>
      </c>
      <c r="O685" s="9" t="s">
        <v>2504</v>
      </c>
      <c r="P685" s="9" t="s">
        <v>1300</v>
      </c>
    </row>
    <row r="686">
      <c r="A686" s="17" t="s">
        <v>342</v>
      </c>
      <c r="B686" s="8">
        <v>3739.0</v>
      </c>
      <c r="C686" s="8">
        <v>6924313.0</v>
      </c>
      <c r="D686" s="8">
        <v>6936062.0</v>
      </c>
      <c r="E686" s="9" t="s">
        <v>483</v>
      </c>
      <c r="F686" s="9"/>
      <c r="G686" s="9" t="s">
        <v>426</v>
      </c>
      <c r="H686" s="9" t="s">
        <v>345</v>
      </c>
      <c r="I686" s="8">
        <v>1953.0</v>
      </c>
      <c r="J686" s="9" t="s">
        <v>346</v>
      </c>
      <c r="K686" s="9" t="s">
        <v>43</v>
      </c>
      <c r="L686" s="9" t="s">
        <v>43</v>
      </c>
      <c r="M686" s="9" t="s">
        <v>2505</v>
      </c>
      <c r="N686" s="9" t="s">
        <v>35</v>
      </c>
      <c r="O686" s="9" t="s">
        <v>2506</v>
      </c>
      <c r="P686" s="9" t="s">
        <v>1300</v>
      </c>
    </row>
    <row r="687">
      <c r="A687" s="17" t="s">
        <v>342</v>
      </c>
      <c r="B687" s="8">
        <v>3739.0</v>
      </c>
      <c r="C687" s="8">
        <v>6924313.0</v>
      </c>
      <c r="D687" s="8">
        <v>6936062.0</v>
      </c>
      <c r="E687" s="9" t="s">
        <v>483</v>
      </c>
      <c r="F687" s="9"/>
      <c r="G687" s="9" t="s">
        <v>426</v>
      </c>
      <c r="H687" s="9" t="s">
        <v>345</v>
      </c>
      <c r="I687" s="8">
        <v>1953.0</v>
      </c>
      <c r="J687" s="9" t="s">
        <v>346</v>
      </c>
      <c r="K687" s="9" t="s">
        <v>43</v>
      </c>
      <c r="L687" s="9" t="s">
        <v>43</v>
      </c>
      <c r="M687" s="9" t="s">
        <v>2507</v>
      </c>
      <c r="N687" s="9" t="s">
        <v>35</v>
      </c>
      <c r="O687" s="9" t="s">
        <v>2508</v>
      </c>
      <c r="P687" s="9" t="s">
        <v>1300</v>
      </c>
    </row>
    <row r="688">
      <c r="A688" s="17" t="s">
        <v>342</v>
      </c>
      <c r="B688" s="8">
        <v>3754.0</v>
      </c>
      <c r="C688" s="8">
        <v>27395.0</v>
      </c>
      <c r="D688" s="8">
        <v>28245.0</v>
      </c>
      <c r="E688" s="9" t="s">
        <v>508</v>
      </c>
      <c r="F688" s="9"/>
      <c r="G688" s="9" t="s">
        <v>509</v>
      </c>
      <c r="H688" s="9" t="s">
        <v>345</v>
      </c>
      <c r="I688" s="8">
        <v>1939.0</v>
      </c>
      <c r="J688" s="9" t="s">
        <v>346</v>
      </c>
      <c r="K688" s="9" t="s">
        <v>43</v>
      </c>
      <c r="L688" s="9" t="s">
        <v>43</v>
      </c>
      <c r="M688" s="9"/>
      <c r="N688" s="9" t="s">
        <v>45</v>
      </c>
      <c r="O688" s="9" t="s">
        <v>2212</v>
      </c>
      <c r="P688" s="9" t="s">
        <v>1298</v>
      </c>
    </row>
    <row r="689">
      <c r="A689" s="17" t="s">
        <v>342</v>
      </c>
      <c r="B689" s="8">
        <v>3766.0</v>
      </c>
      <c r="C689" s="8">
        <v>84645.0</v>
      </c>
      <c r="D689" s="8">
        <v>86685.0</v>
      </c>
      <c r="E689" s="9" t="s">
        <v>508</v>
      </c>
      <c r="F689" s="9"/>
      <c r="G689" s="9" t="s">
        <v>509</v>
      </c>
      <c r="H689" s="9" t="s">
        <v>345</v>
      </c>
      <c r="I689" s="8">
        <v>1939.0</v>
      </c>
      <c r="J689" s="9" t="s">
        <v>346</v>
      </c>
      <c r="K689" s="9" t="s">
        <v>43</v>
      </c>
      <c r="L689" s="9" t="s">
        <v>43</v>
      </c>
      <c r="M689" s="9" t="s">
        <v>285</v>
      </c>
      <c r="N689" s="9" t="s">
        <v>35</v>
      </c>
      <c r="O689" s="9" t="s">
        <v>2509</v>
      </c>
      <c r="P689" s="9" t="s">
        <v>1316</v>
      </c>
    </row>
    <row r="690">
      <c r="A690" s="17" t="s">
        <v>342</v>
      </c>
      <c r="B690" s="8">
        <v>3815.0</v>
      </c>
      <c r="C690" s="8">
        <v>256055.0</v>
      </c>
      <c r="D690" s="8">
        <v>259780.0</v>
      </c>
      <c r="E690" s="9" t="s">
        <v>508</v>
      </c>
      <c r="F690" s="9"/>
      <c r="G690" s="9" t="s">
        <v>509</v>
      </c>
      <c r="H690" s="9" t="s">
        <v>345</v>
      </c>
      <c r="I690" s="8">
        <v>1939.0</v>
      </c>
      <c r="J690" s="9" t="s">
        <v>346</v>
      </c>
      <c r="K690" s="9" t="s">
        <v>43</v>
      </c>
      <c r="L690" s="9" t="s">
        <v>43</v>
      </c>
      <c r="M690" s="9" t="s">
        <v>2510</v>
      </c>
      <c r="N690" s="9" t="s">
        <v>35</v>
      </c>
      <c r="O690" s="9" t="s">
        <v>2511</v>
      </c>
      <c r="P690" s="9" t="s">
        <v>1300</v>
      </c>
    </row>
    <row r="691">
      <c r="A691" s="17" t="s">
        <v>342</v>
      </c>
      <c r="B691" s="8">
        <v>3858.0</v>
      </c>
      <c r="C691" s="8">
        <v>420555.0</v>
      </c>
      <c r="D691" s="8">
        <v>423385.0</v>
      </c>
      <c r="E691" s="9" t="s">
        <v>508</v>
      </c>
      <c r="F691" s="9"/>
      <c r="G691" s="9" t="s">
        <v>509</v>
      </c>
      <c r="H691" s="9" t="s">
        <v>345</v>
      </c>
      <c r="I691" s="8">
        <v>1939.0</v>
      </c>
      <c r="J691" s="9" t="s">
        <v>346</v>
      </c>
      <c r="K691" s="9" t="s">
        <v>43</v>
      </c>
      <c r="L691" s="9" t="s">
        <v>43</v>
      </c>
      <c r="M691" s="9" t="s">
        <v>2512</v>
      </c>
      <c r="N691" s="9" t="s">
        <v>35</v>
      </c>
      <c r="O691" s="9" t="s">
        <v>2513</v>
      </c>
      <c r="P691" s="9" t="s">
        <v>1388</v>
      </c>
    </row>
    <row r="692">
      <c r="A692" s="17" t="s">
        <v>342</v>
      </c>
      <c r="B692" s="8">
        <v>3884.0</v>
      </c>
      <c r="C692" s="8">
        <v>522450.0</v>
      </c>
      <c r="D692" s="8">
        <v>525230.0</v>
      </c>
      <c r="E692" s="9" t="s">
        <v>508</v>
      </c>
      <c r="F692" s="9"/>
      <c r="G692" s="9" t="s">
        <v>509</v>
      </c>
      <c r="H692" s="9" t="s">
        <v>345</v>
      </c>
      <c r="I692" s="8">
        <v>1939.0</v>
      </c>
      <c r="J692" s="9" t="s">
        <v>346</v>
      </c>
      <c r="K692" s="9" t="s">
        <v>43</v>
      </c>
      <c r="L692" s="9" t="s">
        <v>43</v>
      </c>
      <c r="M692" s="9" t="s">
        <v>2514</v>
      </c>
      <c r="N692" s="9" t="s">
        <v>35</v>
      </c>
      <c r="O692" s="9" t="s">
        <v>2515</v>
      </c>
      <c r="P692" s="9" t="s">
        <v>1296</v>
      </c>
    </row>
    <row r="693">
      <c r="A693" s="17" t="s">
        <v>342</v>
      </c>
      <c r="B693" s="8">
        <v>3887.0</v>
      </c>
      <c r="C693" s="8">
        <v>536673.0</v>
      </c>
      <c r="D693" s="8">
        <v>540640.0</v>
      </c>
      <c r="E693" s="9" t="s">
        <v>508</v>
      </c>
      <c r="F693" s="9"/>
      <c r="G693" s="9" t="s">
        <v>509</v>
      </c>
      <c r="H693" s="9" t="s">
        <v>345</v>
      </c>
      <c r="I693" s="8">
        <v>1939.0</v>
      </c>
      <c r="J693" s="9" t="s">
        <v>346</v>
      </c>
      <c r="K693" s="9" t="s">
        <v>43</v>
      </c>
      <c r="L693" s="9" t="s">
        <v>43</v>
      </c>
      <c r="M693" s="9" t="s">
        <v>2516</v>
      </c>
      <c r="N693" s="9" t="s">
        <v>35</v>
      </c>
      <c r="O693" s="9" t="s">
        <v>2517</v>
      </c>
      <c r="P693" s="9" t="s">
        <v>1296</v>
      </c>
    </row>
    <row r="694">
      <c r="A694" s="17" t="s">
        <v>342</v>
      </c>
      <c r="B694" s="8">
        <v>3887.0</v>
      </c>
      <c r="C694" s="8">
        <v>536673.0</v>
      </c>
      <c r="D694" s="8">
        <v>540640.0</v>
      </c>
      <c r="E694" s="9" t="s">
        <v>508</v>
      </c>
      <c r="F694" s="9"/>
      <c r="G694" s="9" t="s">
        <v>509</v>
      </c>
      <c r="H694" s="9" t="s">
        <v>345</v>
      </c>
      <c r="I694" s="8">
        <v>1939.0</v>
      </c>
      <c r="J694" s="9" t="s">
        <v>346</v>
      </c>
      <c r="K694" s="9" t="s">
        <v>43</v>
      </c>
      <c r="L694" s="9" t="s">
        <v>43</v>
      </c>
      <c r="M694" s="9" t="s">
        <v>2518</v>
      </c>
      <c r="N694" s="9" t="s">
        <v>35</v>
      </c>
      <c r="O694" s="9" t="s">
        <v>2519</v>
      </c>
      <c r="P694" s="9" t="s">
        <v>1296</v>
      </c>
    </row>
    <row r="695">
      <c r="A695" s="17" t="s">
        <v>342</v>
      </c>
      <c r="B695" s="8">
        <v>3973.0</v>
      </c>
      <c r="C695" s="8">
        <v>1124425.0</v>
      </c>
      <c r="D695" s="8">
        <v>1126695.0</v>
      </c>
      <c r="E695" s="9" t="s">
        <v>508</v>
      </c>
      <c r="F695" s="9"/>
      <c r="G695" s="9" t="s">
        <v>509</v>
      </c>
      <c r="H695" s="9" t="s">
        <v>345</v>
      </c>
      <c r="I695" s="8">
        <v>1939.0</v>
      </c>
      <c r="J695" s="9" t="s">
        <v>346</v>
      </c>
      <c r="K695" s="9" t="s">
        <v>43</v>
      </c>
      <c r="L695" s="9" t="s">
        <v>43</v>
      </c>
      <c r="M695" s="9" t="s">
        <v>2520</v>
      </c>
      <c r="N695" s="9" t="s">
        <v>35</v>
      </c>
      <c r="O695" s="9" t="s">
        <v>2521</v>
      </c>
      <c r="P695" s="9" t="s">
        <v>1296</v>
      </c>
    </row>
    <row r="696">
      <c r="A696" s="17" t="s">
        <v>342</v>
      </c>
      <c r="B696" s="8">
        <v>3987.0</v>
      </c>
      <c r="C696" s="8">
        <v>1169760.0</v>
      </c>
      <c r="D696" s="8">
        <v>1171010.0</v>
      </c>
      <c r="E696" s="9" t="s">
        <v>508</v>
      </c>
      <c r="F696" s="9"/>
      <c r="G696" s="9" t="s">
        <v>509</v>
      </c>
      <c r="H696" s="9" t="s">
        <v>345</v>
      </c>
      <c r="I696" s="8">
        <v>1939.0</v>
      </c>
      <c r="J696" s="9" t="s">
        <v>346</v>
      </c>
      <c r="K696" s="9" t="s">
        <v>43</v>
      </c>
      <c r="L696" s="9" t="s">
        <v>43</v>
      </c>
      <c r="M696" s="9" t="s">
        <v>2522</v>
      </c>
      <c r="N696" s="9" t="s">
        <v>35</v>
      </c>
      <c r="O696" s="9" t="s">
        <v>2523</v>
      </c>
      <c r="P696" s="9" t="s">
        <v>1296</v>
      </c>
    </row>
    <row r="697">
      <c r="A697" s="17" t="s">
        <v>342</v>
      </c>
      <c r="B697" s="8">
        <v>4000.0</v>
      </c>
      <c r="C697" s="8">
        <v>1212040.0</v>
      </c>
      <c r="D697" s="8">
        <v>1217040.0</v>
      </c>
      <c r="E697" s="9" t="s">
        <v>508</v>
      </c>
      <c r="F697" s="9"/>
      <c r="G697" s="9" t="s">
        <v>509</v>
      </c>
      <c r="H697" s="9" t="s">
        <v>345</v>
      </c>
      <c r="I697" s="8">
        <v>1939.0</v>
      </c>
      <c r="J697" s="9" t="s">
        <v>346</v>
      </c>
      <c r="K697" s="9" t="s">
        <v>43</v>
      </c>
      <c r="L697" s="9" t="s">
        <v>43</v>
      </c>
      <c r="M697" s="9" t="s">
        <v>2524</v>
      </c>
      <c r="N697" s="9" t="s">
        <v>35</v>
      </c>
      <c r="O697" s="9" t="s">
        <v>2525</v>
      </c>
      <c r="P697" s="9" t="s">
        <v>1296</v>
      </c>
    </row>
    <row r="698">
      <c r="A698" s="17" t="s">
        <v>342</v>
      </c>
      <c r="B698" s="8">
        <v>4105.0</v>
      </c>
      <c r="C698" s="8">
        <v>3709299.0</v>
      </c>
      <c r="D698" s="8">
        <v>3710960.0</v>
      </c>
      <c r="E698" s="9" t="s">
        <v>511</v>
      </c>
      <c r="F698" s="9"/>
      <c r="G698" s="9" t="s">
        <v>512</v>
      </c>
      <c r="H698" s="9" t="s">
        <v>345</v>
      </c>
      <c r="I698" s="8">
        <v>1950.0</v>
      </c>
      <c r="J698" s="9" t="s">
        <v>346</v>
      </c>
      <c r="K698" s="9" t="s">
        <v>391</v>
      </c>
      <c r="L698" s="9" t="s">
        <v>391</v>
      </c>
      <c r="M698" s="9"/>
      <c r="N698" s="9" t="s">
        <v>35</v>
      </c>
      <c r="O698" s="9" t="s">
        <v>2526</v>
      </c>
      <c r="P698" s="9" t="s">
        <v>1298</v>
      </c>
    </row>
    <row r="699">
      <c r="A699" s="17" t="s">
        <v>342</v>
      </c>
      <c r="B699" s="8">
        <v>4121.0</v>
      </c>
      <c r="C699" s="8">
        <v>3796225.0</v>
      </c>
      <c r="D699" s="8">
        <v>3804579.0</v>
      </c>
      <c r="E699" s="9" t="s">
        <v>511</v>
      </c>
      <c r="F699" s="9"/>
      <c r="G699" s="9" t="s">
        <v>512</v>
      </c>
      <c r="H699" s="9" t="s">
        <v>345</v>
      </c>
      <c r="I699" s="8">
        <v>1950.0</v>
      </c>
      <c r="J699" s="9" t="s">
        <v>346</v>
      </c>
      <c r="K699" s="9" t="s">
        <v>391</v>
      </c>
      <c r="L699" s="9" t="s">
        <v>391</v>
      </c>
      <c r="M699" s="9" t="s">
        <v>2527</v>
      </c>
      <c r="N699" s="9" t="s">
        <v>35</v>
      </c>
      <c r="O699" s="9" t="s">
        <v>2528</v>
      </c>
      <c r="P699" s="9" t="s">
        <v>1296</v>
      </c>
    </row>
    <row r="700">
      <c r="A700" s="17" t="s">
        <v>342</v>
      </c>
      <c r="B700" s="8">
        <v>4125.0</v>
      </c>
      <c r="C700" s="8">
        <v>3821240.0</v>
      </c>
      <c r="D700" s="8">
        <v>3823272.0</v>
      </c>
      <c r="E700" s="9" t="s">
        <v>511</v>
      </c>
      <c r="F700" s="9"/>
      <c r="G700" s="9" t="s">
        <v>512</v>
      </c>
      <c r="H700" s="9" t="s">
        <v>345</v>
      </c>
      <c r="I700" s="8">
        <v>1950.0</v>
      </c>
      <c r="J700" s="9" t="s">
        <v>346</v>
      </c>
      <c r="K700" s="9" t="s">
        <v>391</v>
      </c>
      <c r="L700" s="9" t="s">
        <v>391</v>
      </c>
      <c r="M700" s="9" t="s">
        <v>2529</v>
      </c>
      <c r="N700" s="9" t="s">
        <v>35</v>
      </c>
      <c r="O700" s="9" t="s">
        <v>2530</v>
      </c>
      <c r="P700" s="9" t="s">
        <v>1298</v>
      </c>
    </row>
    <row r="701">
      <c r="A701" s="17" t="s">
        <v>342</v>
      </c>
      <c r="B701" s="8">
        <v>4131.0</v>
      </c>
      <c r="C701" s="8">
        <v>3835771.0</v>
      </c>
      <c r="D701" s="8">
        <v>3845160.0</v>
      </c>
      <c r="E701" s="9" t="s">
        <v>511</v>
      </c>
      <c r="F701" s="9"/>
      <c r="G701" s="9" t="s">
        <v>512</v>
      </c>
      <c r="H701" s="9" t="s">
        <v>345</v>
      </c>
      <c r="I701" s="8">
        <v>1950.0</v>
      </c>
      <c r="J701" s="9" t="s">
        <v>346</v>
      </c>
      <c r="K701" s="9" t="s">
        <v>391</v>
      </c>
      <c r="L701" s="9" t="s">
        <v>391</v>
      </c>
      <c r="M701" s="9" t="s">
        <v>2531</v>
      </c>
      <c r="N701" s="9" t="s">
        <v>35</v>
      </c>
      <c r="O701" s="9" t="s">
        <v>2532</v>
      </c>
      <c r="P701" s="9" t="s">
        <v>1300</v>
      </c>
    </row>
    <row r="702">
      <c r="A702" s="17" t="s">
        <v>342</v>
      </c>
      <c r="B702" s="8">
        <v>4131.0</v>
      </c>
      <c r="C702" s="8">
        <v>3835771.0</v>
      </c>
      <c r="D702" s="8">
        <v>3845160.0</v>
      </c>
      <c r="E702" s="9" t="s">
        <v>511</v>
      </c>
      <c r="F702" s="9"/>
      <c r="G702" s="9" t="s">
        <v>512</v>
      </c>
      <c r="H702" s="9" t="s">
        <v>345</v>
      </c>
      <c r="I702" s="8">
        <v>1950.0</v>
      </c>
      <c r="J702" s="9" t="s">
        <v>346</v>
      </c>
      <c r="K702" s="9" t="s">
        <v>391</v>
      </c>
      <c r="L702" s="9" t="s">
        <v>391</v>
      </c>
      <c r="M702" s="9" t="s">
        <v>2533</v>
      </c>
      <c r="N702" s="9" t="s">
        <v>35</v>
      </c>
      <c r="O702" s="9" t="s">
        <v>2534</v>
      </c>
      <c r="P702" s="9" t="s">
        <v>1298</v>
      </c>
    </row>
    <row r="703">
      <c r="A703" s="17" t="s">
        <v>342</v>
      </c>
      <c r="B703" s="8">
        <v>4133.0</v>
      </c>
      <c r="C703" s="8">
        <v>3848571.0</v>
      </c>
      <c r="D703" s="8">
        <v>3850942.0</v>
      </c>
      <c r="E703" s="9" t="s">
        <v>511</v>
      </c>
      <c r="F703" s="9"/>
      <c r="G703" s="9" t="s">
        <v>512</v>
      </c>
      <c r="H703" s="9" t="s">
        <v>345</v>
      </c>
      <c r="I703" s="8">
        <v>1950.0</v>
      </c>
      <c r="J703" s="9" t="s">
        <v>346</v>
      </c>
      <c r="K703" s="9" t="s">
        <v>391</v>
      </c>
      <c r="L703" s="9" t="s">
        <v>391</v>
      </c>
      <c r="M703" s="9" t="s">
        <v>2356</v>
      </c>
      <c r="N703" s="9" t="s">
        <v>35</v>
      </c>
      <c r="O703" s="9" t="s">
        <v>2535</v>
      </c>
      <c r="P703" s="9" t="s">
        <v>1298</v>
      </c>
    </row>
    <row r="704">
      <c r="A704" s="17" t="s">
        <v>342</v>
      </c>
      <c r="B704" s="8">
        <v>4133.0</v>
      </c>
      <c r="C704" s="8">
        <v>3848571.0</v>
      </c>
      <c r="D704" s="8">
        <v>3850942.0</v>
      </c>
      <c r="E704" s="9" t="s">
        <v>511</v>
      </c>
      <c r="F704" s="9"/>
      <c r="G704" s="9" t="s">
        <v>512</v>
      </c>
      <c r="H704" s="9" t="s">
        <v>345</v>
      </c>
      <c r="I704" s="8">
        <v>1950.0</v>
      </c>
      <c r="J704" s="9" t="s">
        <v>346</v>
      </c>
      <c r="K704" s="9" t="s">
        <v>391</v>
      </c>
      <c r="L704" s="9" t="s">
        <v>391</v>
      </c>
      <c r="M704" s="9" t="s">
        <v>2536</v>
      </c>
      <c r="N704" s="9" t="s">
        <v>35</v>
      </c>
      <c r="O704" s="9" t="s">
        <v>2537</v>
      </c>
      <c r="P704" s="9" t="s">
        <v>1298</v>
      </c>
    </row>
    <row r="705">
      <c r="A705" s="17" t="s">
        <v>342</v>
      </c>
      <c r="B705" s="8">
        <v>4134.0</v>
      </c>
      <c r="C705" s="8">
        <v>3851353.0</v>
      </c>
      <c r="D705" s="8">
        <v>3853386.0</v>
      </c>
      <c r="E705" s="9" t="s">
        <v>511</v>
      </c>
      <c r="F705" s="9"/>
      <c r="G705" s="9" t="s">
        <v>512</v>
      </c>
      <c r="H705" s="9" t="s">
        <v>345</v>
      </c>
      <c r="I705" s="8">
        <v>1950.0</v>
      </c>
      <c r="J705" s="9" t="s">
        <v>346</v>
      </c>
      <c r="K705" s="9" t="s">
        <v>391</v>
      </c>
      <c r="L705" s="9" t="s">
        <v>391</v>
      </c>
      <c r="M705" s="9" t="s">
        <v>2538</v>
      </c>
      <c r="N705" s="9" t="s">
        <v>35</v>
      </c>
      <c r="O705" s="9" t="s">
        <v>2537</v>
      </c>
      <c r="P705" s="9" t="s">
        <v>1298</v>
      </c>
    </row>
    <row r="706">
      <c r="A706" s="17" t="s">
        <v>342</v>
      </c>
      <c r="B706" s="8">
        <v>4136.0</v>
      </c>
      <c r="C706" s="8">
        <v>3859725.0</v>
      </c>
      <c r="D706" s="8">
        <v>3866096.0</v>
      </c>
      <c r="E706" s="9" t="s">
        <v>511</v>
      </c>
      <c r="F706" s="9"/>
      <c r="G706" s="9" t="s">
        <v>512</v>
      </c>
      <c r="H706" s="9" t="s">
        <v>345</v>
      </c>
      <c r="I706" s="8">
        <v>1950.0</v>
      </c>
      <c r="J706" s="9" t="s">
        <v>346</v>
      </c>
      <c r="K706" s="9" t="s">
        <v>391</v>
      </c>
      <c r="L706" s="9" t="s">
        <v>391</v>
      </c>
      <c r="M706" s="9" t="s">
        <v>2539</v>
      </c>
      <c r="N706" s="9" t="s">
        <v>35</v>
      </c>
      <c r="O706" s="9" t="s">
        <v>2540</v>
      </c>
      <c r="P706" s="9" t="s">
        <v>1296</v>
      </c>
    </row>
    <row r="707">
      <c r="A707" s="17" t="s">
        <v>342</v>
      </c>
      <c r="B707" s="8">
        <v>4139.0</v>
      </c>
      <c r="C707" s="8">
        <v>3876850.0</v>
      </c>
      <c r="D707" s="8">
        <v>3880704.0</v>
      </c>
      <c r="E707" s="9" t="s">
        <v>511</v>
      </c>
      <c r="F707" s="9"/>
      <c r="G707" s="9" t="s">
        <v>512</v>
      </c>
      <c r="H707" s="9" t="s">
        <v>345</v>
      </c>
      <c r="I707" s="8">
        <v>1950.0</v>
      </c>
      <c r="J707" s="9" t="s">
        <v>346</v>
      </c>
      <c r="K707" s="9" t="s">
        <v>391</v>
      </c>
      <c r="L707" s="9" t="s">
        <v>391</v>
      </c>
      <c r="M707" s="9" t="s">
        <v>2541</v>
      </c>
      <c r="N707" s="9" t="s">
        <v>35</v>
      </c>
      <c r="O707" s="9" t="s">
        <v>2542</v>
      </c>
      <c r="P707" s="9" t="s">
        <v>1298</v>
      </c>
    </row>
    <row r="708">
      <c r="A708" s="17" t="s">
        <v>342</v>
      </c>
      <c r="B708" s="8">
        <v>4164.0</v>
      </c>
      <c r="C708" s="8">
        <v>4000104.0</v>
      </c>
      <c r="D708" s="8">
        <v>4001546.0</v>
      </c>
      <c r="E708" s="9" t="s">
        <v>511</v>
      </c>
      <c r="F708" s="9"/>
      <c r="G708" s="9" t="s">
        <v>512</v>
      </c>
      <c r="H708" s="9" t="s">
        <v>345</v>
      </c>
      <c r="I708" s="8">
        <v>1950.0</v>
      </c>
      <c r="J708" s="9" t="s">
        <v>346</v>
      </c>
      <c r="K708" s="9" t="s">
        <v>391</v>
      </c>
      <c r="L708" s="9" t="s">
        <v>391</v>
      </c>
      <c r="M708" s="9" t="s">
        <v>2543</v>
      </c>
      <c r="N708" s="9" t="s">
        <v>35</v>
      </c>
      <c r="O708" s="9" t="s">
        <v>2544</v>
      </c>
      <c r="P708" s="9" t="s">
        <v>1296</v>
      </c>
    </row>
    <row r="709">
      <c r="A709" s="17" t="s">
        <v>342</v>
      </c>
      <c r="B709" s="8">
        <v>4170.0</v>
      </c>
      <c r="C709" s="8">
        <v>4023946.0</v>
      </c>
      <c r="D709" s="8">
        <v>4036159.0</v>
      </c>
      <c r="E709" s="9" t="s">
        <v>511</v>
      </c>
      <c r="F709" s="9"/>
      <c r="G709" s="9" t="s">
        <v>512</v>
      </c>
      <c r="H709" s="9" t="s">
        <v>345</v>
      </c>
      <c r="I709" s="8">
        <v>1950.0</v>
      </c>
      <c r="J709" s="9" t="s">
        <v>346</v>
      </c>
      <c r="K709" s="9" t="s">
        <v>391</v>
      </c>
      <c r="L709" s="9" t="s">
        <v>391</v>
      </c>
      <c r="M709" s="9" t="s">
        <v>2545</v>
      </c>
      <c r="N709" s="9" t="s">
        <v>35</v>
      </c>
      <c r="O709" s="9" t="s">
        <v>2546</v>
      </c>
      <c r="P709" s="9" t="s">
        <v>1296</v>
      </c>
    </row>
    <row r="710">
      <c r="A710" s="17" t="s">
        <v>342</v>
      </c>
      <c r="B710" s="8">
        <v>4172.0</v>
      </c>
      <c r="C710" s="8">
        <v>4046685.0</v>
      </c>
      <c r="D710" s="8">
        <v>4055164.0</v>
      </c>
      <c r="E710" s="9" t="s">
        <v>511</v>
      </c>
      <c r="F710" s="9"/>
      <c r="G710" s="9" t="s">
        <v>512</v>
      </c>
      <c r="H710" s="9" t="s">
        <v>345</v>
      </c>
      <c r="I710" s="8">
        <v>1950.0</v>
      </c>
      <c r="J710" s="9" t="s">
        <v>346</v>
      </c>
      <c r="K710" s="9" t="s">
        <v>391</v>
      </c>
      <c r="L710" s="9" t="s">
        <v>391</v>
      </c>
      <c r="M710" s="9" t="s">
        <v>2547</v>
      </c>
      <c r="N710" s="9" t="s">
        <v>35</v>
      </c>
      <c r="O710" s="9" t="s">
        <v>2548</v>
      </c>
      <c r="P710" s="9" t="s">
        <v>1316</v>
      </c>
    </row>
    <row r="711">
      <c r="A711" s="17" t="s">
        <v>342</v>
      </c>
      <c r="B711" s="8">
        <v>4172.0</v>
      </c>
      <c r="C711" s="8">
        <v>4046685.0</v>
      </c>
      <c r="D711" s="8">
        <v>4055164.0</v>
      </c>
      <c r="E711" s="9" t="s">
        <v>511</v>
      </c>
      <c r="F711" s="9"/>
      <c r="G711" s="9" t="s">
        <v>512</v>
      </c>
      <c r="H711" s="9" t="s">
        <v>345</v>
      </c>
      <c r="I711" s="8">
        <v>1950.0</v>
      </c>
      <c r="J711" s="9" t="s">
        <v>346</v>
      </c>
      <c r="K711" s="9" t="s">
        <v>391</v>
      </c>
      <c r="L711" s="9" t="s">
        <v>391</v>
      </c>
      <c r="M711" s="9" t="s">
        <v>2549</v>
      </c>
      <c r="N711" s="9" t="s">
        <v>35</v>
      </c>
      <c r="O711" s="9" t="s">
        <v>2550</v>
      </c>
      <c r="P711" s="9" t="s">
        <v>1300</v>
      </c>
    </row>
    <row r="712">
      <c r="A712" s="17" t="s">
        <v>342</v>
      </c>
      <c r="B712" s="8">
        <v>4174.0</v>
      </c>
      <c r="C712" s="8">
        <v>4066060.0</v>
      </c>
      <c r="D712" s="8">
        <v>4073599.0</v>
      </c>
      <c r="E712" s="9" t="s">
        <v>511</v>
      </c>
      <c r="F712" s="9"/>
      <c r="G712" s="9" t="s">
        <v>512</v>
      </c>
      <c r="H712" s="9" t="s">
        <v>345</v>
      </c>
      <c r="I712" s="8">
        <v>1950.0</v>
      </c>
      <c r="J712" s="9" t="s">
        <v>346</v>
      </c>
      <c r="K712" s="9" t="s">
        <v>391</v>
      </c>
      <c r="L712" s="9" t="s">
        <v>391</v>
      </c>
      <c r="M712" s="9" t="s">
        <v>1004</v>
      </c>
      <c r="N712" s="9" t="s">
        <v>35</v>
      </c>
      <c r="O712" s="9" t="s">
        <v>2551</v>
      </c>
      <c r="P712" s="9" t="s">
        <v>1316</v>
      </c>
    </row>
    <row r="713">
      <c r="A713" s="17" t="s">
        <v>342</v>
      </c>
      <c r="B713" s="8">
        <v>4176.0</v>
      </c>
      <c r="C713" s="8">
        <v>4083153.0</v>
      </c>
      <c r="D713" s="8">
        <v>4087299.0</v>
      </c>
      <c r="E713" s="9" t="s">
        <v>511</v>
      </c>
      <c r="F713" s="9"/>
      <c r="G713" s="9" t="s">
        <v>512</v>
      </c>
      <c r="H713" s="9" t="s">
        <v>345</v>
      </c>
      <c r="I713" s="8">
        <v>1950.0</v>
      </c>
      <c r="J713" s="9" t="s">
        <v>346</v>
      </c>
      <c r="K713" s="9" t="s">
        <v>391</v>
      </c>
      <c r="L713" s="9" t="s">
        <v>391</v>
      </c>
      <c r="M713" s="9" t="s">
        <v>2552</v>
      </c>
      <c r="N713" s="9" t="s">
        <v>35</v>
      </c>
      <c r="O713" s="9" t="s">
        <v>2553</v>
      </c>
      <c r="P713" s="9" t="s">
        <v>1296</v>
      </c>
    </row>
    <row r="714">
      <c r="A714" s="17" t="s">
        <v>342</v>
      </c>
      <c r="B714" s="8">
        <v>4176.0</v>
      </c>
      <c r="C714" s="8">
        <v>4083153.0</v>
      </c>
      <c r="D714" s="8">
        <v>4087299.0</v>
      </c>
      <c r="E714" s="9" t="s">
        <v>511</v>
      </c>
      <c r="F714" s="9"/>
      <c r="G714" s="9" t="s">
        <v>512</v>
      </c>
      <c r="H714" s="9" t="s">
        <v>345</v>
      </c>
      <c r="I714" s="8">
        <v>1950.0</v>
      </c>
      <c r="J714" s="9" t="s">
        <v>346</v>
      </c>
      <c r="K714" s="9" t="s">
        <v>391</v>
      </c>
      <c r="L714" s="9" t="s">
        <v>391</v>
      </c>
      <c r="M714" s="9" t="s">
        <v>2554</v>
      </c>
      <c r="N714" s="9" t="s">
        <v>35</v>
      </c>
      <c r="O714" s="9" t="s">
        <v>2555</v>
      </c>
      <c r="P714" s="9" t="s">
        <v>1296</v>
      </c>
    </row>
    <row r="715">
      <c r="A715" s="17" t="s">
        <v>342</v>
      </c>
      <c r="B715" s="8">
        <v>4181.0</v>
      </c>
      <c r="C715" s="8">
        <v>4101631.0</v>
      </c>
      <c r="D715" s="8">
        <v>4120393.0</v>
      </c>
      <c r="E715" s="9" t="s">
        <v>511</v>
      </c>
      <c r="F715" s="9"/>
      <c r="G715" s="9" t="s">
        <v>512</v>
      </c>
      <c r="H715" s="9" t="s">
        <v>345</v>
      </c>
      <c r="I715" s="8">
        <v>1950.0</v>
      </c>
      <c r="J715" s="9" t="s">
        <v>346</v>
      </c>
      <c r="K715" s="9" t="s">
        <v>391</v>
      </c>
      <c r="L715" s="9" t="s">
        <v>391</v>
      </c>
      <c r="M715" s="9" t="s">
        <v>2556</v>
      </c>
      <c r="N715" s="9" t="s">
        <v>35</v>
      </c>
      <c r="O715" s="9" t="s">
        <v>2557</v>
      </c>
      <c r="P715" s="9" t="s">
        <v>1296</v>
      </c>
    </row>
    <row r="716">
      <c r="A716" s="17" t="s">
        <v>342</v>
      </c>
      <c r="B716" s="8">
        <v>4200.0</v>
      </c>
      <c r="C716" s="8">
        <v>4204351.0</v>
      </c>
      <c r="D716" s="8">
        <v>4210934.0</v>
      </c>
      <c r="E716" s="9" t="s">
        <v>511</v>
      </c>
      <c r="F716" s="9"/>
      <c r="G716" s="9" t="s">
        <v>512</v>
      </c>
      <c r="H716" s="9" t="s">
        <v>345</v>
      </c>
      <c r="I716" s="8">
        <v>1950.0</v>
      </c>
      <c r="J716" s="9" t="s">
        <v>346</v>
      </c>
      <c r="K716" s="9" t="s">
        <v>391</v>
      </c>
      <c r="L716" s="9" t="s">
        <v>391</v>
      </c>
      <c r="M716" s="9" t="s">
        <v>2558</v>
      </c>
      <c r="N716" s="9" t="s">
        <v>35</v>
      </c>
      <c r="O716" s="9" t="s">
        <v>2559</v>
      </c>
      <c r="P716" s="9" t="s">
        <v>1300</v>
      </c>
    </row>
    <row r="717">
      <c r="A717" s="17" t="s">
        <v>342</v>
      </c>
      <c r="B717" s="8">
        <v>4200.0</v>
      </c>
      <c r="C717" s="8">
        <v>4204351.0</v>
      </c>
      <c r="D717" s="8">
        <v>4210934.0</v>
      </c>
      <c r="E717" s="9" t="s">
        <v>511</v>
      </c>
      <c r="F717" s="9"/>
      <c r="G717" s="9" t="s">
        <v>512</v>
      </c>
      <c r="H717" s="9" t="s">
        <v>345</v>
      </c>
      <c r="I717" s="8">
        <v>1950.0</v>
      </c>
      <c r="J717" s="9" t="s">
        <v>346</v>
      </c>
      <c r="K717" s="9" t="s">
        <v>391</v>
      </c>
      <c r="L717" s="9" t="s">
        <v>391</v>
      </c>
      <c r="M717" s="9" t="s">
        <v>2560</v>
      </c>
      <c r="N717" s="9" t="s">
        <v>35</v>
      </c>
      <c r="O717" s="9" t="s">
        <v>2561</v>
      </c>
      <c r="P717" s="9" t="s">
        <v>1298</v>
      </c>
    </row>
    <row r="718">
      <c r="A718" s="17" t="s">
        <v>342</v>
      </c>
      <c r="B718" s="8">
        <v>4202.0</v>
      </c>
      <c r="C718" s="8">
        <v>4215537.0</v>
      </c>
      <c r="D718" s="8">
        <v>4220037.0</v>
      </c>
      <c r="E718" s="9" t="s">
        <v>511</v>
      </c>
      <c r="F718" s="9"/>
      <c r="G718" s="9" t="s">
        <v>512</v>
      </c>
      <c r="H718" s="9" t="s">
        <v>345</v>
      </c>
      <c r="I718" s="8">
        <v>1950.0</v>
      </c>
      <c r="J718" s="9" t="s">
        <v>346</v>
      </c>
      <c r="K718" s="9" t="s">
        <v>391</v>
      </c>
      <c r="L718" s="9" t="s">
        <v>391</v>
      </c>
      <c r="M718" s="9" t="s">
        <v>2562</v>
      </c>
      <c r="N718" s="9" t="s">
        <v>35</v>
      </c>
      <c r="O718" s="9" t="s">
        <v>2563</v>
      </c>
      <c r="P718" s="9" t="s">
        <v>1296</v>
      </c>
    </row>
    <row r="719">
      <c r="A719" s="17" t="s">
        <v>342</v>
      </c>
      <c r="B719" s="8">
        <v>4202.0</v>
      </c>
      <c r="C719" s="8">
        <v>4215537.0</v>
      </c>
      <c r="D719" s="8">
        <v>4220037.0</v>
      </c>
      <c r="E719" s="9" t="s">
        <v>511</v>
      </c>
      <c r="F719" s="9"/>
      <c r="G719" s="9" t="s">
        <v>512</v>
      </c>
      <c r="H719" s="9" t="s">
        <v>345</v>
      </c>
      <c r="I719" s="8">
        <v>1950.0</v>
      </c>
      <c r="J719" s="9" t="s">
        <v>346</v>
      </c>
      <c r="K719" s="9" t="s">
        <v>391</v>
      </c>
      <c r="L719" s="9" t="s">
        <v>391</v>
      </c>
      <c r="M719" s="9" t="s">
        <v>2564</v>
      </c>
      <c r="N719" s="9" t="s">
        <v>35</v>
      </c>
      <c r="O719" s="9" t="s">
        <v>2565</v>
      </c>
      <c r="P719" s="9" t="s">
        <v>1296</v>
      </c>
    </row>
    <row r="720">
      <c r="A720" s="17" t="s">
        <v>342</v>
      </c>
      <c r="B720" s="8">
        <v>4208.0</v>
      </c>
      <c r="C720" s="8">
        <v>4245458.0</v>
      </c>
      <c r="D720" s="8">
        <v>4256661.0</v>
      </c>
      <c r="E720" s="9" t="s">
        <v>511</v>
      </c>
      <c r="F720" s="9"/>
      <c r="G720" s="9" t="s">
        <v>512</v>
      </c>
      <c r="H720" s="9" t="s">
        <v>345</v>
      </c>
      <c r="I720" s="8">
        <v>1950.0</v>
      </c>
      <c r="J720" s="9" t="s">
        <v>346</v>
      </c>
      <c r="K720" s="9" t="s">
        <v>391</v>
      </c>
      <c r="L720" s="9" t="s">
        <v>391</v>
      </c>
      <c r="M720" s="9" t="s">
        <v>2566</v>
      </c>
      <c r="N720" s="9" t="s">
        <v>35</v>
      </c>
      <c r="O720" s="9" t="s">
        <v>2567</v>
      </c>
      <c r="P720" s="9" t="s">
        <v>1300</v>
      </c>
    </row>
    <row r="721">
      <c r="A721" s="17" t="s">
        <v>342</v>
      </c>
      <c r="B721" s="8">
        <v>4213.0</v>
      </c>
      <c r="C721" s="8">
        <v>4273048.0</v>
      </c>
      <c r="D721" s="8">
        <v>4276569.0</v>
      </c>
      <c r="E721" s="9" t="s">
        <v>511</v>
      </c>
      <c r="F721" s="9"/>
      <c r="G721" s="9" t="s">
        <v>512</v>
      </c>
      <c r="H721" s="9" t="s">
        <v>345</v>
      </c>
      <c r="I721" s="8">
        <v>1950.0</v>
      </c>
      <c r="J721" s="9" t="s">
        <v>346</v>
      </c>
      <c r="K721" s="9" t="s">
        <v>391</v>
      </c>
      <c r="L721" s="9" t="s">
        <v>391</v>
      </c>
      <c r="M721" s="9" t="s">
        <v>285</v>
      </c>
      <c r="N721" s="9" t="s">
        <v>35</v>
      </c>
      <c r="O721" s="9" t="s">
        <v>2568</v>
      </c>
      <c r="P721" s="9" t="s">
        <v>1316</v>
      </c>
    </row>
    <row r="722">
      <c r="A722" s="17" t="s">
        <v>342</v>
      </c>
      <c r="B722" s="8">
        <v>4214.0</v>
      </c>
      <c r="C722" s="8">
        <v>4276569.0</v>
      </c>
      <c r="D722" s="8">
        <v>4281513.0</v>
      </c>
      <c r="E722" s="9" t="s">
        <v>511</v>
      </c>
      <c r="F722" s="9"/>
      <c r="G722" s="9" t="s">
        <v>512</v>
      </c>
      <c r="H722" s="9" t="s">
        <v>345</v>
      </c>
      <c r="I722" s="8">
        <v>1950.0</v>
      </c>
      <c r="J722" s="9" t="s">
        <v>346</v>
      </c>
      <c r="K722" s="9" t="s">
        <v>391</v>
      </c>
      <c r="L722" s="9" t="s">
        <v>391</v>
      </c>
      <c r="M722" s="9" t="s">
        <v>2569</v>
      </c>
      <c r="N722" s="9" t="s">
        <v>35</v>
      </c>
      <c r="O722" s="9" t="s">
        <v>2570</v>
      </c>
      <c r="P722" s="9" t="s">
        <v>1316</v>
      </c>
    </row>
    <row r="723">
      <c r="A723" s="17" t="s">
        <v>342</v>
      </c>
      <c r="B723" s="8">
        <v>4219.0</v>
      </c>
      <c r="C723" s="8">
        <v>4301655.0</v>
      </c>
      <c r="D723" s="8">
        <v>4303602.0</v>
      </c>
      <c r="E723" s="9" t="s">
        <v>511</v>
      </c>
      <c r="F723" s="9"/>
      <c r="G723" s="9" t="s">
        <v>512</v>
      </c>
      <c r="H723" s="9" t="s">
        <v>345</v>
      </c>
      <c r="I723" s="8">
        <v>1950.0</v>
      </c>
      <c r="J723" s="9" t="s">
        <v>346</v>
      </c>
      <c r="K723" s="9" t="s">
        <v>391</v>
      </c>
      <c r="L723" s="9" t="s">
        <v>391</v>
      </c>
      <c r="M723" s="9" t="s">
        <v>410</v>
      </c>
      <c r="N723" s="9" t="s">
        <v>35</v>
      </c>
      <c r="O723" s="12" t="str">
        <f>а там сразу был С первого.</f>
        <v>#ERROR!</v>
      </c>
      <c r="P723" s="9" t="s">
        <v>1300</v>
      </c>
    </row>
    <row r="724">
      <c r="A724" s="17" t="s">
        <v>342</v>
      </c>
      <c r="B724" s="8">
        <v>4219.0</v>
      </c>
      <c r="C724" s="8">
        <v>4301655.0</v>
      </c>
      <c r="D724" s="8">
        <v>4303602.0</v>
      </c>
      <c r="E724" s="9" t="s">
        <v>511</v>
      </c>
      <c r="F724" s="9"/>
      <c r="G724" s="9" t="s">
        <v>512</v>
      </c>
      <c r="H724" s="9" t="s">
        <v>345</v>
      </c>
      <c r="I724" s="8">
        <v>1950.0</v>
      </c>
      <c r="J724" s="9" t="s">
        <v>346</v>
      </c>
      <c r="K724" s="9" t="s">
        <v>391</v>
      </c>
      <c r="L724" s="9" t="s">
        <v>391</v>
      </c>
      <c r="M724" s="9" t="s">
        <v>2571</v>
      </c>
      <c r="N724" s="9" t="s">
        <v>35</v>
      </c>
      <c r="O724" s="9" t="s">
        <v>2572</v>
      </c>
      <c r="P724" s="9" t="s">
        <v>1316</v>
      </c>
    </row>
    <row r="725">
      <c r="A725" s="17" t="s">
        <v>342</v>
      </c>
      <c r="B725" s="8">
        <v>4222.0</v>
      </c>
      <c r="C725" s="8">
        <v>4316628.0</v>
      </c>
      <c r="D725" s="8">
        <v>4330865.0</v>
      </c>
      <c r="E725" s="9" t="s">
        <v>511</v>
      </c>
      <c r="F725" s="9"/>
      <c r="G725" s="9" t="s">
        <v>512</v>
      </c>
      <c r="H725" s="9" t="s">
        <v>345</v>
      </c>
      <c r="I725" s="8">
        <v>1950.0</v>
      </c>
      <c r="J725" s="9" t="s">
        <v>346</v>
      </c>
      <c r="K725" s="9" t="s">
        <v>391</v>
      </c>
      <c r="L725" s="9" t="s">
        <v>391</v>
      </c>
      <c r="M725" s="9" t="s">
        <v>2573</v>
      </c>
      <c r="N725" s="9" t="s">
        <v>35</v>
      </c>
      <c r="O725" s="9" t="s">
        <v>2574</v>
      </c>
      <c r="P725" s="9" t="s">
        <v>1296</v>
      </c>
    </row>
    <row r="726">
      <c r="A726" s="17" t="s">
        <v>342</v>
      </c>
      <c r="B726" s="8">
        <v>4230.0</v>
      </c>
      <c r="C726" s="8">
        <v>4370023.0</v>
      </c>
      <c r="D726" s="8">
        <v>4378418.0</v>
      </c>
      <c r="E726" s="9" t="s">
        <v>511</v>
      </c>
      <c r="F726" s="9"/>
      <c r="G726" s="9" t="s">
        <v>512</v>
      </c>
      <c r="H726" s="9" t="s">
        <v>345</v>
      </c>
      <c r="I726" s="8">
        <v>1950.0</v>
      </c>
      <c r="J726" s="9" t="s">
        <v>346</v>
      </c>
      <c r="K726" s="9" t="s">
        <v>391</v>
      </c>
      <c r="L726" s="9" t="s">
        <v>391</v>
      </c>
      <c r="M726" s="9" t="s">
        <v>2575</v>
      </c>
      <c r="N726" s="9" t="s">
        <v>35</v>
      </c>
      <c r="O726" s="9" t="s">
        <v>2576</v>
      </c>
      <c r="P726" s="9" t="s">
        <v>1296</v>
      </c>
    </row>
    <row r="727">
      <c r="A727" s="17" t="s">
        <v>342</v>
      </c>
      <c r="B727" s="8">
        <v>4230.0</v>
      </c>
      <c r="C727" s="8">
        <v>4370023.0</v>
      </c>
      <c r="D727" s="8">
        <v>4378418.0</v>
      </c>
      <c r="E727" s="9" t="s">
        <v>511</v>
      </c>
      <c r="F727" s="9"/>
      <c r="G727" s="9" t="s">
        <v>512</v>
      </c>
      <c r="H727" s="9" t="s">
        <v>345</v>
      </c>
      <c r="I727" s="8">
        <v>1950.0</v>
      </c>
      <c r="J727" s="9" t="s">
        <v>346</v>
      </c>
      <c r="K727" s="9" t="s">
        <v>391</v>
      </c>
      <c r="L727" s="9" t="s">
        <v>391</v>
      </c>
      <c r="M727" s="9" t="s">
        <v>2577</v>
      </c>
      <c r="N727" s="9" t="s">
        <v>35</v>
      </c>
      <c r="O727" s="9" t="s">
        <v>2578</v>
      </c>
      <c r="P727" s="9" t="s">
        <v>1296</v>
      </c>
    </row>
    <row r="728">
      <c r="A728" s="17" t="s">
        <v>342</v>
      </c>
      <c r="B728" s="8">
        <v>4237.0</v>
      </c>
      <c r="C728" s="8">
        <v>4420339.0</v>
      </c>
      <c r="D728" s="8">
        <v>4424471.0</v>
      </c>
      <c r="E728" s="9" t="s">
        <v>511</v>
      </c>
      <c r="F728" s="9"/>
      <c r="G728" s="9" t="s">
        <v>512</v>
      </c>
      <c r="H728" s="9" t="s">
        <v>345</v>
      </c>
      <c r="I728" s="8">
        <v>1950.0</v>
      </c>
      <c r="J728" s="9" t="s">
        <v>346</v>
      </c>
      <c r="K728" s="9" t="s">
        <v>391</v>
      </c>
      <c r="L728" s="9" t="s">
        <v>391</v>
      </c>
      <c r="M728" s="9" t="s">
        <v>2579</v>
      </c>
      <c r="N728" s="9" t="s">
        <v>35</v>
      </c>
      <c r="O728" s="9" t="s">
        <v>2580</v>
      </c>
      <c r="P728" s="9" t="s">
        <v>1296</v>
      </c>
    </row>
    <row r="729">
      <c r="A729" s="17" t="s">
        <v>342</v>
      </c>
      <c r="B729" s="8">
        <v>4241.0</v>
      </c>
      <c r="C729" s="8">
        <v>4433572.0</v>
      </c>
      <c r="D729" s="8">
        <v>4444286.0</v>
      </c>
      <c r="E729" s="9" t="s">
        <v>511</v>
      </c>
      <c r="F729" s="9"/>
      <c r="G729" s="9" t="s">
        <v>512</v>
      </c>
      <c r="H729" s="9" t="s">
        <v>345</v>
      </c>
      <c r="I729" s="8">
        <v>1950.0</v>
      </c>
      <c r="J729" s="9" t="s">
        <v>346</v>
      </c>
      <c r="K729" s="9" t="s">
        <v>391</v>
      </c>
      <c r="L729" s="9" t="s">
        <v>391</v>
      </c>
      <c r="M729" s="9" t="s">
        <v>2581</v>
      </c>
      <c r="N729" s="9" t="s">
        <v>35</v>
      </c>
      <c r="O729" s="9" t="s">
        <v>2582</v>
      </c>
      <c r="P729" s="9" t="s">
        <v>1296</v>
      </c>
    </row>
    <row r="730">
      <c r="A730" s="17" t="s">
        <v>342</v>
      </c>
      <c r="B730" s="8">
        <v>4241.0</v>
      </c>
      <c r="C730" s="8">
        <v>4433572.0</v>
      </c>
      <c r="D730" s="8">
        <v>4444286.0</v>
      </c>
      <c r="E730" s="9" t="s">
        <v>511</v>
      </c>
      <c r="F730" s="9"/>
      <c r="G730" s="9" t="s">
        <v>512</v>
      </c>
      <c r="H730" s="9" t="s">
        <v>345</v>
      </c>
      <c r="I730" s="8">
        <v>1950.0</v>
      </c>
      <c r="J730" s="9" t="s">
        <v>346</v>
      </c>
      <c r="K730" s="9" t="s">
        <v>391</v>
      </c>
      <c r="L730" s="9" t="s">
        <v>391</v>
      </c>
      <c r="M730" s="9" t="s">
        <v>2583</v>
      </c>
      <c r="N730" s="9" t="s">
        <v>35</v>
      </c>
      <c r="O730" s="9" t="s">
        <v>2584</v>
      </c>
      <c r="P730" s="9" t="s">
        <v>1296</v>
      </c>
    </row>
    <row r="731">
      <c r="A731" s="17" t="s">
        <v>342</v>
      </c>
      <c r="B731" s="8">
        <v>4254.0</v>
      </c>
      <c r="C731" s="8">
        <v>4512785.0</v>
      </c>
      <c r="D731" s="8">
        <v>4522811.0</v>
      </c>
      <c r="E731" s="9" t="s">
        <v>511</v>
      </c>
      <c r="F731" s="9"/>
      <c r="G731" s="9" t="s">
        <v>512</v>
      </c>
      <c r="H731" s="9" t="s">
        <v>345</v>
      </c>
      <c r="I731" s="8">
        <v>1950.0</v>
      </c>
      <c r="J731" s="9" t="s">
        <v>346</v>
      </c>
      <c r="K731" s="9" t="s">
        <v>391</v>
      </c>
      <c r="L731" s="9" t="s">
        <v>391</v>
      </c>
      <c r="M731" s="9" t="s">
        <v>2585</v>
      </c>
      <c r="N731" s="9" t="s">
        <v>35</v>
      </c>
      <c r="O731" s="9" t="s">
        <v>2586</v>
      </c>
      <c r="P731" s="9" t="s">
        <v>1300</v>
      </c>
    </row>
    <row r="732">
      <c r="A732" s="17" t="s">
        <v>342</v>
      </c>
      <c r="B732" s="8">
        <v>4255.0</v>
      </c>
      <c r="C732" s="8">
        <v>4522944.0</v>
      </c>
      <c r="D732" s="8">
        <v>4531628.0</v>
      </c>
      <c r="E732" s="9" t="s">
        <v>511</v>
      </c>
      <c r="F732" s="9"/>
      <c r="G732" s="9" t="s">
        <v>512</v>
      </c>
      <c r="H732" s="9" t="s">
        <v>345</v>
      </c>
      <c r="I732" s="8">
        <v>1950.0</v>
      </c>
      <c r="J732" s="9" t="s">
        <v>346</v>
      </c>
      <c r="K732" s="9" t="s">
        <v>391</v>
      </c>
      <c r="L732" s="9" t="s">
        <v>391</v>
      </c>
      <c r="M732" s="9" t="s">
        <v>2587</v>
      </c>
      <c r="N732" s="9" t="s">
        <v>35</v>
      </c>
      <c r="O732" s="9" t="s">
        <v>2588</v>
      </c>
      <c r="P732" s="9" t="s">
        <v>1300</v>
      </c>
    </row>
    <row r="733">
      <c r="A733" s="17" t="s">
        <v>342</v>
      </c>
      <c r="B733" s="8">
        <v>4285.0</v>
      </c>
      <c r="C733" s="8">
        <v>4665947.0</v>
      </c>
      <c r="D733" s="8">
        <v>4670456.0</v>
      </c>
      <c r="E733" s="9" t="s">
        <v>511</v>
      </c>
      <c r="F733" s="9"/>
      <c r="G733" s="9" t="s">
        <v>512</v>
      </c>
      <c r="H733" s="9" t="s">
        <v>345</v>
      </c>
      <c r="I733" s="8">
        <v>1950.0</v>
      </c>
      <c r="J733" s="9" t="s">
        <v>346</v>
      </c>
      <c r="K733" s="9" t="s">
        <v>391</v>
      </c>
      <c r="L733" s="9" t="s">
        <v>391</v>
      </c>
      <c r="M733" s="9" t="s">
        <v>2589</v>
      </c>
      <c r="N733" s="9" t="s">
        <v>35</v>
      </c>
      <c r="O733" s="9" t="s">
        <v>2590</v>
      </c>
      <c r="P733" s="9" t="s">
        <v>1388</v>
      </c>
    </row>
    <row r="734">
      <c r="A734" s="17" t="s">
        <v>342</v>
      </c>
      <c r="B734" s="8">
        <v>4287.0</v>
      </c>
      <c r="C734" s="8">
        <v>4672578.0</v>
      </c>
      <c r="D734" s="8">
        <v>4674841.0</v>
      </c>
      <c r="E734" s="9" t="s">
        <v>511</v>
      </c>
      <c r="F734" s="9"/>
      <c r="G734" s="9" t="s">
        <v>512</v>
      </c>
      <c r="H734" s="9" t="s">
        <v>345</v>
      </c>
      <c r="I734" s="8">
        <v>1950.0</v>
      </c>
      <c r="J734" s="9" t="s">
        <v>346</v>
      </c>
      <c r="K734" s="9" t="s">
        <v>391</v>
      </c>
      <c r="L734" s="9" t="s">
        <v>391</v>
      </c>
      <c r="M734" s="9" t="s">
        <v>2591</v>
      </c>
      <c r="N734" s="9" t="s">
        <v>35</v>
      </c>
      <c r="O734" s="9" t="s">
        <v>2592</v>
      </c>
      <c r="P734" s="9" t="s">
        <v>1388</v>
      </c>
    </row>
    <row r="735">
      <c r="A735" s="17" t="s">
        <v>342</v>
      </c>
      <c r="B735" s="8">
        <v>4288.0</v>
      </c>
      <c r="C735" s="8">
        <v>4676105.0</v>
      </c>
      <c r="D735" s="8">
        <v>4685579.0</v>
      </c>
      <c r="E735" s="9" t="s">
        <v>511</v>
      </c>
      <c r="F735" s="9"/>
      <c r="G735" s="9" t="s">
        <v>512</v>
      </c>
      <c r="H735" s="9" t="s">
        <v>345</v>
      </c>
      <c r="I735" s="8">
        <v>1950.0</v>
      </c>
      <c r="J735" s="9" t="s">
        <v>346</v>
      </c>
      <c r="K735" s="9" t="s">
        <v>391</v>
      </c>
      <c r="L735" s="9" t="s">
        <v>391</v>
      </c>
      <c r="M735" s="9" t="s">
        <v>2593</v>
      </c>
      <c r="N735" s="9" t="s">
        <v>35</v>
      </c>
      <c r="O735" s="9" t="s">
        <v>2594</v>
      </c>
      <c r="P735" s="9" t="s">
        <v>1296</v>
      </c>
    </row>
    <row r="736">
      <c r="A736" s="17" t="s">
        <v>342</v>
      </c>
      <c r="B736" s="8">
        <v>4288.0</v>
      </c>
      <c r="C736" s="8">
        <v>4676105.0</v>
      </c>
      <c r="D736" s="8">
        <v>4685579.0</v>
      </c>
      <c r="E736" s="9" t="s">
        <v>511</v>
      </c>
      <c r="F736" s="9"/>
      <c r="G736" s="9" t="s">
        <v>512</v>
      </c>
      <c r="H736" s="9" t="s">
        <v>345</v>
      </c>
      <c r="I736" s="8">
        <v>1950.0</v>
      </c>
      <c r="J736" s="9" t="s">
        <v>346</v>
      </c>
      <c r="K736" s="9" t="s">
        <v>391</v>
      </c>
      <c r="L736" s="9" t="s">
        <v>391</v>
      </c>
      <c r="M736" s="9" t="s">
        <v>2595</v>
      </c>
      <c r="N736" s="9" t="s">
        <v>35</v>
      </c>
      <c r="O736" s="9" t="s">
        <v>2596</v>
      </c>
      <c r="P736" s="9" t="s">
        <v>1296</v>
      </c>
    </row>
    <row r="737">
      <c r="A737" s="17" t="s">
        <v>342</v>
      </c>
      <c r="B737" s="8">
        <v>4292.0</v>
      </c>
      <c r="C737" s="8">
        <v>4704526.0</v>
      </c>
      <c r="D737" s="8">
        <v>4707386.0</v>
      </c>
      <c r="E737" s="9" t="s">
        <v>511</v>
      </c>
      <c r="F737" s="9"/>
      <c r="G737" s="9" t="s">
        <v>512</v>
      </c>
      <c r="H737" s="9" t="s">
        <v>345</v>
      </c>
      <c r="I737" s="8">
        <v>1950.0</v>
      </c>
      <c r="J737" s="9" t="s">
        <v>346</v>
      </c>
      <c r="K737" s="9" t="s">
        <v>391</v>
      </c>
      <c r="L737" s="9" t="s">
        <v>391</v>
      </c>
      <c r="M737" s="9" t="s">
        <v>2597</v>
      </c>
      <c r="N737" s="9" t="s">
        <v>35</v>
      </c>
      <c r="O737" s="9" t="s">
        <v>2598</v>
      </c>
      <c r="P737" s="9" t="s">
        <v>1296</v>
      </c>
    </row>
    <row r="738">
      <c r="A738" s="17" t="s">
        <v>342</v>
      </c>
      <c r="B738" s="8">
        <v>4321.0</v>
      </c>
      <c r="C738" s="8">
        <v>4800730.0</v>
      </c>
      <c r="D738" s="8">
        <v>4807982.0</v>
      </c>
      <c r="E738" s="9" t="s">
        <v>511</v>
      </c>
      <c r="F738" s="9"/>
      <c r="G738" s="9" t="s">
        <v>512</v>
      </c>
      <c r="H738" s="9" t="s">
        <v>345</v>
      </c>
      <c r="I738" s="8">
        <v>1950.0</v>
      </c>
      <c r="J738" s="9" t="s">
        <v>346</v>
      </c>
      <c r="K738" s="9" t="s">
        <v>391</v>
      </c>
      <c r="L738" s="9" t="s">
        <v>391</v>
      </c>
      <c r="M738" s="9" t="s">
        <v>2599</v>
      </c>
      <c r="N738" s="9" t="s">
        <v>35</v>
      </c>
      <c r="O738" s="9" t="s">
        <v>2600</v>
      </c>
      <c r="P738" s="9" t="s">
        <v>1316</v>
      </c>
    </row>
    <row r="739">
      <c r="A739" s="17" t="s">
        <v>342</v>
      </c>
      <c r="B739" s="8">
        <v>4345.0</v>
      </c>
      <c r="C739" s="8">
        <v>4919469.0</v>
      </c>
      <c r="D739" s="8">
        <v>4924685.0</v>
      </c>
      <c r="E739" s="9" t="s">
        <v>511</v>
      </c>
      <c r="F739" s="9"/>
      <c r="G739" s="9" t="s">
        <v>512</v>
      </c>
      <c r="H739" s="9" t="s">
        <v>345</v>
      </c>
      <c r="I739" s="8">
        <v>1950.0</v>
      </c>
      <c r="J739" s="9" t="s">
        <v>346</v>
      </c>
      <c r="K739" s="9" t="s">
        <v>391</v>
      </c>
      <c r="L739" s="9" t="s">
        <v>391</v>
      </c>
      <c r="M739" s="9" t="s">
        <v>2601</v>
      </c>
      <c r="N739" s="9" t="s">
        <v>35</v>
      </c>
      <c r="O739" s="12" t="str">
        <f>со всей скорости.</f>
        <v>#ERROR!</v>
      </c>
      <c r="P739" s="9" t="s">
        <v>1316</v>
      </c>
    </row>
    <row r="740">
      <c r="A740" s="17" t="s">
        <v>342</v>
      </c>
      <c r="B740" s="8">
        <v>4375.0</v>
      </c>
      <c r="C740" s="8">
        <v>5106779.0</v>
      </c>
      <c r="D740" s="8">
        <v>5113338.0</v>
      </c>
      <c r="E740" s="9" t="s">
        <v>511</v>
      </c>
      <c r="F740" s="9"/>
      <c r="G740" s="9" t="s">
        <v>512</v>
      </c>
      <c r="H740" s="9" t="s">
        <v>345</v>
      </c>
      <c r="I740" s="8">
        <v>1950.0</v>
      </c>
      <c r="J740" s="9" t="s">
        <v>346</v>
      </c>
      <c r="K740" s="9" t="s">
        <v>391</v>
      </c>
      <c r="L740" s="9" t="s">
        <v>391</v>
      </c>
      <c r="M740" s="9" t="s">
        <v>2602</v>
      </c>
      <c r="N740" s="9" t="s">
        <v>35</v>
      </c>
      <c r="O740" s="9" t="s">
        <v>2603</v>
      </c>
      <c r="P740" s="9" t="s">
        <v>1316</v>
      </c>
    </row>
    <row r="741">
      <c r="A741" s="17" t="s">
        <v>342</v>
      </c>
      <c r="B741" s="8">
        <v>4386.0</v>
      </c>
      <c r="C741" s="8">
        <v>5144725.0</v>
      </c>
      <c r="D741" s="8">
        <v>5155059.0</v>
      </c>
      <c r="E741" s="9" t="s">
        <v>511</v>
      </c>
      <c r="F741" s="9"/>
      <c r="G741" s="9" t="s">
        <v>512</v>
      </c>
      <c r="H741" s="9" t="s">
        <v>345</v>
      </c>
      <c r="I741" s="8">
        <v>1950.0</v>
      </c>
      <c r="J741" s="9" t="s">
        <v>346</v>
      </c>
      <c r="K741" s="9" t="s">
        <v>391</v>
      </c>
      <c r="L741" s="9" t="s">
        <v>391</v>
      </c>
      <c r="M741" s="9" t="s">
        <v>2604</v>
      </c>
      <c r="N741" s="9" t="s">
        <v>35</v>
      </c>
      <c r="O741" s="9" t="s">
        <v>2605</v>
      </c>
      <c r="P741" s="9" t="s">
        <v>1300</v>
      </c>
    </row>
    <row r="742">
      <c r="A742" s="17" t="s">
        <v>342</v>
      </c>
      <c r="B742" s="8">
        <v>4395.0</v>
      </c>
      <c r="C742" s="8">
        <v>5187843.0</v>
      </c>
      <c r="D742" s="8">
        <v>5191843.0</v>
      </c>
      <c r="E742" s="9" t="s">
        <v>511</v>
      </c>
      <c r="F742" s="9"/>
      <c r="G742" s="9" t="s">
        <v>512</v>
      </c>
      <c r="H742" s="9" t="s">
        <v>345</v>
      </c>
      <c r="I742" s="8">
        <v>1950.0</v>
      </c>
      <c r="J742" s="9" t="s">
        <v>346</v>
      </c>
      <c r="K742" s="9" t="s">
        <v>391</v>
      </c>
      <c r="L742" s="9" t="s">
        <v>391</v>
      </c>
      <c r="M742" s="9"/>
      <c r="N742" s="9" t="s">
        <v>45</v>
      </c>
      <c r="O742" s="9" t="s">
        <v>2606</v>
      </c>
      <c r="P742" s="9" t="s">
        <v>1296</v>
      </c>
    </row>
    <row r="743">
      <c r="A743" s="17" t="s">
        <v>342</v>
      </c>
      <c r="B743" s="8">
        <v>4403.0</v>
      </c>
      <c r="C743" s="8">
        <v>5222637.0</v>
      </c>
      <c r="D743" s="8">
        <v>5226264.0</v>
      </c>
      <c r="E743" s="9" t="s">
        <v>511</v>
      </c>
      <c r="F743" s="9"/>
      <c r="G743" s="9" t="s">
        <v>512</v>
      </c>
      <c r="H743" s="9" t="s">
        <v>345</v>
      </c>
      <c r="I743" s="8">
        <v>1950.0</v>
      </c>
      <c r="J743" s="9" t="s">
        <v>346</v>
      </c>
      <c r="K743" s="9" t="s">
        <v>391</v>
      </c>
      <c r="L743" s="9" t="s">
        <v>391</v>
      </c>
      <c r="M743" s="9" t="s">
        <v>2607</v>
      </c>
      <c r="N743" s="9" t="s">
        <v>35</v>
      </c>
      <c r="O743" s="9" t="s">
        <v>2608</v>
      </c>
      <c r="P743" s="9" t="s">
        <v>1296</v>
      </c>
    </row>
    <row r="744">
      <c r="A744" s="17" t="s">
        <v>342</v>
      </c>
      <c r="B744" s="8">
        <v>4434.0</v>
      </c>
      <c r="C744" s="8">
        <v>5389047.0</v>
      </c>
      <c r="D744" s="8">
        <v>5395272.0</v>
      </c>
      <c r="E744" s="9" t="s">
        <v>511</v>
      </c>
      <c r="F744" s="9"/>
      <c r="G744" s="9" t="s">
        <v>512</v>
      </c>
      <c r="H744" s="9" t="s">
        <v>345</v>
      </c>
      <c r="I744" s="8">
        <v>1950.0</v>
      </c>
      <c r="J744" s="9" t="s">
        <v>346</v>
      </c>
      <c r="K744" s="9" t="s">
        <v>391</v>
      </c>
      <c r="L744" s="9" t="s">
        <v>391</v>
      </c>
      <c r="M744" s="9" t="s">
        <v>2609</v>
      </c>
      <c r="N744" s="9" t="s">
        <v>35</v>
      </c>
      <c r="O744" s="9" t="s">
        <v>2610</v>
      </c>
      <c r="P744" s="9" t="s">
        <v>1316</v>
      </c>
    </row>
    <row r="745">
      <c r="A745" s="17" t="s">
        <v>342</v>
      </c>
      <c r="B745" s="8">
        <v>4435.0</v>
      </c>
      <c r="C745" s="8">
        <v>5395343.0</v>
      </c>
      <c r="D745" s="8">
        <v>5397016.0</v>
      </c>
      <c r="E745" s="9" t="s">
        <v>511</v>
      </c>
      <c r="F745" s="9"/>
      <c r="G745" s="9" t="s">
        <v>512</v>
      </c>
      <c r="H745" s="9" t="s">
        <v>345</v>
      </c>
      <c r="I745" s="8">
        <v>1950.0</v>
      </c>
      <c r="J745" s="9" t="s">
        <v>346</v>
      </c>
      <c r="K745" s="9" t="s">
        <v>391</v>
      </c>
      <c r="L745" s="9" t="s">
        <v>391</v>
      </c>
      <c r="M745" s="9" t="s">
        <v>2611</v>
      </c>
      <c r="N745" s="9" t="s">
        <v>35</v>
      </c>
      <c r="O745" s="9" t="s">
        <v>2612</v>
      </c>
      <c r="P745" s="9" t="s">
        <v>1316</v>
      </c>
    </row>
    <row r="746">
      <c r="A746" s="17" t="s">
        <v>342</v>
      </c>
      <c r="B746" s="8">
        <v>4464.0</v>
      </c>
      <c r="C746" s="8">
        <v>5570597.0</v>
      </c>
      <c r="D746" s="8">
        <v>5573956.0</v>
      </c>
      <c r="E746" s="9" t="s">
        <v>511</v>
      </c>
      <c r="F746" s="9"/>
      <c r="G746" s="9" t="s">
        <v>512</v>
      </c>
      <c r="H746" s="9" t="s">
        <v>345</v>
      </c>
      <c r="I746" s="8">
        <v>1950.0</v>
      </c>
      <c r="J746" s="9" t="s">
        <v>346</v>
      </c>
      <c r="K746" s="9" t="s">
        <v>391</v>
      </c>
      <c r="L746" s="9" t="s">
        <v>391</v>
      </c>
      <c r="M746" s="9" t="s">
        <v>2613</v>
      </c>
      <c r="N746" s="9" t="s">
        <v>35</v>
      </c>
      <c r="O746" s="9" t="s">
        <v>2614</v>
      </c>
      <c r="P746" s="9" t="s">
        <v>1300</v>
      </c>
    </row>
    <row r="747">
      <c r="A747" s="17" t="s">
        <v>342</v>
      </c>
      <c r="B747" s="8">
        <v>4491.0</v>
      </c>
      <c r="C747" s="8">
        <v>5677846.0</v>
      </c>
      <c r="D747" s="8">
        <v>5681926.0</v>
      </c>
      <c r="E747" s="9" t="s">
        <v>511</v>
      </c>
      <c r="F747" s="9"/>
      <c r="G747" s="9" t="s">
        <v>512</v>
      </c>
      <c r="H747" s="9" t="s">
        <v>345</v>
      </c>
      <c r="I747" s="8">
        <v>1950.0</v>
      </c>
      <c r="J747" s="9" t="s">
        <v>346</v>
      </c>
      <c r="K747" s="9" t="s">
        <v>391</v>
      </c>
      <c r="L747" s="9" t="s">
        <v>391</v>
      </c>
      <c r="M747" s="9" t="s">
        <v>2615</v>
      </c>
      <c r="N747" s="9" t="s">
        <v>45</v>
      </c>
      <c r="O747" s="9" t="s">
        <v>2616</v>
      </c>
      <c r="P747" s="9" t="s">
        <v>1316</v>
      </c>
    </row>
    <row r="748">
      <c r="A748" s="17" t="s">
        <v>342</v>
      </c>
      <c r="B748" s="8">
        <v>4494.0</v>
      </c>
      <c r="C748" s="8">
        <v>5688586.0</v>
      </c>
      <c r="D748" s="8">
        <v>5692996.0</v>
      </c>
      <c r="E748" s="9" t="s">
        <v>511</v>
      </c>
      <c r="F748" s="9"/>
      <c r="G748" s="9" t="s">
        <v>512</v>
      </c>
      <c r="H748" s="9" t="s">
        <v>345</v>
      </c>
      <c r="I748" s="8">
        <v>1950.0</v>
      </c>
      <c r="J748" s="9" t="s">
        <v>346</v>
      </c>
      <c r="K748" s="9" t="s">
        <v>391</v>
      </c>
      <c r="L748" s="9" t="s">
        <v>391</v>
      </c>
      <c r="M748" s="9" t="s">
        <v>2617</v>
      </c>
      <c r="N748" s="9" t="s">
        <v>35</v>
      </c>
      <c r="O748" s="9" t="s">
        <v>2618</v>
      </c>
      <c r="P748" s="9" t="s">
        <v>1296</v>
      </c>
    </row>
    <row r="749">
      <c r="A749" s="17" t="s">
        <v>342</v>
      </c>
      <c r="B749" s="8">
        <v>4513.0</v>
      </c>
      <c r="C749" s="8">
        <v>5746527.0</v>
      </c>
      <c r="D749" s="8">
        <v>5751314.0</v>
      </c>
      <c r="E749" s="9" t="s">
        <v>511</v>
      </c>
      <c r="F749" s="9"/>
      <c r="G749" s="9" t="s">
        <v>512</v>
      </c>
      <c r="H749" s="9" t="s">
        <v>345</v>
      </c>
      <c r="I749" s="8">
        <v>1950.0</v>
      </c>
      <c r="J749" s="9" t="s">
        <v>346</v>
      </c>
      <c r="K749" s="9" t="s">
        <v>391</v>
      </c>
      <c r="L749" s="9" t="s">
        <v>391</v>
      </c>
      <c r="M749" s="9" t="s">
        <v>2619</v>
      </c>
      <c r="N749" s="9" t="s">
        <v>35</v>
      </c>
      <c r="O749" s="9" t="s">
        <v>2620</v>
      </c>
      <c r="P749" s="9" t="s">
        <v>1316</v>
      </c>
    </row>
    <row r="750">
      <c r="A750" s="17" t="s">
        <v>342</v>
      </c>
      <c r="B750" s="8">
        <v>4514.0</v>
      </c>
      <c r="C750" s="8">
        <v>5751464.0</v>
      </c>
      <c r="D750" s="8">
        <v>5752889.0</v>
      </c>
      <c r="E750" s="9" t="s">
        <v>511</v>
      </c>
      <c r="F750" s="9"/>
      <c r="G750" s="9" t="s">
        <v>512</v>
      </c>
      <c r="H750" s="9" t="s">
        <v>345</v>
      </c>
      <c r="I750" s="8">
        <v>1950.0</v>
      </c>
      <c r="J750" s="9" t="s">
        <v>346</v>
      </c>
      <c r="K750" s="9" t="s">
        <v>391</v>
      </c>
      <c r="L750" s="9" t="s">
        <v>391</v>
      </c>
      <c r="M750" s="9" t="s">
        <v>2621</v>
      </c>
      <c r="N750" s="9" t="s">
        <v>35</v>
      </c>
      <c r="O750" s="9" t="s">
        <v>2622</v>
      </c>
      <c r="P750" s="9" t="s">
        <v>1300</v>
      </c>
    </row>
    <row r="751">
      <c r="A751" s="17" t="s">
        <v>342</v>
      </c>
      <c r="B751" s="8">
        <v>4526.0</v>
      </c>
      <c r="C751" s="8">
        <v>5777543.0</v>
      </c>
      <c r="D751" s="8">
        <v>5780563.0</v>
      </c>
      <c r="E751" s="9" t="s">
        <v>511</v>
      </c>
      <c r="F751" s="9"/>
      <c r="G751" s="9" t="s">
        <v>512</v>
      </c>
      <c r="H751" s="9" t="s">
        <v>345</v>
      </c>
      <c r="I751" s="8">
        <v>1950.0</v>
      </c>
      <c r="J751" s="9" t="s">
        <v>346</v>
      </c>
      <c r="K751" s="9" t="s">
        <v>391</v>
      </c>
      <c r="L751" s="9" t="s">
        <v>391</v>
      </c>
      <c r="M751" s="9" t="s">
        <v>2623</v>
      </c>
      <c r="N751" s="9" t="s">
        <v>35</v>
      </c>
      <c r="O751" s="9" t="s">
        <v>2624</v>
      </c>
      <c r="P751" s="9" t="s">
        <v>1296</v>
      </c>
    </row>
    <row r="752">
      <c r="A752" s="17" t="s">
        <v>342</v>
      </c>
      <c r="B752" s="8">
        <v>4526.0</v>
      </c>
      <c r="C752" s="8">
        <v>5777543.0</v>
      </c>
      <c r="D752" s="8">
        <v>5780563.0</v>
      </c>
      <c r="E752" s="9" t="s">
        <v>511</v>
      </c>
      <c r="F752" s="9"/>
      <c r="G752" s="9" t="s">
        <v>512</v>
      </c>
      <c r="H752" s="9" t="s">
        <v>345</v>
      </c>
      <c r="I752" s="8">
        <v>1950.0</v>
      </c>
      <c r="J752" s="9" t="s">
        <v>346</v>
      </c>
      <c r="K752" s="9" t="s">
        <v>391</v>
      </c>
      <c r="L752" s="9" t="s">
        <v>391</v>
      </c>
      <c r="M752" s="9" t="s">
        <v>2625</v>
      </c>
      <c r="N752" s="9" t="s">
        <v>35</v>
      </c>
      <c r="O752" s="9" t="s">
        <v>2626</v>
      </c>
      <c r="P752" s="9" t="s">
        <v>1296</v>
      </c>
    </row>
    <row r="753">
      <c r="A753" s="17" t="s">
        <v>342</v>
      </c>
      <c r="B753" s="8">
        <v>4529.0</v>
      </c>
      <c r="C753" s="8">
        <v>5786713.0</v>
      </c>
      <c r="D753" s="8">
        <v>5793525.0</v>
      </c>
      <c r="E753" s="9" t="s">
        <v>511</v>
      </c>
      <c r="F753" s="9"/>
      <c r="G753" s="9" t="s">
        <v>512</v>
      </c>
      <c r="H753" s="9" t="s">
        <v>345</v>
      </c>
      <c r="I753" s="8">
        <v>1950.0</v>
      </c>
      <c r="J753" s="9" t="s">
        <v>346</v>
      </c>
      <c r="K753" s="9" t="s">
        <v>391</v>
      </c>
      <c r="L753" s="9" t="s">
        <v>391</v>
      </c>
      <c r="M753" s="9" t="s">
        <v>2627</v>
      </c>
      <c r="N753" s="9" t="s">
        <v>35</v>
      </c>
      <c r="O753" s="9" t="s">
        <v>2628</v>
      </c>
      <c r="P753" s="9" t="s">
        <v>1296</v>
      </c>
    </row>
    <row r="754">
      <c r="A754" s="17" t="s">
        <v>342</v>
      </c>
      <c r="B754" s="8">
        <v>4561.0</v>
      </c>
      <c r="C754" s="8">
        <v>5891944.0</v>
      </c>
      <c r="D754" s="8">
        <v>5894769.0</v>
      </c>
      <c r="E754" s="9" t="s">
        <v>511</v>
      </c>
      <c r="F754" s="9"/>
      <c r="G754" s="9" t="s">
        <v>512</v>
      </c>
      <c r="H754" s="9" t="s">
        <v>345</v>
      </c>
      <c r="I754" s="8">
        <v>1950.0</v>
      </c>
      <c r="J754" s="9" t="s">
        <v>346</v>
      </c>
      <c r="K754" s="9" t="s">
        <v>391</v>
      </c>
      <c r="L754" s="9" t="s">
        <v>391</v>
      </c>
      <c r="M754" s="9" t="s">
        <v>2629</v>
      </c>
      <c r="N754" s="9" t="s">
        <v>35</v>
      </c>
      <c r="O754" s="9" t="s">
        <v>2630</v>
      </c>
      <c r="P754" s="9" t="s">
        <v>1316</v>
      </c>
    </row>
    <row r="755">
      <c r="A755" s="17" t="s">
        <v>342</v>
      </c>
      <c r="B755" s="8">
        <v>4561.0</v>
      </c>
      <c r="C755" s="8">
        <v>5891944.0</v>
      </c>
      <c r="D755" s="8">
        <v>5894769.0</v>
      </c>
      <c r="E755" s="9" t="s">
        <v>511</v>
      </c>
      <c r="F755" s="9"/>
      <c r="G755" s="9" t="s">
        <v>512</v>
      </c>
      <c r="H755" s="9" t="s">
        <v>345</v>
      </c>
      <c r="I755" s="8">
        <v>1950.0</v>
      </c>
      <c r="J755" s="9" t="s">
        <v>346</v>
      </c>
      <c r="K755" s="9" t="s">
        <v>391</v>
      </c>
      <c r="L755" s="9" t="s">
        <v>391</v>
      </c>
      <c r="M755" s="9" t="s">
        <v>2631</v>
      </c>
      <c r="N755" s="9" t="s">
        <v>35</v>
      </c>
      <c r="O755" s="9" t="s">
        <v>2632</v>
      </c>
      <c r="P755" s="9" t="s">
        <v>1316</v>
      </c>
    </row>
    <row r="756">
      <c r="A756" s="17" t="s">
        <v>342</v>
      </c>
      <c r="B756" s="8">
        <v>4566.0</v>
      </c>
      <c r="C756" s="8">
        <v>5907420.0</v>
      </c>
      <c r="D756" s="8">
        <v>5911238.0</v>
      </c>
      <c r="E756" s="9" t="s">
        <v>511</v>
      </c>
      <c r="F756" s="9"/>
      <c r="G756" s="9" t="s">
        <v>512</v>
      </c>
      <c r="H756" s="9" t="s">
        <v>345</v>
      </c>
      <c r="I756" s="8">
        <v>1950.0</v>
      </c>
      <c r="J756" s="9" t="s">
        <v>346</v>
      </c>
      <c r="K756" s="9" t="s">
        <v>391</v>
      </c>
      <c r="L756" s="9" t="s">
        <v>391</v>
      </c>
      <c r="M756" s="9" t="s">
        <v>2633</v>
      </c>
      <c r="N756" s="9" t="s">
        <v>35</v>
      </c>
      <c r="O756" s="9" t="s">
        <v>2634</v>
      </c>
      <c r="P756" s="9" t="s">
        <v>1300</v>
      </c>
    </row>
    <row r="757">
      <c r="A757" s="17" t="s">
        <v>342</v>
      </c>
      <c r="B757" s="8">
        <v>4581.0</v>
      </c>
      <c r="C757" s="8">
        <v>5978997.0</v>
      </c>
      <c r="D757" s="8">
        <v>5986022.0</v>
      </c>
      <c r="E757" s="9" t="s">
        <v>511</v>
      </c>
      <c r="F757" s="9"/>
      <c r="G757" s="9" t="s">
        <v>512</v>
      </c>
      <c r="H757" s="9" t="s">
        <v>345</v>
      </c>
      <c r="I757" s="8">
        <v>1950.0</v>
      </c>
      <c r="J757" s="9" t="s">
        <v>346</v>
      </c>
      <c r="K757" s="9" t="s">
        <v>391</v>
      </c>
      <c r="L757" s="9" t="s">
        <v>391</v>
      </c>
      <c r="M757" s="9" t="s">
        <v>2635</v>
      </c>
      <c r="N757" s="9" t="s">
        <v>35</v>
      </c>
      <c r="O757" s="9" t="s">
        <v>2636</v>
      </c>
      <c r="P757" s="9" t="s">
        <v>1316</v>
      </c>
    </row>
    <row r="758">
      <c r="A758" s="17" t="s">
        <v>342</v>
      </c>
      <c r="B758" s="8">
        <v>4589.0</v>
      </c>
      <c r="C758" s="8">
        <v>6026725.0</v>
      </c>
      <c r="D758" s="8">
        <v>6028425.0</v>
      </c>
      <c r="E758" s="9" t="s">
        <v>511</v>
      </c>
      <c r="F758" s="9"/>
      <c r="G758" s="9" t="s">
        <v>512</v>
      </c>
      <c r="H758" s="9" t="s">
        <v>345</v>
      </c>
      <c r="I758" s="8">
        <v>1950.0</v>
      </c>
      <c r="J758" s="9" t="s">
        <v>346</v>
      </c>
      <c r="K758" s="9" t="s">
        <v>391</v>
      </c>
      <c r="L758" s="9" t="s">
        <v>391</v>
      </c>
      <c r="M758" s="9" t="s">
        <v>2637</v>
      </c>
      <c r="N758" s="9" t="s">
        <v>35</v>
      </c>
      <c r="O758" s="9" t="s">
        <v>2638</v>
      </c>
      <c r="P758" s="9" t="s">
        <v>1296</v>
      </c>
    </row>
    <row r="759">
      <c r="A759" s="17" t="s">
        <v>342</v>
      </c>
      <c r="B759" s="8">
        <v>4591.0</v>
      </c>
      <c r="C759" s="8">
        <v>6034314.0</v>
      </c>
      <c r="D759" s="8">
        <v>6036064.0</v>
      </c>
      <c r="E759" s="9" t="s">
        <v>511</v>
      </c>
      <c r="F759" s="9"/>
      <c r="G759" s="9" t="s">
        <v>512</v>
      </c>
      <c r="H759" s="9" t="s">
        <v>345</v>
      </c>
      <c r="I759" s="8">
        <v>1950.0</v>
      </c>
      <c r="J759" s="9" t="s">
        <v>346</v>
      </c>
      <c r="K759" s="9" t="s">
        <v>391</v>
      </c>
      <c r="L759" s="9" t="s">
        <v>391</v>
      </c>
      <c r="M759" s="9" t="s">
        <v>2639</v>
      </c>
      <c r="N759" s="9" t="s">
        <v>45</v>
      </c>
      <c r="O759" s="9" t="s">
        <v>2640</v>
      </c>
      <c r="P759" s="9" t="s">
        <v>1388</v>
      </c>
    </row>
    <row r="760">
      <c r="A760" s="17" t="s">
        <v>342</v>
      </c>
      <c r="B760" s="8">
        <v>4592.0</v>
      </c>
      <c r="C760" s="8">
        <v>6036202.0</v>
      </c>
      <c r="D760" s="8">
        <v>6040577.0</v>
      </c>
      <c r="E760" s="9" t="s">
        <v>511</v>
      </c>
      <c r="F760" s="9"/>
      <c r="G760" s="9" t="s">
        <v>512</v>
      </c>
      <c r="H760" s="9" t="s">
        <v>345</v>
      </c>
      <c r="I760" s="8">
        <v>1950.0</v>
      </c>
      <c r="J760" s="9" t="s">
        <v>346</v>
      </c>
      <c r="K760" s="9" t="s">
        <v>391</v>
      </c>
      <c r="L760" s="9" t="s">
        <v>391</v>
      </c>
      <c r="M760" s="9" t="s">
        <v>2641</v>
      </c>
      <c r="N760" s="9" t="s">
        <v>35</v>
      </c>
      <c r="O760" s="9" t="s">
        <v>2642</v>
      </c>
      <c r="P760" s="9" t="s">
        <v>1316</v>
      </c>
    </row>
    <row r="761">
      <c r="A761" s="17" t="s">
        <v>342</v>
      </c>
      <c r="B761" s="8">
        <v>4592.0</v>
      </c>
      <c r="C761" s="8">
        <v>6036202.0</v>
      </c>
      <c r="D761" s="8">
        <v>6040577.0</v>
      </c>
      <c r="E761" s="9" t="s">
        <v>511</v>
      </c>
      <c r="F761" s="9"/>
      <c r="G761" s="9" t="s">
        <v>512</v>
      </c>
      <c r="H761" s="9" t="s">
        <v>345</v>
      </c>
      <c r="I761" s="8">
        <v>1950.0</v>
      </c>
      <c r="J761" s="9" t="s">
        <v>346</v>
      </c>
      <c r="K761" s="9" t="s">
        <v>391</v>
      </c>
      <c r="L761" s="9" t="s">
        <v>391</v>
      </c>
      <c r="M761" s="9" t="s">
        <v>2643</v>
      </c>
      <c r="N761" s="9" t="s">
        <v>35</v>
      </c>
      <c r="O761" s="9" t="s">
        <v>2644</v>
      </c>
      <c r="P761" s="9" t="s">
        <v>1298</v>
      </c>
    </row>
    <row r="762">
      <c r="A762" s="17" t="s">
        <v>342</v>
      </c>
      <c r="B762" s="8">
        <v>4592.0</v>
      </c>
      <c r="C762" s="8">
        <v>6036202.0</v>
      </c>
      <c r="D762" s="8">
        <v>6040577.0</v>
      </c>
      <c r="E762" s="9" t="s">
        <v>511</v>
      </c>
      <c r="F762" s="9"/>
      <c r="G762" s="9" t="s">
        <v>512</v>
      </c>
      <c r="H762" s="9" t="s">
        <v>345</v>
      </c>
      <c r="I762" s="8">
        <v>1950.0</v>
      </c>
      <c r="J762" s="9" t="s">
        <v>346</v>
      </c>
      <c r="K762" s="9" t="s">
        <v>391</v>
      </c>
      <c r="L762" s="9" t="s">
        <v>391</v>
      </c>
      <c r="M762" s="9" t="s">
        <v>2645</v>
      </c>
      <c r="N762" s="9" t="s">
        <v>35</v>
      </c>
      <c r="O762" s="9" t="s">
        <v>2646</v>
      </c>
      <c r="P762" s="9" t="s">
        <v>1316</v>
      </c>
    </row>
    <row r="763">
      <c r="A763" s="17" t="s">
        <v>342</v>
      </c>
      <c r="B763" s="8">
        <v>4595.0</v>
      </c>
      <c r="C763" s="8">
        <v>6061590.0</v>
      </c>
      <c r="D763" s="8">
        <v>6068365.0</v>
      </c>
      <c r="E763" s="9" t="s">
        <v>511</v>
      </c>
      <c r="F763" s="9"/>
      <c r="G763" s="9" t="s">
        <v>512</v>
      </c>
      <c r="H763" s="9" t="s">
        <v>345</v>
      </c>
      <c r="I763" s="8">
        <v>1950.0</v>
      </c>
      <c r="J763" s="9" t="s">
        <v>346</v>
      </c>
      <c r="K763" s="9" t="s">
        <v>391</v>
      </c>
      <c r="L763" s="9" t="s">
        <v>391</v>
      </c>
      <c r="M763" s="9" t="s">
        <v>2647</v>
      </c>
      <c r="N763" s="9" t="s">
        <v>35</v>
      </c>
      <c r="O763" s="9" t="s">
        <v>2648</v>
      </c>
      <c r="P763" s="9" t="s">
        <v>1316</v>
      </c>
    </row>
    <row r="764">
      <c r="A764" s="17" t="s">
        <v>342</v>
      </c>
      <c r="B764" s="8">
        <v>4619.0</v>
      </c>
      <c r="C764" s="8">
        <v>6174707.0</v>
      </c>
      <c r="D764" s="8">
        <v>6179507.0</v>
      </c>
      <c r="E764" s="9" t="s">
        <v>511</v>
      </c>
      <c r="F764" s="9"/>
      <c r="G764" s="9" t="s">
        <v>512</v>
      </c>
      <c r="H764" s="9" t="s">
        <v>345</v>
      </c>
      <c r="I764" s="8">
        <v>1950.0</v>
      </c>
      <c r="J764" s="9" t="s">
        <v>346</v>
      </c>
      <c r="K764" s="9" t="s">
        <v>391</v>
      </c>
      <c r="L764" s="9" t="s">
        <v>391</v>
      </c>
      <c r="M764" s="9" t="s">
        <v>2649</v>
      </c>
      <c r="N764" s="9" t="s">
        <v>35</v>
      </c>
      <c r="O764" s="9" t="s">
        <v>2650</v>
      </c>
      <c r="P764" s="9" t="s">
        <v>1296</v>
      </c>
    </row>
    <row r="765">
      <c r="A765" s="17" t="s">
        <v>342</v>
      </c>
      <c r="B765" s="8">
        <v>4642.0</v>
      </c>
      <c r="C765" s="8">
        <v>6248417.0</v>
      </c>
      <c r="D765" s="8">
        <v>6252604.0</v>
      </c>
      <c r="E765" s="9" t="s">
        <v>511</v>
      </c>
      <c r="F765" s="9"/>
      <c r="G765" s="9" t="s">
        <v>512</v>
      </c>
      <c r="H765" s="9" t="s">
        <v>345</v>
      </c>
      <c r="I765" s="8">
        <v>1950.0</v>
      </c>
      <c r="J765" s="9" t="s">
        <v>346</v>
      </c>
      <c r="K765" s="9" t="s">
        <v>391</v>
      </c>
      <c r="L765" s="9" t="s">
        <v>391</v>
      </c>
      <c r="M765" s="9" t="s">
        <v>2651</v>
      </c>
      <c r="N765" s="9" t="s">
        <v>35</v>
      </c>
      <c r="O765" s="9" t="s">
        <v>2652</v>
      </c>
      <c r="P765" s="9" t="s">
        <v>1296</v>
      </c>
    </row>
    <row r="766">
      <c r="A766" s="17" t="s">
        <v>342</v>
      </c>
      <c r="B766" s="8">
        <v>4663.0</v>
      </c>
      <c r="C766" s="8">
        <v>6331397.0</v>
      </c>
      <c r="D766" s="8">
        <v>6336275.0</v>
      </c>
      <c r="E766" s="9" t="s">
        <v>511</v>
      </c>
      <c r="F766" s="9"/>
      <c r="G766" s="9" t="s">
        <v>512</v>
      </c>
      <c r="H766" s="9" t="s">
        <v>345</v>
      </c>
      <c r="I766" s="8">
        <v>1950.0</v>
      </c>
      <c r="J766" s="9" t="s">
        <v>346</v>
      </c>
      <c r="K766" s="9" t="s">
        <v>391</v>
      </c>
      <c r="L766" s="9" t="s">
        <v>391</v>
      </c>
      <c r="M766" s="9" t="s">
        <v>2653</v>
      </c>
      <c r="N766" s="9" t="s">
        <v>35</v>
      </c>
      <c r="O766" s="9" t="s">
        <v>2654</v>
      </c>
      <c r="P766" s="9" t="s">
        <v>1296</v>
      </c>
    </row>
    <row r="767">
      <c r="A767" s="17" t="s">
        <v>342</v>
      </c>
      <c r="B767" s="8">
        <v>4664.0</v>
      </c>
      <c r="C767" s="8">
        <v>6336668.0</v>
      </c>
      <c r="D767" s="8">
        <v>6339943.0</v>
      </c>
      <c r="E767" s="9" t="s">
        <v>511</v>
      </c>
      <c r="F767" s="9"/>
      <c r="G767" s="9" t="s">
        <v>512</v>
      </c>
      <c r="H767" s="9" t="s">
        <v>345</v>
      </c>
      <c r="I767" s="8">
        <v>1950.0</v>
      </c>
      <c r="J767" s="9" t="s">
        <v>346</v>
      </c>
      <c r="K767" s="9" t="s">
        <v>391</v>
      </c>
      <c r="L767" s="9" t="s">
        <v>391</v>
      </c>
      <c r="M767" s="9" t="s">
        <v>2655</v>
      </c>
      <c r="N767" s="9" t="s">
        <v>35</v>
      </c>
      <c r="O767" s="9" t="s">
        <v>2656</v>
      </c>
      <c r="P767" s="9" t="s">
        <v>1296</v>
      </c>
    </row>
    <row r="768">
      <c r="A768" s="17" t="s">
        <v>342</v>
      </c>
      <c r="B768" s="8">
        <v>4665.0</v>
      </c>
      <c r="C768" s="8">
        <v>6340137.0</v>
      </c>
      <c r="D768" s="8">
        <v>6343099.0</v>
      </c>
      <c r="E768" s="9" t="s">
        <v>511</v>
      </c>
      <c r="F768" s="9"/>
      <c r="G768" s="9" t="s">
        <v>512</v>
      </c>
      <c r="H768" s="9" t="s">
        <v>345</v>
      </c>
      <c r="I768" s="8">
        <v>1950.0</v>
      </c>
      <c r="J768" s="9" t="s">
        <v>346</v>
      </c>
      <c r="K768" s="9" t="s">
        <v>391</v>
      </c>
      <c r="L768" s="9" t="s">
        <v>391</v>
      </c>
      <c r="M768" s="9" t="s">
        <v>2657</v>
      </c>
      <c r="N768" s="9" t="s">
        <v>35</v>
      </c>
      <c r="O768" s="9" t="s">
        <v>2658</v>
      </c>
      <c r="P768" s="9" t="s">
        <v>1296</v>
      </c>
    </row>
    <row r="769">
      <c r="A769" s="17" t="s">
        <v>342</v>
      </c>
      <c r="B769" s="8">
        <v>4673.0</v>
      </c>
      <c r="C769" s="8">
        <v>6367682.0</v>
      </c>
      <c r="D769" s="8">
        <v>6370844.0</v>
      </c>
      <c r="E769" s="9" t="s">
        <v>511</v>
      </c>
      <c r="F769" s="9"/>
      <c r="G769" s="9" t="s">
        <v>512</v>
      </c>
      <c r="H769" s="9" t="s">
        <v>345</v>
      </c>
      <c r="I769" s="8">
        <v>1950.0</v>
      </c>
      <c r="J769" s="9" t="s">
        <v>346</v>
      </c>
      <c r="K769" s="9" t="s">
        <v>391</v>
      </c>
      <c r="L769" s="9" t="s">
        <v>391</v>
      </c>
      <c r="M769" s="9" t="s">
        <v>2659</v>
      </c>
      <c r="N769" s="9" t="s">
        <v>35</v>
      </c>
      <c r="O769" s="9" t="s">
        <v>2660</v>
      </c>
      <c r="P769" s="9" t="s">
        <v>1296</v>
      </c>
    </row>
    <row r="770">
      <c r="A770" s="17" t="s">
        <v>342</v>
      </c>
      <c r="B770" s="8">
        <v>4684.0</v>
      </c>
      <c r="C770" s="8">
        <v>6399542.0</v>
      </c>
      <c r="D770" s="8">
        <v>6401479.0</v>
      </c>
      <c r="E770" s="9" t="s">
        <v>511</v>
      </c>
      <c r="F770" s="9"/>
      <c r="G770" s="9" t="s">
        <v>512</v>
      </c>
      <c r="H770" s="9" t="s">
        <v>345</v>
      </c>
      <c r="I770" s="8">
        <v>1950.0</v>
      </c>
      <c r="J770" s="9" t="s">
        <v>346</v>
      </c>
      <c r="K770" s="9" t="s">
        <v>391</v>
      </c>
      <c r="L770" s="9" t="s">
        <v>391</v>
      </c>
      <c r="M770" s="9" t="s">
        <v>2661</v>
      </c>
      <c r="N770" s="9" t="s">
        <v>35</v>
      </c>
      <c r="O770" s="9" t="s">
        <v>2662</v>
      </c>
      <c r="P770" s="9" t="s">
        <v>1296</v>
      </c>
    </row>
    <row r="771">
      <c r="A771" s="17" t="s">
        <v>342</v>
      </c>
      <c r="B771" s="8">
        <v>4688.0</v>
      </c>
      <c r="C771" s="8">
        <v>6408992.0</v>
      </c>
      <c r="D771" s="8">
        <v>6410817.0</v>
      </c>
      <c r="E771" s="9" t="s">
        <v>511</v>
      </c>
      <c r="F771" s="9"/>
      <c r="G771" s="9" t="s">
        <v>512</v>
      </c>
      <c r="H771" s="9" t="s">
        <v>345</v>
      </c>
      <c r="I771" s="8">
        <v>1950.0</v>
      </c>
      <c r="J771" s="9" t="s">
        <v>346</v>
      </c>
      <c r="K771" s="9" t="s">
        <v>391</v>
      </c>
      <c r="L771" s="9" t="s">
        <v>391</v>
      </c>
      <c r="M771" s="9"/>
      <c r="N771" s="9" t="s">
        <v>45</v>
      </c>
      <c r="O771" s="9" t="s">
        <v>2663</v>
      </c>
      <c r="P771" s="9" t="s">
        <v>1296</v>
      </c>
    </row>
    <row r="772">
      <c r="A772" s="17" t="s">
        <v>342</v>
      </c>
      <c r="B772" s="8">
        <v>4692.0</v>
      </c>
      <c r="C772" s="8">
        <v>6418624.0</v>
      </c>
      <c r="D772" s="8">
        <v>6422337.0</v>
      </c>
      <c r="E772" s="9" t="s">
        <v>511</v>
      </c>
      <c r="F772" s="9"/>
      <c r="G772" s="9" t="s">
        <v>512</v>
      </c>
      <c r="H772" s="9" t="s">
        <v>345</v>
      </c>
      <c r="I772" s="8">
        <v>1950.0</v>
      </c>
      <c r="J772" s="9" t="s">
        <v>346</v>
      </c>
      <c r="K772" s="9" t="s">
        <v>391</v>
      </c>
      <c r="L772" s="9" t="s">
        <v>391</v>
      </c>
      <c r="M772" s="9" t="s">
        <v>2664</v>
      </c>
      <c r="N772" s="9" t="s">
        <v>35</v>
      </c>
      <c r="O772" s="9" t="s">
        <v>2665</v>
      </c>
      <c r="P772" s="9" t="s">
        <v>1296</v>
      </c>
    </row>
    <row r="773">
      <c r="A773" s="17" t="s">
        <v>342</v>
      </c>
      <c r="B773" s="8">
        <v>4703.0</v>
      </c>
      <c r="C773" s="8">
        <v>6454312.0</v>
      </c>
      <c r="D773" s="8">
        <v>6455487.0</v>
      </c>
      <c r="E773" s="9" t="s">
        <v>511</v>
      </c>
      <c r="F773" s="9"/>
      <c r="G773" s="9" t="s">
        <v>512</v>
      </c>
      <c r="H773" s="9" t="s">
        <v>345</v>
      </c>
      <c r="I773" s="8">
        <v>1950.0</v>
      </c>
      <c r="J773" s="9" t="s">
        <v>346</v>
      </c>
      <c r="K773" s="9" t="s">
        <v>391</v>
      </c>
      <c r="L773" s="9" t="s">
        <v>391</v>
      </c>
      <c r="M773" s="9" t="s">
        <v>2666</v>
      </c>
      <c r="N773" s="9" t="s">
        <v>35</v>
      </c>
      <c r="O773" s="9" t="s">
        <v>2667</v>
      </c>
      <c r="P773" s="9" t="s">
        <v>1296</v>
      </c>
    </row>
    <row r="774">
      <c r="A774" s="17" t="s">
        <v>342</v>
      </c>
      <c r="B774" s="8">
        <v>4707.0</v>
      </c>
      <c r="C774" s="8">
        <v>6465718.0</v>
      </c>
      <c r="D774" s="8">
        <v>6468593.0</v>
      </c>
      <c r="E774" s="9" t="s">
        <v>511</v>
      </c>
      <c r="F774" s="9"/>
      <c r="G774" s="9" t="s">
        <v>512</v>
      </c>
      <c r="H774" s="9" t="s">
        <v>345</v>
      </c>
      <c r="I774" s="8">
        <v>1950.0</v>
      </c>
      <c r="J774" s="9" t="s">
        <v>346</v>
      </c>
      <c r="K774" s="9" t="s">
        <v>391</v>
      </c>
      <c r="L774" s="9" t="s">
        <v>391</v>
      </c>
      <c r="M774" s="9"/>
      <c r="N774" s="9" t="s">
        <v>45</v>
      </c>
      <c r="O774" s="9" t="s">
        <v>2668</v>
      </c>
      <c r="P774" s="9" t="s">
        <v>1388</v>
      </c>
    </row>
    <row r="775">
      <c r="A775" s="17" t="s">
        <v>342</v>
      </c>
      <c r="B775" s="8">
        <v>4720.0</v>
      </c>
      <c r="C775" s="8">
        <v>6512946.0</v>
      </c>
      <c r="D775" s="8">
        <v>6517162.0</v>
      </c>
      <c r="E775" s="9" t="s">
        <v>511</v>
      </c>
      <c r="F775" s="9"/>
      <c r="G775" s="9" t="s">
        <v>512</v>
      </c>
      <c r="H775" s="9" t="s">
        <v>345</v>
      </c>
      <c r="I775" s="8">
        <v>1950.0</v>
      </c>
      <c r="J775" s="9" t="s">
        <v>346</v>
      </c>
      <c r="K775" s="9" t="s">
        <v>391</v>
      </c>
      <c r="L775" s="9" t="s">
        <v>391</v>
      </c>
      <c r="M775" s="9" t="s">
        <v>2669</v>
      </c>
      <c r="N775" s="9" t="s">
        <v>35</v>
      </c>
      <c r="O775" s="9" t="s">
        <v>2670</v>
      </c>
      <c r="P775" s="9" t="s">
        <v>1296</v>
      </c>
    </row>
    <row r="776">
      <c r="A776" s="17" t="s">
        <v>342</v>
      </c>
      <c r="B776" s="8">
        <v>4735.0</v>
      </c>
      <c r="C776" s="8">
        <v>6573650.0</v>
      </c>
      <c r="D776" s="8">
        <v>6576650.0</v>
      </c>
      <c r="E776" s="9" t="s">
        <v>511</v>
      </c>
      <c r="F776" s="9"/>
      <c r="G776" s="9" t="s">
        <v>512</v>
      </c>
      <c r="H776" s="9" t="s">
        <v>345</v>
      </c>
      <c r="I776" s="8">
        <v>1950.0</v>
      </c>
      <c r="J776" s="9" t="s">
        <v>346</v>
      </c>
      <c r="K776" s="9" t="s">
        <v>391</v>
      </c>
      <c r="L776" s="9" t="s">
        <v>391</v>
      </c>
      <c r="M776" s="9" t="s">
        <v>2671</v>
      </c>
      <c r="N776" s="9" t="s">
        <v>35</v>
      </c>
      <c r="O776" s="9" t="s">
        <v>2672</v>
      </c>
      <c r="P776" s="9" t="s">
        <v>1296</v>
      </c>
    </row>
    <row r="777">
      <c r="A777" s="17" t="s">
        <v>342</v>
      </c>
      <c r="B777" s="8">
        <v>4779.0</v>
      </c>
      <c r="C777" s="8">
        <v>6734249.0</v>
      </c>
      <c r="D777" s="8">
        <v>6738311.0</v>
      </c>
      <c r="E777" s="9" t="s">
        <v>511</v>
      </c>
      <c r="F777" s="9"/>
      <c r="G777" s="9" t="s">
        <v>512</v>
      </c>
      <c r="H777" s="9" t="s">
        <v>345</v>
      </c>
      <c r="I777" s="8">
        <v>1950.0</v>
      </c>
      <c r="J777" s="9" t="s">
        <v>346</v>
      </c>
      <c r="K777" s="9" t="s">
        <v>391</v>
      </c>
      <c r="L777" s="9" t="s">
        <v>391</v>
      </c>
      <c r="M777" s="9" t="s">
        <v>2673</v>
      </c>
      <c r="N777" s="9"/>
      <c r="O777" s="9"/>
      <c r="P777" s="9" t="s">
        <v>1296</v>
      </c>
    </row>
    <row r="778">
      <c r="A778" s="17" t="s">
        <v>342</v>
      </c>
      <c r="B778" s="8">
        <v>4798.0</v>
      </c>
      <c r="C778" s="8">
        <v>6806205.0</v>
      </c>
      <c r="D778" s="8">
        <v>6811192.0</v>
      </c>
      <c r="E778" s="9" t="s">
        <v>511</v>
      </c>
      <c r="F778" s="9"/>
      <c r="G778" s="9" t="s">
        <v>512</v>
      </c>
      <c r="H778" s="9" t="s">
        <v>345</v>
      </c>
      <c r="I778" s="8">
        <v>1950.0</v>
      </c>
      <c r="J778" s="9" t="s">
        <v>346</v>
      </c>
      <c r="K778" s="9" t="s">
        <v>391</v>
      </c>
      <c r="L778" s="9" t="s">
        <v>391</v>
      </c>
      <c r="M778" s="9" t="s">
        <v>2674</v>
      </c>
      <c r="N778" s="9" t="s">
        <v>35</v>
      </c>
      <c r="O778" s="9" t="s">
        <v>2675</v>
      </c>
      <c r="P778" s="9" t="s">
        <v>1296</v>
      </c>
    </row>
    <row r="779">
      <c r="A779" s="17" t="s">
        <v>342</v>
      </c>
      <c r="B779" s="8">
        <v>4801.0</v>
      </c>
      <c r="C779" s="8">
        <v>6818918.0</v>
      </c>
      <c r="D779" s="8">
        <v>6823706.0</v>
      </c>
      <c r="E779" s="9" t="s">
        <v>511</v>
      </c>
      <c r="F779" s="9"/>
      <c r="G779" s="9" t="s">
        <v>512</v>
      </c>
      <c r="H779" s="9" t="s">
        <v>345</v>
      </c>
      <c r="I779" s="8">
        <v>1950.0</v>
      </c>
      <c r="J779" s="9" t="s">
        <v>346</v>
      </c>
      <c r="K779" s="9" t="s">
        <v>391</v>
      </c>
      <c r="L779" s="9" t="s">
        <v>391</v>
      </c>
      <c r="M779" s="9" t="s">
        <v>2676</v>
      </c>
      <c r="N779" s="9" t="s">
        <v>35</v>
      </c>
      <c r="O779" s="9" t="s">
        <v>2677</v>
      </c>
      <c r="P779" s="9" t="s">
        <v>1296</v>
      </c>
    </row>
    <row r="780">
      <c r="A780" s="17" t="s">
        <v>342</v>
      </c>
      <c r="B780" s="8">
        <v>4808.0</v>
      </c>
      <c r="C780" s="8">
        <v>6845388.0</v>
      </c>
      <c r="D780" s="8">
        <v>6849326.0</v>
      </c>
      <c r="E780" s="9" t="s">
        <v>511</v>
      </c>
      <c r="F780" s="9"/>
      <c r="G780" s="9" t="s">
        <v>512</v>
      </c>
      <c r="H780" s="9" t="s">
        <v>345</v>
      </c>
      <c r="I780" s="8">
        <v>1950.0</v>
      </c>
      <c r="J780" s="9" t="s">
        <v>346</v>
      </c>
      <c r="K780" s="9" t="s">
        <v>391</v>
      </c>
      <c r="L780" s="9" t="s">
        <v>391</v>
      </c>
      <c r="M780" s="9" t="s">
        <v>2678</v>
      </c>
      <c r="N780" s="9" t="s">
        <v>35</v>
      </c>
      <c r="O780" s="9" t="s">
        <v>2679</v>
      </c>
      <c r="P780" s="9" t="s">
        <v>1296</v>
      </c>
    </row>
    <row r="781">
      <c r="A781" s="17" t="s">
        <v>342</v>
      </c>
      <c r="B781" s="8">
        <v>4851.0</v>
      </c>
      <c r="C781" s="8">
        <v>7017586.0</v>
      </c>
      <c r="D781" s="8">
        <v>7023973.0</v>
      </c>
      <c r="E781" s="9" t="s">
        <v>511</v>
      </c>
      <c r="F781" s="9"/>
      <c r="G781" s="9" t="s">
        <v>512</v>
      </c>
      <c r="H781" s="9" t="s">
        <v>345</v>
      </c>
      <c r="I781" s="8">
        <v>1950.0</v>
      </c>
      <c r="J781" s="9" t="s">
        <v>346</v>
      </c>
      <c r="K781" s="9" t="s">
        <v>391</v>
      </c>
      <c r="L781" s="9" t="s">
        <v>391</v>
      </c>
      <c r="M781" s="9" t="s">
        <v>2680</v>
      </c>
      <c r="N781" s="9" t="s">
        <v>35</v>
      </c>
      <c r="O781" s="9" t="s">
        <v>2681</v>
      </c>
      <c r="P781" s="9" t="s">
        <v>1296</v>
      </c>
    </row>
    <row r="782">
      <c r="A782" s="17" t="s">
        <v>342</v>
      </c>
      <c r="B782" s="8">
        <v>4853.0</v>
      </c>
      <c r="C782" s="8">
        <v>7026792.0</v>
      </c>
      <c r="D782" s="8">
        <v>7030042.0</v>
      </c>
      <c r="E782" s="9" t="s">
        <v>511</v>
      </c>
      <c r="F782" s="9"/>
      <c r="G782" s="9" t="s">
        <v>512</v>
      </c>
      <c r="H782" s="9" t="s">
        <v>345</v>
      </c>
      <c r="I782" s="8">
        <v>1950.0</v>
      </c>
      <c r="J782" s="9" t="s">
        <v>346</v>
      </c>
      <c r="K782" s="9" t="s">
        <v>391</v>
      </c>
      <c r="L782" s="9" t="s">
        <v>391</v>
      </c>
      <c r="M782" s="9" t="s">
        <v>2682</v>
      </c>
      <c r="N782" s="9" t="s">
        <v>45</v>
      </c>
      <c r="O782" s="9" t="s">
        <v>2683</v>
      </c>
      <c r="P782" s="9" t="s">
        <v>1296</v>
      </c>
    </row>
    <row r="783">
      <c r="A783" s="17" t="s">
        <v>342</v>
      </c>
      <c r="B783" s="8">
        <v>4870.0</v>
      </c>
      <c r="C783" s="8">
        <v>7092558.0</v>
      </c>
      <c r="D783" s="8">
        <v>7094614.0</v>
      </c>
      <c r="E783" s="9" t="s">
        <v>511</v>
      </c>
      <c r="F783" s="9"/>
      <c r="G783" s="9" t="s">
        <v>512</v>
      </c>
      <c r="H783" s="9" t="s">
        <v>345</v>
      </c>
      <c r="I783" s="8">
        <v>1950.0</v>
      </c>
      <c r="J783" s="9" t="s">
        <v>346</v>
      </c>
      <c r="K783" s="9" t="s">
        <v>391</v>
      </c>
      <c r="L783" s="9" t="s">
        <v>391</v>
      </c>
      <c r="M783" s="9" t="s">
        <v>2684</v>
      </c>
      <c r="N783" s="9" t="s">
        <v>35</v>
      </c>
      <c r="O783" s="9" t="s">
        <v>2685</v>
      </c>
      <c r="P783" s="9" t="s">
        <v>1296</v>
      </c>
    </row>
    <row r="784">
      <c r="A784" s="17" t="s">
        <v>342</v>
      </c>
      <c r="B784" s="8">
        <v>4870.0</v>
      </c>
      <c r="C784" s="8">
        <v>7092558.0</v>
      </c>
      <c r="D784" s="8">
        <v>7094614.0</v>
      </c>
      <c r="E784" s="9" t="s">
        <v>511</v>
      </c>
      <c r="F784" s="9"/>
      <c r="G784" s="9" t="s">
        <v>512</v>
      </c>
      <c r="H784" s="9" t="s">
        <v>345</v>
      </c>
      <c r="I784" s="8">
        <v>1950.0</v>
      </c>
      <c r="J784" s="9" t="s">
        <v>346</v>
      </c>
      <c r="K784" s="9" t="s">
        <v>391</v>
      </c>
      <c r="L784" s="9" t="s">
        <v>391</v>
      </c>
      <c r="M784" s="9" t="s">
        <v>2686</v>
      </c>
      <c r="N784" s="9" t="s">
        <v>35</v>
      </c>
      <c r="O784" s="9" t="s">
        <v>2355</v>
      </c>
      <c r="P784" s="9" t="s">
        <v>1296</v>
      </c>
    </row>
    <row r="785">
      <c r="A785" s="17" t="s">
        <v>342</v>
      </c>
      <c r="B785" s="8">
        <v>4873.0</v>
      </c>
      <c r="C785" s="8">
        <v>7102600.0</v>
      </c>
      <c r="D785" s="8">
        <v>7109843.0</v>
      </c>
      <c r="E785" s="9" t="s">
        <v>511</v>
      </c>
      <c r="F785" s="9"/>
      <c r="G785" s="9" t="s">
        <v>512</v>
      </c>
      <c r="H785" s="9" t="s">
        <v>345</v>
      </c>
      <c r="I785" s="8">
        <v>1950.0</v>
      </c>
      <c r="J785" s="9" t="s">
        <v>346</v>
      </c>
      <c r="K785" s="9" t="s">
        <v>391</v>
      </c>
      <c r="L785" s="9" t="s">
        <v>391</v>
      </c>
      <c r="M785" s="9" t="s">
        <v>2687</v>
      </c>
      <c r="N785" s="9" t="s">
        <v>35</v>
      </c>
      <c r="O785" s="9" t="s">
        <v>2688</v>
      </c>
      <c r="P785" s="9" t="s">
        <v>1296</v>
      </c>
    </row>
    <row r="786">
      <c r="A786" s="17" t="s">
        <v>342</v>
      </c>
      <c r="B786" s="8">
        <v>4874.0</v>
      </c>
      <c r="C786" s="8">
        <v>7110666.0</v>
      </c>
      <c r="D786" s="8">
        <v>7113972.0</v>
      </c>
      <c r="E786" s="9" t="s">
        <v>511</v>
      </c>
      <c r="F786" s="9"/>
      <c r="G786" s="9" t="s">
        <v>512</v>
      </c>
      <c r="H786" s="9" t="s">
        <v>345</v>
      </c>
      <c r="I786" s="8">
        <v>1950.0</v>
      </c>
      <c r="J786" s="9" t="s">
        <v>346</v>
      </c>
      <c r="K786" s="9" t="s">
        <v>391</v>
      </c>
      <c r="L786" s="9" t="s">
        <v>391</v>
      </c>
      <c r="M786" s="9" t="s">
        <v>2689</v>
      </c>
      <c r="N786" s="9" t="s">
        <v>35</v>
      </c>
      <c r="O786" s="9" t="s">
        <v>2690</v>
      </c>
      <c r="P786" s="9" t="s">
        <v>1296</v>
      </c>
    </row>
    <row r="787">
      <c r="A787" s="17" t="s">
        <v>342</v>
      </c>
      <c r="B787" s="8">
        <v>4892.0</v>
      </c>
      <c r="C787" s="8">
        <v>7183585.0</v>
      </c>
      <c r="D787" s="8">
        <v>7185985.0</v>
      </c>
      <c r="E787" s="9" t="s">
        <v>511</v>
      </c>
      <c r="F787" s="9"/>
      <c r="G787" s="9" t="s">
        <v>512</v>
      </c>
      <c r="H787" s="9" t="s">
        <v>345</v>
      </c>
      <c r="I787" s="8">
        <v>1950.0</v>
      </c>
      <c r="J787" s="9" t="s">
        <v>346</v>
      </c>
      <c r="K787" s="9" t="s">
        <v>391</v>
      </c>
      <c r="L787" s="9" t="s">
        <v>391</v>
      </c>
      <c r="M787" s="9" t="s">
        <v>2691</v>
      </c>
      <c r="N787" s="9" t="s">
        <v>35</v>
      </c>
      <c r="O787" s="9" t="s">
        <v>2692</v>
      </c>
      <c r="P787" s="9" t="s">
        <v>1296</v>
      </c>
    </row>
    <row r="788">
      <c r="A788" s="17" t="s">
        <v>342</v>
      </c>
      <c r="B788" s="8">
        <v>4894.0</v>
      </c>
      <c r="C788" s="8">
        <v>7203420.0</v>
      </c>
      <c r="D788" s="8">
        <v>7211172.0</v>
      </c>
      <c r="E788" s="9" t="s">
        <v>511</v>
      </c>
      <c r="F788" s="9"/>
      <c r="G788" s="9" t="s">
        <v>512</v>
      </c>
      <c r="H788" s="9" t="s">
        <v>345</v>
      </c>
      <c r="I788" s="8">
        <v>1950.0</v>
      </c>
      <c r="J788" s="9" t="s">
        <v>346</v>
      </c>
      <c r="K788" s="9" t="s">
        <v>391</v>
      </c>
      <c r="L788" s="9" t="s">
        <v>391</v>
      </c>
      <c r="M788" s="9" t="s">
        <v>2693</v>
      </c>
      <c r="N788" s="9" t="s">
        <v>35</v>
      </c>
      <c r="O788" s="9" t="s">
        <v>2694</v>
      </c>
      <c r="P788" s="9" t="s">
        <v>1947</v>
      </c>
    </row>
    <row r="789">
      <c r="A789" s="17" t="s">
        <v>342</v>
      </c>
      <c r="B789" s="8">
        <v>4895.0</v>
      </c>
      <c r="C789" s="8">
        <v>7211526.0</v>
      </c>
      <c r="D789" s="8">
        <v>7217512.0</v>
      </c>
      <c r="E789" s="9" t="s">
        <v>511</v>
      </c>
      <c r="F789" s="9"/>
      <c r="G789" s="9" t="s">
        <v>512</v>
      </c>
      <c r="H789" s="9" t="s">
        <v>345</v>
      </c>
      <c r="I789" s="8">
        <v>1950.0</v>
      </c>
      <c r="J789" s="9" t="s">
        <v>346</v>
      </c>
      <c r="K789" s="9" t="s">
        <v>391</v>
      </c>
      <c r="L789" s="9" t="s">
        <v>391</v>
      </c>
      <c r="M789" s="9" t="s">
        <v>2695</v>
      </c>
      <c r="N789" s="9" t="s">
        <v>35</v>
      </c>
      <c r="O789" s="9" t="s">
        <v>2696</v>
      </c>
      <c r="P789" s="9" t="s">
        <v>1316</v>
      </c>
    </row>
    <row r="790">
      <c r="A790" s="17" t="s">
        <v>342</v>
      </c>
      <c r="B790" s="8">
        <v>4903.0</v>
      </c>
      <c r="C790" s="8">
        <v>7250964.0</v>
      </c>
      <c r="D790" s="8">
        <v>7253993.0</v>
      </c>
      <c r="E790" s="9" t="s">
        <v>511</v>
      </c>
      <c r="F790" s="9"/>
      <c r="G790" s="9" t="s">
        <v>512</v>
      </c>
      <c r="H790" s="9" t="s">
        <v>345</v>
      </c>
      <c r="I790" s="8">
        <v>1950.0</v>
      </c>
      <c r="J790" s="9" t="s">
        <v>346</v>
      </c>
      <c r="K790" s="9" t="s">
        <v>391</v>
      </c>
      <c r="L790" s="9" t="s">
        <v>391</v>
      </c>
      <c r="M790" s="9" t="s">
        <v>2697</v>
      </c>
      <c r="N790" s="9" t="s">
        <v>35</v>
      </c>
      <c r="O790" s="9" t="s">
        <v>2698</v>
      </c>
      <c r="P790" s="9" t="s">
        <v>1296</v>
      </c>
    </row>
    <row r="791">
      <c r="A791" s="17" t="s">
        <v>342</v>
      </c>
      <c r="B791" s="8">
        <v>4906.0</v>
      </c>
      <c r="C791" s="8">
        <v>7265628.0</v>
      </c>
      <c r="D791" s="8">
        <v>7270828.0</v>
      </c>
      <c r="E791" s="9" t="s">
        <v>511</v>
      </c>
      <c r="F791" s="9"/>
      <c r="G791" s="9" t="s">
        <v>512</v>
      </c>
      <c r="H791" s="9" t="s">
        <v>345</v>
      </c>
      <c r="I791" s="8">
        <v>1950.0</v>
      </c>
      <c r="J791" s="9" t="s">
        <v>346</v>
      </c>
      <c r="K791" s="9" t="s">
        <v>391</v>
      </c>
      <c r="L791" s="9" t="s">
        <v>391</v>
      </c>
      <c r="M791" s="9" t="s">
        <v>2699</v>
      </c>
      <c r="N791" s="9" t="s">
        <v>35</v>
      </c>
      <c r="O791" s="9" t="s">
        <v>2700</v>
      </c>
      <c r="P791" s="9" t="s">
        <v>1296</v>
      </c>
    </row>
    <row r="792">
      <c r="A792" s="17" t="s">
        <v>342</v>
      </c>
      <c r="B792" s="8">
        <v>4926.0</v>
      </c>
      <c r="C792" s="8">
        <v>30290.0</v>
      </c>
      <c r="D792" s="8">
        <v>35520.0</v>
      </c>
      <c r="E792" s="9" t="s">
        <v>577</v>
      </c>
      <c r="F792" s="9"/>
      <c r="G792" s="9" t="s">
        <v>578</v>
      </c>
      <c r="H792" s="9" t="s">
        <v>377</v>
      </c>
      <c r="I792" s="8">
        <v>1954.0</v>
      </c>
      <c r="J792" s="9" t="s">
        <v>346</v>
      </c>
      <c r="K792" s="9" t="s">
        <v>43</v>
      </c>
      <c r="L792" s="9" t="s">
        <v>43</v>
      </c>
      <c r="M792" s="9" t="s">
        <v>2701</v>
      </c>
      <c r="N792" s="9" t="s">
        <v>35</v>
      </c>
      <c r="O792" s="9" t="s">
        <v>2702</v>
      </c>
      <c r="P792" s="9" t="s">
        <v>1296</v>
      </c>
    </row>
    <row r="793">
      <c r="A793" s="17" t="s">
        <v>342</v>
      </c>
      <c r="B793" s="8">
        <v>4974.0</v>
      </c>
      <c r="C793" s="8">
        <v>227484.0</v>
      </c>
      <c r="D793" s="8">
        <v>230657.0</v>
      </c>
      <c r="E793" s="9" t="s">
        <v>577</v>
      </c>
      <c r="F793" s="9"/>
      <c r="G793" s="9" t="s">
        <v>578</v>
      </c>
      <c r="H793" s="9" t="s">
        <v>377</v>
      </c>
      <c r="I793" s="8">
        <v>1954.0</v>
      </c>
      <c r="J793" s="9" t="s">
        <v>346</v>
      </c>
      <c r="K793" s="9" t="s">
        <v>43</v>
      </c>
      <c r="L793" s="9" t="s">
        <v>43</v>
      </c>
      <c r="M793" s="9" t="s">
        <v>2703</v>
      </c>
      <c r="N793" s="9" t="s">
        <v>35</v>
      </c>
      <c r="O793" s="9" t="s">
        <v>2704</v>
      </c>
      <c r="P793" s="9" t="s">
        <v>1296</v>
      </c>
    </row>
    <row r="794">
      <c r="A794" s="17" t="s">
        <v>342</v>
      </c>
      <c r="B794" s="8">
        <v>4979.0</v>
      </c>
      <c r="C794" s="8">
        <v>244991.0</v>
      </c>
      <c r="D794" s="8">
        <v>249386.0</v>
      </c>
      <c r="E794" s="9" t="s">
        <v>577</v>
      </c>
      <c r="F794" s="9"/>
      <c r="G794" s="9" t="s">
        <v>578</v>
      </c>
      <c r="H794" s="9" t="s">
        <v>377</v>
      </c>
      <c r="I794" s="8">
        <v>1954.0</v>
      </c>
      <c r="J794" s="9" t="s">
        <v>346</v>
      </c>
      <c r="K794" s="9" t="s">
        <v>43</v>
      </c>
      <c r="L794" s="9" t="s">
        <v>43</v>
      </c>
      <c r="M794" s="9" t="s">
        <v>2705</v>
      </c>
      <c r="N794" s="9" t="s">
        <v>35</v>
      </c>
      <c r="O794" s="9" t="s">
        <v>2706</v>
      </c>
      <c r="P794" s="9" t="s">
        <v>1296</v>
      </c>
    </row>
    <row r="795">
      <c r="A795" s="17" t="s">
        <v>342</v>
      </c>
      <c r="B795" s="8">
        <v>4979.0</v>
      </c>
      <c r="C795" s="8">
        <v>244991.0</v>
      </c>
      <c r="D795" s="8">
        <v>249386.0</v>
      </c>
      <c r="E795" s="9" t="s">
        <v>577</v>
      </c>
      <c r="F795" s="9"/>
      <c r="G795" s="9" t="s">
        <v>578</v>
      </c>
      <c r="H795" s="9" t="s">
        <v>377</v>
      </c>
      <c r="I795" s="8">
        <v>1954.0</v>
      </c>
      <c r="J795" s="9" t="s">
        <v>346</v>
      </c>
      <c r="K795" s="9" t="s">
        <v>43</v>
      </c>
      <c r="L795" s="9" t="s">
        <v>43</v>
      </c>
      <c r="M795" s="9" t="s">
        <v>2707</v>
      </c>
      <c r="N795" s="9" t="s">
        <v>35</v>
      </c>
      <c r="O795" s="9" t="s">
        <v>2708</v>
      </c>
      <c r="P795" s="9" t="s">
        <v>1296</v>
      </c>
    </row>
    <row r="796">
      <c r="A796" s="17" t="s">
        <v>342</v>
      </c>
      <c r="B796" s="8">
        <v>4981.0</v>
      </c>
      <c r="C796" s="8">
        <v>260317.0</v>
      </c>
      <c r="D796" s="8">
        <v>263860.0</v>
      </c>
      <c r="E796" s="9" t="s">
        <v>577</v>
      </c>
      <c r="F796" s="9"/>
      <c r="G796" s="9" t="s">
        <v>578</v>
      </c>
      <c r="H796" s="9" t="s">
        <v>377</v>
      </c>
      <c r="I796" s="8">
        <v>1954.0</v>
      </c>
      <c r="J796" s="9" t="s">
        <v>346</v>
      </c>
      <c r="K796" s="9" t="s">
        <v>43</v>
      </c>
      <c r="L796" s="9" t="s">
        <v>43</v>
      </c>
      <c r="M796" s="9" t="s">
        <v>2709</v>
      </c>
      <c r="N796" s="9" t="s">
        <v>35</v>
      </c>
      <c r="O796" s="9" t="s">
        <v>2710</v>
      </c>
      <c r="P796" s="9" t="s">
        <v>1316</v>
      </c>
    </row>
    <row r="797">
      <c r="A797" s="17" t="s">
        <v>342</v>
      </c>
      <c r="B797" s="8">
        <v>5016.0</v>
      </c>
      <c r="C797" s="8">
        <v>462751.0</v>
      </c>
      <c r="D797" s="8">
        <v>464702.0</v>
      </c>
      <c r="E797" s="9" t="s">
        <v>577</v>
      </c>
      <c r="F797" s="9"/>
      <c r="G797" s="9" t="s">
        <v>578</v>
      </c>
      <c r="H797" s="9" t="s">
        <v>377</v>
      </c>
      <c r="I797" s="8">
        <v>1954.0</v>
      </c>
      <c r="J797" s="9" t="s">
        <v>346</v>
      </c>
      <c r="K797" s="9" t="s">
        <v>43</v>
      </c>
      <c r="L797" s="9" t="s">
        <v>43</v>
      </c>
      <c r="M797" s="9" t="s">
        <v>2711</v>
      </c>
      <c r="N797" s="9" t="s">
        <v>35</v>
      </c>
      <c r="O797" s="9" t="s">
        <v>2712</v>
      </c>
      <c r="P797" s="9" t="s">
        <v>1296</v>
      </c>
    </row>
    <row r="798">
      <c r="A798" s="17" t="s">
        <v>342</v>
      </c>
      <c r="B798" s="8">
        <v>5032.0</v>
      </c>
      <c r="C798" s="8">
        <v>534531.0</v>
      </c>
      <c r="D798" s="8">
        <v>536284.0</v>
      </c>
      <c r="E798" s="9" t="s">
        <v>577</v>
      </c>
      <c r="F798" s="9"/>
      <c r="G798" s="9" t="s">
        <v>578</v>
      </c>
      <c r="H798" s="9" t="s">
        <v>377</v>
      </c>
      <c r="I798" s="8">
        <v>1954.0</v>
      </c>
      <c r="J798" s="9" t="s">
        <v>346</v>
      </c>
      <c r="K798" s="9" t="s">
        <v>43</v>
      </c>
      <c r="L798" s="9" t="s">
        <v>43</v>
      </c>
      <c r="M798" s="9" t="s">
        <v>2713</v>
      </c>
      <c r="N798" s="9" t="s">
        <v>35</v>
      </c>
      <c r="O798" s="9" t="s">
        <v>2714</v>
      </c>
      <c r="P798" s="9" t="s">
        <v>1316</v>
      </c>
    </row>
    <row r="799">
      <c r="A799" s="17" t="s">
        <v>342</v>
      </c>
      <c r="B799" s="8">
        <v>5037.0</v>
      </c>
      <c r="C799" s="8">
        <v>554723.0</v>
      </c>
      <c r="D799" s="8">
        <v>560587.0</v>
      </c>
      <c r="E799" s="9" t="s">
        <v>577</v>
      </c>
      <c r="F799" s="9"/>
      <c r="G799" s="9" t="s">
        <v>578</v>
      </c>
      <c r="H799" s="9" t="s">
        <v>377</v>
      </c>
      <c r="I799" s="8">
        <v>1954.0</v>
      </c>
      <c r="J799" s="9" t="s">
        <v>346</v>
      </c>
      <c r="K799" s="9" t="s">
        <v>43</v>
      </c>
      <c r="L799" s="9" t="s">
        <v>43</v>
      </c>
      <c r="M799" s="9" t="s">
        <v>2715</v>
      </c>
      <c r="N799" s="9" t="s">
        <v>35</v>
      </c>
      <c r="O799" s="9" t="s">
        <v>2716</v>
      </c>
      <c r="P799" s="9" t="s">
        <v>1296</v>
      </c>
    </row>
    <row r="800">
      <c r="A800" s="17" t="s">
        <v>342</v>
      </c>
      <c r="B800" s="8">
        <v>5065.0</v>
      </c>
      <c r="C800" s="8">
        <v>715327.0</v>
      </c>
      <c r="D800" s="8">
        <v>716369.0</v>
      </c>
      <c r="E800" s="9" t="s">
        <v>577</v>
      </c>
      <c r="F800" s="9"/>
      <c r="G800" s="9" t="s">
        <v>578</v>
      </c>
      <c r="H800" s="9" t="s">
        <v>377</v>
      </c>
      <c r="I800" s="8">
        <v>1954.0</v>
      </c>
      <c r="J800" s="9" t="s">
        <v>346</v>
      </c>
      <c r="K800" s="9" t="s">
        <v>43</v>
      </c>
      <c r="L800" s="9" t="s">
        <v>43</v>
      </c>
      <c r="M800" s="9"/>
      <c r="N800" s="9" t="s">
        <v>45</v>
      </c>
      <c r="O800" s="9" t="s">
        <v>2717</v>
      </c>
      <c r="P800" s="9" t="s">
        <v>1296</v>
      </c>
    </row>
    <row r="801">
      <c r="A801" s="17" t="s">
        <v>342</v>
      </c>
      <c r="B801" s="8">
        <v>5077.0</v>
      </c>
      <c r="C801" s="8">
        <v>771956.0</v>
      </c>
      <c r="D801" s="8">
        <v>776280.0</v>
      </c>
      <c r="E801" s="9" t="s">
        <v>577</v>
      </c>
      <c r="F801" s="9"/>
      <c r="G801" s="9" t="s">
        <v>578</v>
      </c>
      <c r="H801" s="9" t="s">
        <v>377</v>
      </c>
      <c r="I801" s="8">
        <v>1954.0</v>
      </c>
      <c r="J801" s="9" t="s">
        <v>346</v>
      </c>
      <c r="K801" s="9" t="s">
        <v>43</v>
      </c>
      <c r="L801" s="9" t="s">
        <v>43</v>
      </c>
      <c r="M801" s="9" t="s">
        <v>2718</v>
      </c>
      <c r="N801" s="9" t="s">
        <v>35</v>
      </c>
      <c r="O801" s="9" t="s">
        <v>2719</v>
      </c>
      <c r="P801" s="9" t="s">
        <v>1296</v>
      </c>
    </row>
    <row r="802">
      <c r="A802" s="17" t="s">
        <v>342</v>
      </c>
      <c r="B802" s="8">
        <v>5078.0</v>
      </c>
      <c r="C802" s="8">
        <v>785955.0</v>
      </c>
      <c r="D802" s="8">
        <v>792758.0</v>
      </c>
      <c r="E802" s="9" t="s">
        <v>577</v>
      </c>
      <c r="F802" s="9"/>
      <c r="G802" s="9" t="s">
        <v>578</v>
      </c>
      <c r="H802" s="9" t="s">
        <v>377</v>
      </c>
      <c r="I802" s="8">
        <v>1954.0</v>
      </c>
      <c r="J802" s="9" t="s">
        <v>346</v>
      </c>
      <c r="K802" s="9" t="s">
        <v>43</v>
      </c>
      <c r="L802" s="9" t="s">
        <v>43</v>
      </c>
      <c r="M802" s="9" t="s">
        <v>2720</v>
      </c>
      <c r="N802" s="9" t="s">
        <v>35</v>
      </c>
      <c r="O802" s="9" t="s">
        <v>2721</v>
      </c>
      <c r="P802" s="9" t="s">
        <v>1296</v>
      </c>
    </row>
    <row r="803">
      <c r="A803" s="17" t="s">
        <v>342</v>
      </c>
      <c r="B803" s="8">
        <v>5087.0</v>
      </c>
      <c r="C803" s="8">
        <v>822639.0</v>
      </c>
      <c r="D803" s="8">
        <v>825174.0</v>
      </c>
      <c r="E803" s="9" t="s">
        <v>577</v>
      </c>
      <c r="F803" s="9"/>
      <c r="G803" s="9" t="s">
        <v>578</v>
      </c>
      <c r="H803" s="9" t="s">
        <v>377</v>
      </c>
      <c r="I803" s="8">
        <v>1954.0</v>
      </c>
      <c r="J803" s="9" t="s">
        <v>346</v>
      </c>
      <c r="K803" s="9" t="s">
        <v>43</v>
      </c>
      <c r="L803" s="9" t="s">
        <v>43</v>
      </c>
      <c r="M803" s="9" t="s">
        <v>151</v>
      </c>
      <c r="N803" s="9" t="s">
        <v>35</v>
      </c>
      <c r="O803" s="9" t="s">
        <v>2722</v>
      </c>
      <c r="P803" s="9" t="s">
        <v>1296</v>
      </c>
    </row>
    <row r="804">
      <c r="A804" s="17" t="s">
        <v>342</v>
      </c>
      <c r="B804" s="8">
        <v>5096.0</v>
      </c>
      <c r="C804" s="8">
        <v>850488.0</v>
      </c>
      <c r="D804" s="8">
        <v>854404.0</v>
      </c>
      <c r="E804" s="9" t="s">
        <v>577</v>
      </c>
      <c r="F804" s="9"/>
      <c r="G804" s="9" t="s">
        <v>578</v>
      </c>
      <c r="H804" s="9" t="s">
        <v>377</v>
      </c>
      <c r="I804" s="8">
        <v>1954.0</v>
      </c>
      <c r="J804" s="9" t="s">
        <v>346</v>
      </c>
      <c r="K804" s="9" t="s">
        <v>43</v>
      </c>
      <c r="L804" s="9" t="s">
        <v>43</v>
      </c>
      <c r="M804" s="9" t="s">
        <v>2723</v>
      </c>
      <c r="N804" s="9" t="s">
        <v>35</v>
      </c>
      <c r="O804" s="9" t="s">
        <v>2724</v>
      </c>
      <c r="P804" s="9" t="s">
        <v>1296</v>
      </c>
    </row>
    <row r="805">
      <c r="A805" s="17" t="s">
        <v>342</v>
      </c>
      <c r="B805" s="8">
        <v>5105.0</v>
      </c>
      <c r="C805" s="8">
        <v>886076.0</v>
      </c>
      <c r="D805" s="8">
        <v>889907.0</v>
      </c>
      <c r="E805" s="9" t="s">
        <v>577</v>
      </c>
      <c r="F805" s="9"/>
      <c r="G805" s="9" t="s">
        <v>578</v>
      </c>
      <c r="H805" s="9" t="s">
        <v>377</v>
      </c>
      <c r="I805" s="8">
        <v>1954.0</v>
      </c>
      <c r="J805" s="9" t="s">
        <v>346</v>
      </c>
      <c r="K805" s="9" t="s">
        <v>43</v>
      </c>
      <c r="L805" s="9" t="s">
        <v>43</v>
      </c>
      <c r="M805" s="9" t="s">
        <v>2725</v>
      </c>
      <c r="N805" s="9" t="s">
        <v>35</v>
      </c>
      <c r="O805" s="9" t="s">
        <v>2726</v>
      </c>
      <c r="P805" s="9" t="s">
        <v>1296</v>
      </c>
    </row>
    <row r="806">
      <c r="A806" s="17" t="s">
        <v>342</v>
      </c>
      <c r="B806" s="8">
        <v>5112.0</v>
      </c>
      <c r="C806" s="8">
        <v>915198.0</v>
      </c>
      <c r="D806" s="8">
        <v>917451.0</v>
      </c>
      <c r="E806" s="9" t="s">
        <v>577</v>
      </c>
      <c r="F806" s="9"/>
      <c r="G806" s="9" t="s">
        <v>578</v>
      </c>
      <c r="H806" s="9" t="s">
        <v>377</v>
      </c>
      <c r="I806" s="8">
        <v>1954.0</v>
      </c>
      <c r="J806" s="9" t="s">
        <v>346</v>
      </c>
      <c r="K806" s="9" t="s">
        <v>43</v>
      </c>
      <c r="L806" s="9" t="s">
        <v>43</v>
      </c>
      <c r="M806" s="9"/>
      <c r="N806" s="9" t="s">
        <v>35</v>
      </c>
      <c r="O806" s="9" t="s">
        <v>2727</v>
      </c>
      <c r="P806" s="9" t="s">
        <v>1298</v>
      </c>
    </row>
    <row r="807">
      <c r="A807" s="17" t="s">
        <v>342</v>
      </c>
      <c r="B807" s="8">
        <v>5113.0</v>
      </c>
      <c r="C807" s="8">
        <v>917518.0</v>
      </c>
      <c r="D807" s="8">
        <v>925870.0</v>
      </c>
      <c r="E807" s="9" t="s">
        <v>577</v>
      </c>
      <c r="F807" s="9"/>
      <c r="G807" s="9" t="s">
        <v>578</v>
      </c>
      <c r="H807" s="9" t="s">
        <v>377</v>
      </c>
      <c r="I807" s="8">
        <v>1954.0</v>
      </c>
      <c r="J807" s="9" t="s">
        <v>346</v>
      </c>
      <c r="K807" s="9" t="s">
        <v>43</v>
      </c>
      <c r="L807" s="9" t="s">
        <v>43</v>
      </c>
      <c r="M807" s="9" t="s">
        <v>2728</v>
      </c>
      <c r="N807" s="9" t="s">
        <v>35</v>
      </c>
      <c r="O807" s="9" t="s">
        <v>2729</v>
      </c>
      <c r="P807" s="9" t="s">
        <v>1296</v>
      </c>
    </row>
    <row r="808">
      <c r="A808" s="17" t="s">
        <v>342</v>
      </c>
      <c r="B808" s="8">
        <v>5125.0</v>
      </c>
      <c r="C808" s="8">
        <v>1812666.0</v>
      </c>
      <c r="D808" s="8">
        <v>1814783.0</v>
      </c>
      <c r="E808" s="9" t="s">
        <v>588</v>
      </c>
      <c r="F808" s="9"/>
      <c r="G808" s="9" t="s">
        <v>509</v>
      </c>
      <c r="H808" s="9" t="s">
        <v>345</v>
      </c>
      <c r="I808" s="8">
        <v>1939.0</v>
      </c>
      <c r="J808" s="9" t="s">
        <v>346</v>
      </c>
      <c r="K808" s="9" t="s">
        <v>43</v>
      </c>
      <c r="L808" s="9" t="s">
        <v>43</v>
      </c>
      <c r="M808" s="9" t="s">
        <v>2730</v>
      </c>
      <c r="N808" s="9" t="s">
        <v>35</v>
      </c>
      <c r="O808" s="9" t="s">
        <v>2731</v>
      </c>
      <c r="P808" s="9" t="s">
        <v>1296</v>
      </c>
    </row>
    <row r="809">
      <c r="A809" s="17" t="s">
        <v>342</v>
      </c>
      <c r="B809" s="8">
        <v>5126.0</v>
      </c>
      <c r="C809" s="8">
        <v>1815966.0</v>
      </c>
      <c r="D809" s="8">
        <v>1816899.0</v>
      </c>
      <c r="E809" s="9" t="s">
        <v>588</v>
      </c>
      <c r="F809" s="9"/>
      <c r="G809" s="9" t="s">
        <v>509</v>
      </c>
      <c r="H809" s="9" t="s">
        <v>345</v>
      </c>
      <c r="I809" s="8">
        <v>1939.0</v>
      </c>
      <c r="J809" s="9" t="s">
        <v>346</v>
      </c>
      <c r="K809" s="9" t="s">
        <v>43</v>
      </c>
      <c r="L809" s="9" t="s">
        <v>43</v>
      </c>
      <c r="M809" s="9" t="s">
        <v>2732</v>
      </c>
      <c r="N809" s="9" t="s">
        <v>35</v>
      </c>
      <c r="O809" s="9" t="s">
        <v>2733</v>
      </c>
      <c r="P809" s="9" t="s">
        <v>1296</v>
      </c>
    </row>
    <row r="810">
      <c r="A810" s="17" t="s">
        <v>342</v>
      </c>
      <c r="B810" s="8">
        <v>5177.0</v>
      </c>
      <c r="C810" s="8">
        <v>2030693.0</v>
      </c>
      <c r="D810" s="8">
        <v>2032559.0</v>
      </c>
      <c r="E810" s="9" t="s">
        <v>588</v>
      </c>
      <c r="F810" s="9"/>
      <c r="G810" s="9" t="s">
        <v>509</v>
      </c>
      <c r="H810" s="9" t="s">
        <v>345</v>
      </c>
      <c r="I810" s="8">
        <v>1939.0</v>
      </c>
      <c r="J810" s="9" t="s">
        <v>346</v>
      </c>
      <c r="K810" s="9" t="s">
        <v>43</v>
      </c>
      <c r="L810" s="9" t="s">
        <v>43</v>
      </c>
      <c r="M810" s="9" t="s">
        <v>338</v>
      </c>
      <c r="N810" s="9" t="s">
        <v>35</v>
      </c>
      <c r="O810" s="9" t="s">
        <v>2734</v>
      </c>
      <c r="P810" s="9" t="s">
        <v>1296</v>
      </c>
    </row>
    <row r="811">
      <c r="A811" s="17" t="s">
        <v>342</v>
      </c>
      <c r="B811" s="8">
        <v>5231.0</v>
      </c>
      <c r="C811" s="8">
        <v>2295051.0</v>
      </c>
      <c r="D811" s="8">
        <v>2299935.0</v>
      </c>
      <c r="E811" s="9" t="s">
        <v>588</v>
      </c>
      <c r="F811" s="9"/>
      <c r="G811" s="9" t="s">
        <v>509</v>
      </c>
      <c r="H811" s="9" t="s">
        <v>345</v>
      </c>
      <c r="I811" s="8">
        <v>1939.0</v>
      </c>
      <c r="J811" s="9" t="s">
        <v>346</v>
      </c>
      <c r="K811" s="9" t="s">
        <v>43</v>
      </c>
      <c r="L811" s="9" t="s">
        <v>43</v>
      </c>
      <c r="M811" s="9"/>
      <c r="N811" s="9" t="s">
        <v>45</v>
      </c>
      <c r="O811" s="9" t="s">
        <v>2735</v>
      </c>
      <c r="P811" s="9" t="s">
        <v>1296</v>
      </c>
    </row>
    <row r="812">
      <c r="A812" s="17" t="s">
        <v>342</v>
      </c>
      <c r="B812" s="8">
        <v>5241.0</v>
      </c>
      <c r="C812" s="8">
        <v>2341773.0</v>
      </c>
      <c r="D812" s="8">
        <v>2343840.0</v>
      </c>
      <c r="E812" s="9" t="s">
        <v>588</v>
      </c>
      <c r="F812" s="9"/>
      <c r="G812" s="9" t="s">
        <v>509</v>
      </c>
      <c r="H812" s="9" t="s">
        <v>345</v>
      </c>
      <c r="I812" s="8">
        <v>1939.0</v>
      </c>
      <c r="J812" s="9" t="s">
        <v>346</v>
      </c>
      <c r="K812" s="9" t="s">
        <v>43</v>
      </c>
      <c r="L812" s="9" t="s">
        <v>43</v>
      </c>
      <c r="M812" s="9" t="s">
        <v>2736</v>
      </c>
      <c r="N812" s="9" t="s">
        <v>35</v>
      </c>
      <c r="O812" s="9" t="s">
        <v>2737</v>
      </c>
      <c r="P812" s="9" t="s">
        <v>1296</v>
      </c>
    </row>
    <row r="813">
      <c r="A813" s="17" t="s">
        <v>342</v>
      </c>
      <c r="B813" s="8">
        <v>5254.0</v>
      </c>
      <c r="C813" s="8">
        <v>2402004.0</v>
      </c>
      <c r="D813" s="8">
        <v>2407700.0</v>
      </c>
      <c r="E813" s="9" t="s">
        <v>588</v>
      </c>
      <c r="F813" s="9"/>
      <c r="G813" s="9" t="s">
        <v>509</v>
      </c>
      <c r="H813" s="9" t="s">
        <v>345</v>
      </c>
      <c r="I813" s="8">
        <v>1939.0</v>
      </c>
      <c r="J813" s="9" t="s">
        <v>346</v>
      </c>
      <c r="K813" s="9" t="s">
        <v>43</v>
      </c>
      <c r="L813" s="9" t="s">
        <v>43</v>
      </c>
      <c r="M813" s="9" t="s">
        <v>2738</v>
      </c>
      <c r="N813" s="9" t="s">
        <v>35</v>
      </c>
      <c r="O813" s="9" t="s">
        <v>2739</v>
      </c>
      <c r="P813" s="9" t="s">
        <v>1296</v>
      </c>
    </row>
    <row r="814">
      <c r="A814" s="17" t="s">
        <v>342</v>
      </c>
      <c r="B814" s="8">
        <v>5256.0</v>
      </c>
      <c r="C814" s="8">
        <v>2414664.0</v>
      </c>
      <c r="D814" s="8">
        <v>2416014.0</v>
      </c>
      <c r="E814" s="9" t="s">
        <v>588</v>
      </c>
      <c r="F814" s="9"/>
      <c r="G814" s="9" t="s">
        <v>509</v>
      </c>
      <c r="H814" s="9" t="s">
        <v>345</v>
      </c>
      <c r="I814" s="8">
        <v>1939.0</v>
      </c>
      <c r="J814" s="9" t="s">
        <v>346</v>
      </c>
      <c r="K814" s="9" t="s">
        <v>43</v>
      </c>
      <c r="L814" s="9" t="s">
        <v>43</v>
      </c>
      <c r="M814" s="9" t="s">
        <v>1574</v>
      </c>
      <c r="N814" s="9" t="s">
        <v>35</v>
      </c>
      <c r="O814" s="9" t="s">
        <v>2740</v>
      </c>
      <c r="P814" s="9" t="s">
        <v>1296</v>
      </c>
    </row>
    <row r="815">
      <c r="A815" s="17" t="s">
        <v>342</v>
      </c>
      <c r="B815" s="8">
        <v>5258.0</v>
      </c>
      <c r="C815" s="8">
        <v>2421191.0</v>
      </c>
      <c r="D815" s="8">
        <v>2426233.0</v>
      </c>
      <c r="E815" s="9" t="s">
        <v>588</v>
      </c>
      <c r="F815" s="9"/>
      <c r="G815" s="9" t="s">
        <v>509</v>
      </c>
      <c r="H815" s="9" t="s">
        <v>345</v>
      </c>
      <c r="I815" s="8">
        <v>1939.0</v>
      </c>
      <c r="J815" s="9" t="s">
        <v>346</v>
      </c>
      <c r="K815" s="9" t="s">
        <v>43</v>
      </c>
      <c r="L815" s="9" t="s">
        <v>43</v>
      </c>
      <c r="M815" s="9" t="s">
        <v>2741</v>
      </c>
      <c r="N815" s="9" t="s">
        <v>45</v>
      </c>
      <c r="O815" s="9" t="s">
        <v>2742</v>
      </c>
      <c r="P815" s="9" t="s">
        <v>1298</v>
      </c>
    </row>
    <row r="816">
      <c r="A816" s="17" t="s">
        <v>342</v>
      </c>
      <c r="B816" s="8">
        <v>5287.0</v>
      </c>
      <c r="C816" s="8">
        <v>2560489.0</v>
      </c>
      <c r="D816" s="8">
        <v>2572883.0</v>
      </c>
      <c r="E816" s="9" t="s">
        <v>588</v>
      </c>
      <c r="F816" s="9"/>
      <c r="G816" s="9" t="s">
        <v>509</v>
      </c>
      <c r="H816" s="9" t="s">
        <v>345</v>
      </c>
      <c r="I816" s="8">
        <v>1939.0</v>
      </c>
      <c r="J816" s="9" t="s">
        <v>346</v>
      </c>
      <c r="K816" s="9" t="s">
        <v>43</v>
      </c>
      <c r="L816" s="9" t="s">
        <v>43</v>
      </c>
      <c r="M816" s="9" t="s">
        <v>2743</v>
      </c>
      <c r="N816" s="9" t="s">
        <v>35</v>
      </c>
      <c r="O816" s="9" t="s">
        <v>2744</v>
      </c>
      <c r="P816" s="9" t="s">
        <v>2745</v>
      </c>
    </row>
    <row r="817">
      <c r="A817" s="17" t="s">
        <v>342</v>
      </c>
      <c r="B817" s="8">
        <v>5337.0</v>
      </c>
      <c r="C817" s="8">
        <v>2896010.0</v>
      </c>
      <c r="D817" s="8">
        <v>2903343.0</v>
      </c>
      <c r="E817" s="9" t="s">
        <v>588</v>
      </c>
      <c r="F817" s="9"/>
      <c r="G817" s="9" t="s">
        <v>509</v>
      </c>
      <c r="H817" s="9" t="s">
        <v>345</v>
      </c>
      <c r="I817" s="8">
        <v>1939.0</v>
      </c>
      <c r="J817" s="9" t="s">
        <v>346</v>
      </c>
      <c r="K817" s="9" t="s">
        <v>43</v>
      </c>
      <c r="L817" s="9" t="s">
        <v>43</v>
      </c>
      <c r="M817" s="9" t="s">
        <v>2746</v>
      </c>
      <c r="N817" s="9" t="s">
        <v>35</v>
      </c>
      <c r="O817" s="9" t="s">
        <v>2747</v>
      </c>
      <c r="P817" s="9" t="s">
        <v>1296</v>
      </c>
    </row>
    <row r="818">
      <c r="A818" s="17" t="s">
        <v>342</v>
      </c>
      <c r="B818" s="8">
        <v>5495.0</v>
      </c>
      <c r="C818" s="8">
        <v>257717.0</v>
      </c>
      <c r="D818" s="8">
        <v>262680.0</v>
      </c>
      <c r="E818" s="9" t="s">
        <v>594</v>
      </c>
      <c r="F818" s="9"/>
      <c r="G818" s="9" t="s">
        <v>388</v>
      </c>
      <c r="H818" s="9" t="s">
        <v>345</v>
      </c>
      <c r="I818" s="8">
        <v>1932.0</v>
      </c>
      <c r="J818" s="9" t="s">
        <v>389</v>
      </c>
      <c r="K818" s="9" t="s">
        <v>390</v>
      </c>
      <c r="L818" s="9" t="s">
        <v>391</v>
      </c>
      <c r="M818" s="9" t="s">
        <v>2748</v>
      </c>
      <c r="N818" s="9" t="s">
        <v>35</v>
      </c>
      <c r="O818" s="9" t="s">
        <v>2749</v>
      </c>
      <c r="P818" s="9" t="s">
        <v>1296</v>
      </c>
    </row>
    <row r="819">
      <c r="A819" s="17" t="s">
        <v>342</v>
      </c>
      <c r="B819" s="8">
        <v>5498.0</v>
      </c>
      <c r="C819" s="8">
        <v>285836.0</v>
      </c>
      <c r="D819" s="8">
        <v>289220.0</v>
      </c>
      <c r="E819" s="9" t="s">
        <v>594</v>
      </c>
      <c r="F819" s="9"/>
      <c r="G819" s="9" t="s">
        <v>388</v>
      </c>
      <c r="H819" s="9" t="s">
        <v>345</v>
      </c>
      <c r="I819" s="8">
        <v>1932.0</v>
      </c>
      <c r="J819" s="9" t="s">
        <v>389</v>
      </c>
      <c r="K819" s="9" t="s">
        <v>390</v>
      </c>
      <c r="L819" s="9" t="s">
        <v>391</v>
      </c>
      <c r="M819" s="9"/>
      <c r="N819" s="9" t="s">
        <v>45</v>
      </c>
      <c r="O819" s="9" t="s">
        <v>2750</v>
      </c>
      <c r="P819" s="9" t="s">
        <v>1316</v>
      </c>
    </row>
    <row r="820">
      <c r="A820" s="17" t="s">
        <v>342</v>
      </c>
      <c r="B820" s="8">
        <v>5511.0</v>
      </c>
      <c r="C820" s="8">
        <v>361707.0</v>
      </c>
      <c r="D820" s="8">
        <v>369232.0</v>
      </c>
      <c r="E820" s="9" t="s">
        <v>594</v>
      </c>
      <c r="F820" s="9"/>
      <c r="G820" s="9" t="s">
        <v>388</v>
      </c>
      <c r="H820" s="9" t="s">
        <v>345</v>
      </c>
      <c r="I820" s="8">
        <v>1932.0</v>
      </c>
      <c r="J820" s="9" t="s">
        <v>389</v>
      </c>
      <c r="K820" s="9" t="s">
        <v>390</v>
      </c>
      <c r="L820" s="9" t="s">
        <v>391</v>
      </c>
      <c r="M820" s="9" t="s">
        <v>2751</v>
      </c>
      <c r="N820" s="9" t="s">
        <v>35</v>
      </c>
      <c r="O820" s="9" t="s">
        <v>2752</v>
      </c>
      <c r="P820" s="9" t="s">
        <v>1316</v>
      </c>
    </row>
    <row r="821">
      <c r="A821" s="17" t="s">
        <v>342</v>
      </c>
      <c r="B821" s="8">
        <v>5533.0</v>
      </c>
      <c r="C821" s="8">
        <v>480390.0</v>
      </c>
      <c r="D821" s="8">
        <v>490254.0</v>
      </c>
      <c r="E821" s="9" t="s">
        <v>594</v>
      </c>
      <c r="F821" s="9"/>
      <c r="G821" s="9" t="s">
        <v>388</v>
      </c>
      <c r="H821" s="9" t="s">
        <v>345</v>
      </c>
      <c r="I821" s="8">
        <v>1932.0</v>
      </c>
      <c r="J821" s="9" t="s">
        <v>389</v>
      </c>
      <c r="K821" s="9" t="s">
        <v>390</v>
      </c>
      <c r="L821" s="9" t="s">
        <v>391</v>
      </c>
      <c r="M821" s="9" t="s">
        <v>2753</v>
      </c>
      <c r="N821" s="9" t="s">
        <v>35</v>
      </c>
      <c r="O821" s="9" t="s">
        <v>2754</v>
      </c>
      <c r="P821" s="9" t="s">
        <v>1296</v>
      </c>
    </row>
    <row r="822">
      <c r="A822" s="17" t="s">
        <v>342</v>
      </c>
      <c r="B822" s="8">
        <v>5533.0</v>
      </c>
      <c r="C822" s="8">
        <v>480390.0</v>
      </c>
      <c r="D822" s="8">
        <v>490254.0</v>
      </c>
      <c r="E822" s="9" t="s">
        <v>594</v>
      </c>
      <c r="F822" s="9"/>
      <c r="G822" s="9" t="s">
        <v>388</v>
      </c>
      <c r="H822" s="9" t="s">
        <v>345</v>
      </c>
      <c r="I822" s="8">
        <v>1932.0</v>
      </c>
      <c r="J822" s="9" t="s">
        <v>389</v>
      </c>
      <c r="K822" s="9" t="s">
        <v>390</v>
      </c>
      <c r="L822" s="9" t="s">
        <v>391</v>
      </c>
      <c r="M822" s="9" t="s">
        <v>2755</v>
      </c>
      <c r="N822" s="9" t="s">
        <v>35</v>
      </c>
      <c r="O822" s="9" t="s">
        <v>2756</v>
      </c>
      <c r="P822" s="9" t="s">
        <v>1300</v>
      </c>
    </row>
    <row r="823">
      <c r="A823" s="17" t="s">
        <v>342</v>
      </c>
      <c r="B823" s="8">
        <v>5573.0</v>
      </c>
      <c r="C823" s="8">
        <v>699320.0</v>
      </c>
      <c r="D823" s="8">
        <v>709346.0</v>
      </c>
      <c r="E823" s="9" t="s">
        <v>594</v>
      </c>
      <c r="F823" s="9"/>
      <c r="G823" s="9" t="s">
        <v>388</v>
      </c>
      <c r="H823" s="9" t="s">
        <v>345</v>
      </c>
      <c r="I823" s="8">
        <v>1932.0</v>
      </c>
      <c r="J823" s="9" t="s">
        <v>389</v>
      </c>
      <c r="K823" s="9" t="s">
        <v>390</v>
      </c>
      <c r="L823" s="9" t="s">
        <v>391</v>
      </c>
      <c r="M823" s="9" t="s">
        <v>2757</v>
      </c>
      <c r="N823" s="9" t="s">
        <v>35</v>
      </c>
      <c r="O823" s="9" t="s">
        <v>2758</v>
      </c>
      <c r="P823" s="9" t="s">
        <v>1296</v>
      </c>
    </row>
    <row r="824">
      <c r="A824" s="17" t="s">
        <v>342</v>
      </c>
      <c r="B824" s="8">
        <v>5577.0</v>
      </c>
      <c r="C824" s="8">
        <v>737763.0</v>
      </c>
      <c r="D824" s="8">
        <v>740866.0</v>
      </c>
      <c r="E824" s="9" t="s">
        <v>594</v>
      </c>
      <c r="F824" s="9"/>
      <c r="G824" s="9" t="s">
        <v>388</v>
      </c>
      <c r="H824" s="9" t="s">
        <v>345</v>
      </c>
      <c r="I824" s="8">
        <v>1932.0</v>
      </c>
      <c r="J824" s="9" t="s">
        <v>389</v>
      </c>
      <c r="K824" s="9" t="s">
        <v>390</v>
      </c>
      <c r="L824" s="9" t="s">
        <v>391</v>
      </c>
      <c r="M824" s="9" t="s">
        <v>2759</v>
      </c>
      <c r="N824" s="9" t="s">
        <v>35</v>
      </c>
      <c r="O824" s="9" t="s">
        <v>2760</v>
      </c>
      <c r="P824" s="9" t="s">
        <v>1300</v>
      </c>
    </row>
    <row r="825">
      <c r="A825" s="17" t="s">
        <v>342</v>
      </c>
      <c r="B825" s="8">
        <v>5649.0</v>
      </c>
      <c r="C825" s="8">
        <v>1116291.0</v>
      </c>
      <c r="D825" s="8">
        <v>1118471.0</v>
      </c>
      <c r="E825" s="9" t="s">
        <v>594</v>
      </c>
      <c r="F825" s="9"/>
      <c r="G825" s="9" t="s">
        <v>388</v>
      </c>
      <c r="H825" s="9" t="s">
        <v>345</v>
      </c>
      <c r="I825" s="8">
        <v>1932.0</v>
      </c>
      <c r="J825" s="9" t="s">
        <v>389</v>
      </c>
      <c r="K825" s="9" t="s">
        <v>390</v>
      </c>
      <c r="L825" s="9" t="s">
        <v>391</v>
      </c>
      <c r="M825" s="9" t="s">
        <v>2761</v>
      </c>
      <c r="N825" s="9" t="s">
        <v>35</v>
      </c>
      <c r="O825" s="9" t="s">
        <v>2762</v>
      </c>
      <c r="P825" s="9" t="s">
        <v>1296</v>
      </c>
    </row>
    <row r="826">
      <c r="A826" s="17" t="s">
        <v>342</v>
      </c>
      <c r="B826" s="8">
        <v>5650.0</v>
      </c>
      <c r="C826" s="8">
        <v>1118500.0</v>
      </c>
      <c r="D826" s="8">
        <v>1124961.0</v>
      </c>
      <c r="E826" s="9" t="s">
        <v>594</v>
      </c>
      <c r="F826" s="9"/>
      <c r="G826" s="9" t="s">
        <v>388</v>
      </c>
      <c r="H826" s="9" t="s">
        <v>345</v>
      </c>
      <c r="I826" s="8">
        <v>1932.0</v>
      </c>
      <c r="J826" s="9" t="s">
        <v>389</v>
      </c>
      <c r="K826" s="9" t="s">
        <v>390</v>
      </c>
      <c r="L826" s="9" t="s">
        <v>391</v>
      </c>
      <c r="M826" s="9" t="s">
        <v>2763</v>
      </c>
      <c r="N826" s="9" t="s">
        <v>35</v>
      </c>
      <c r="O826" s="9" t="s">
        <v>2764</v>
      </c>
      <c r="P826" s="9" t="s">
        <v>1296</v>
      </c>
    </row>
    <row r="827">
      <c r="A827" s="17" t="s">
        <v>342</v>
      </c>
      <c r="B827" s="8">
        <v>5675.0</v>
      </c>
      <c r="C827" s="8">
        <v>1246986.0</v>
      </c>
      <c r="D827" s="8">
        <v>1254117.0</v>
      </c>
      <c r="E827" s="9" t="s">
        <v>594</v>
      </c>
      <c r="F827" s="9"/>
      <c r="G827" s="9" t="s">
        <v>388</v>
      </c>
      <c r="H827" s="9" t="s">
        <v>345</v>
      </c>
      <c r="I827" s="8">
        <v>1932.0</v>
      </c>
      <c r="J827" s="9" t="s">
        <v>389</v>
      </c>
      <c r="K827" s="9" t="s">
        <v>390</v>
      </c>
      <c r="L827" s="9" t="s">
        <v>391</v>
      </c>
      <c r="M827" s="9"/>
      <c r="N827" s="9" t="s">
        <v>45</v>
      </c>
      <c r="O827" s="9" t="s">
        <v>2765</v>
      </c>
      <c r="P827" s="9" t="s">
        <v>1296</v>
      </c>
    </row>
    <row r="828">
      <c r="A828" s="17" t="s">
        <v>342</v>
      </c>
      <c r="B828" s="8">
        <v>5678.0</v>
      </c>
      <c r="C828" s="8">
        <v>1279813.0</v>
      </c>
      <c r="D828" s="8">
        <v>1292060.0</v>
      </c>
      <c r="E828" s="9" t="s">
        <v>594</v>
      </c>
      <c r="F828" s="9"/>
      <c r="G828" s="9" t="s">
        <v>388</v>
      </c>
      <c r="H828" s="9" t="s">
        <v>345</v>
      </c>
      <c r="I828" s="8">
        <v>1932.0</v>
      </c>
      <c r="J828" s="9" t="s">
        <v>389</v>
      </c>
      <c r="K828" s="9" t="s">
        <v>390</v>
      </c>
      <c r="L828" s="9" t="s">
        <v>391</v>
      </c>
      <c r="M828" s="9" t="s">
        <v>2766</v>
      </c>
      <c r="N828" s="9" t="s">
        <v>35</v>
      </c>
      <c r="O828" s="9" t="s">
        <v>2767</v>
      </c>
      <c r="P828" s="9" t="s">
        <v>1300</v>
      </c>
    </row>
    <row r="829">
      <c r="A829" s="17" t="s">
        <v>342</v>
      </c>
      <c r="B829" s="8">
        <v>5678.0</v>
      </c>
      <c r="C829" s="8">
        <v>1279813.0</v>
      </c>
      <c r="D829" s="8">
        <v>1292060.0</v>
      </c>
      <c r="E829" s="9" t="s">
        <v>594</v>
      </c>
      <c r="F829" s="9"/>
      <c r="G829" s="9" t="s">
        <v>388</v>
      </c>
      <c r="H829" s="9" t="s">
        <v>345</v>
      </c>
      <c r="I829" s="8">
        <v>1932.0</v>
      </c>
      <c r="J829" s="9" t="s">
        <v>389</v>
      </c>
      <c r="K829" s="9" t="s">
        <v>390</v>
      </c>
      <c r="L829" s="9" t="s">
        <v>391</v>
      </c>
      <c r="M829" s="9" t="s">
        <v>2768</v>
      </c>
      <c r="N829" s="9" t="s">
        <v>35</v>
      </c>
      <c r="O829" s="9" t="s">
        <v>2337</v>
      </c>
      <c r="P829" s="9" t="s">
        <v>1300</v>
      </c>
    </row>
    <row r="830">
      <c r="A830" s="17" t="s">
        <v>342</v>
      </c>
      <c r="B830" s="8">
        <v>5709.0</v>
      </c>
      <c r="C830" s="8">
        <v>1517242.0</v>
      </c>
      <c r="D830" s="8">
        <v>1524887.0</v>
      </c>
      <c r="E830" s="9" t="s">
        <v>594</v>
      </c>
      <c r="F830" s="9"/>
      <c r="G830" s="9" t="s">
        <v>388</v>
      </c>
      <c r="H830" s="9" t="s">
        <v>345</v>
      </c>
      <c r="I830" s="8">
        <v>1932.0</v>
      </c>
      <c r="J830" s="9" t="s">
        <v>389</v>
      </c>
      <c r="K830" s="9" t="s">
        <v>390</v>
      </c>
      <c r="L830" s="9" t="s">
        <v>391</v>
      </c>
      <c r="M830" s="9" t="s">
        <v>2769</v>
      </c>
      <c r="N830" s="9" t="s">
        <v>35</v>
      </c>
      <c r="O830" s="9" t="s">
        <v>2770</v>
      </c>
      <c r="P830" s="9" t="s">
        <v>1300</v>
      </c>
    </row>
    <row r="831">
      <c r="A831" s="17" t="s">
        <v>342</v>
      </c>
      <c r="B831" s="8">
        <v>5753.0</v>
      </c>
      <c r="C831" s="8">
        <v>1785544.0</v>
      </c>
      <c r="D831" s="8">
        <v>1794220.0</v>
      </c>
      <c r="E831" s="9" t="s">
        <v>594</v>
      </c>
      <c r="F831" s="9"/>
      <c r="G831" s="9" t="s">
        <v>388</v>
      </c>
      <c r="H831" s="9" t="s">
        <v>345</v>
      </c>
      <c r="I831" s="8">
        <v>1932.0</v>
      </c>
      <c r="J831" s="9" t="s">
        <v>389</v>
      </c>
      <c r="K831" s="9" t="s">
        <v>390</v>
      </c>
      <c r="L831" s="9" t="s">
        <v>391</v>
      </c>
      <c r="M831" s="9" t="s">
        <v>2771</v>
      </c>
      <c r="N831" s="9" t="s">
        <v>35</v>
      </c>
      <c r="O831" s="9" t="s">
        <v>2772</v>
      </c>
      <c r="P831" s="9" t="s">
        <v>1388</v>
      </c>
    </row>
    <row r="832">
      <c r="A832" s="17" t="s">
        <v>342</v>
      </c>
      <c r="B832" s="8">
        <v>5837.0</v>
      </c>
      <c r="C832" s="8">
        <v>432960.0</v>
      </c>
      <c r="D832" s="8">
        <v>435700.0</v>
      </c>
      <c r="E832" s="9" t="s">
        <v>610</v>
      </c>
      <c r="F832" s="9"/>
      <c r="G832" s="9" t="s">
        <v>611</v>
      </c>
      <c r="H832" s="9" t="s">
        <v>377</v>
      </c>
      <c r="I832" s="8">
        <v>1941.0</v>
      </c>
      <c r="J832" s="9" t="s">
        <v>346</v>
      </c>
      <c r="K832" s="9" t="s">
        <v>43</v>
      </c>
      <c r="L832" s="9" t="s">
        <v>43</v>
      </c>
      <c r="M832" s="9"/>
      <c r="N832" s="9" t="s">
        <v>45</v>
      </c>
      <c r="O832" s="9" t="s">
        <v>2773</v>
      </c>
      <c r="P832" s="9" t="s">
        <v>1316</v>
      </c>
    </row>
    <row r="833">
      <c r="A833" s="17" t="s">
        <v>342</v>
      </c>
      <c r="B833" s="8">
        <v>5837.0</v>
      </c>
      <c r="C833" s="8">
        <v>432960.0</v>
      </c>
      <c r="D833" s="8">
        <v>435700.0</v>
      </c>
      <c r="E833" s="9" t="s">
        <v>610</v>
      </c>
      <c r="F833" s="9"/>
      <c r="G833" s="9" t="s">
        <v>611</v>
      </c>
      <c r="H833" s="9" t="s">
        <v>377</v>
      </c>
      <c r="I833" s="8">
        <v>1941.0</v>
      </c>
      <c r="J833" s="9" t="s">
        <v>346</v>
      </c>
      <c r="K833" s="9" t="s">
        <v>43</v>
      </c>
      <c r="L833" s="9" t="s">
        <v>43</v>
      </c>
      <c r="M833" s="9" t="s">
        <v>2774</v>
      </c>
      <c r="N833" s="9" t="s">
        <v>35</v>
      </c>
      <c r="O833" s="9" t="s">
        <v>2775</v>
      </c>
      <c r="P833" s="9" t="s">
        <v>1316</v>
      </c>
    </row>
    <row r="834">
      <c r="A834" s="17" t="s">
        <v>342</v>
      </c>
      <c r="B834" s="8">
        <v>5839.0</v>
      </c>
      <c r="C834" s="8">
        <v>440660.0</v>
      </c>
      <c r="D834" s="8">
        <v>441340.0</v>
      </c>
      <c r="E834" s="9" t="s">
        <v>610</v>
      </c>
      <c r="F834" s="9"/>
      <c r="G834" s="9" t="s">
        <v>611</v>
      </c>
      <c r="H834" s="9" t="s">
        <v>377</v>
      </c>
      <c r="I834" s="8">
        <v>1941.0</v>
      </c>
      <c r="J834" s="9" t="s">
        <v>346</v>
      </c>
      <c r="K834" s="9" t="s">
        <v>43</v>
      </c>
      <c r="L834" s="9" t="s">
        <v>43</v>
      </c>
      <c r="M834" s="9"/>
      <c r="N834" s="9" t="s">
        <v>45</v>
      </c>
      <c r="O834" s="9" t="s">
        <v>2776</v>
      </c>
      <c r="P834" s="9" t="s">
        <v>1316</v>
      </c>
    </row>
    <row r="835">
      <c r="A835" s="17" t="s">
        <v>342</v>
      </c>
      <c r="B835" s="8">
        <v>5844.0</v>
      </c>
      <c r="C835" s="8">
        <v>462980.0</v>
      </c>
      <c r="D835" s="8">
        <v>466110.0</v>
      </c>
      <c r="E835" s="9" t="s">
        <v>610</v>
      </c>
      <c r="F835" s="9"/>
      <c r="G835" s="9" t="s">
        <v>611</v>
      </c>
      <c r="H835" s="9" t="s">
        <v>377</v>
      </c>
      <c r="I835" s="8">
        <v>1941.0</v>
      </c>
      <c r="J835" s="9" t="s">
        <v>346</v>
      </c>
      <c r="K835" s="9" t="s">
        <v>43</v>
      </c>
      <c r="L835" s="9" t="s">
        <v>43</v>
      </c>
      <c r="M835" s="9" t="s">
        <v>2777</v>
      </c>
      <c r="N835" s="9" t="s">
        <v>35</v>
      </c>
      <c r="O835" s="9" t="s">
        <v>2778</v>
      </c>
      <c r="P835" s="9" t="s">
        <v>1296</v>
      </c>
    </row>
    <row r="836">
      <c r="A836" s="17" t="s">
        <v>342</v>
      </c>
      <c r="B836" s="8">
        <v>5844.0</v>
      </c>
      <c r="C836" s="8">
        <v>462980.0</v>
      </c>
      <c r="D836" s="8">
        <v>466110.0</v>
      </c>
      <c r="E836" s="9" t="s">
        <v>610</v>
      </c>
      <c r="F836" s="9"/>
      <c r="G836" s="9" t="s">
        <v>611</v>
      </c>
      <c r="H836" s="9" t="s">
        <v>377</v>
      </c>
      <c r="I836" s="8">
        <v>1941.0</v>
      </c>
      <c r="J836" s="9" t="s">
        <v>346</v>
      </c>
      <c r="K836" s="9" t="s">
        <v>43</v>
      </c>
      <c r="L836" s="9" t="s">
        <v>43</v>
      </c>
      <c r="M836" s="9" t="s">
        <v>2779</v>
      </c>
      <c r="N836" s="9" t="s">
        <v>35</v>
      </c>
      <c r="O836" s="9" t="s">
        <v>2780</v>
      </c>
      <c r="P836" s="9" t="s">
        <v>1296</v>
      </c>
    </row>
    <row r="837">
      <c r="A837" s="17" t="s">
        <v>342</v>
      </c>
      <c r="B837" s="8">
        <v>5902.0</v>
      </c>
      <c r="C837" s="8">
        <v>820850.0</v>
      </c>
      <c r="D837" s="8">
        <v>829590.0</v>
      </c>
      <c r="E837" s="9" t="s">
        <v>610</v>
      </c>
      <c r="F837" s="9"/>
      <c r="G837" s="9" t="s">
        <v>611</v>
      </c>
      <c r="H837" s="9" t="s">
        <v>377</v>
      </c>
      <c r="I837" s="8">
        <v>1941.0</v>
      </c>
      <c r="J837" s="9" t="s">
        <v>346</v>
      </c>
      <c r="K837" s="9" t="s">
        <v>43</v>
      </c>
      <c r="L837" s="9" t="s">
        <v>43</v>
      </c>
      <c r="M837" s="9" t="s">
        <v>2781</v>
      </c>
      <c r="N837" s="9" t="s">
        <v>35</v>
      </c>
      <c r="O837" s="9" t="s">
        <v>2782</v>
      </c>
      <c r="P837" s="9" t="s">
        <v>1296</v>
      </c>
    </row>
    <row r="838">
      <c r="A838" s="17" t="s">
        <v>342</v>
      </c>
      <c r="B838" s="8">
        <v>6124.0</v>
      </c>
      <c r="C838" s="8">
        <v>2039300.0</v>
      </c>
      <c r="D838" s="8">
        <v>2044420.0</v>
      </c>
      <c r="E838" s="9" t="s">
        <v>610</v>
      </c>
      <c r="F838" s="9"/>
      <c r="G838" s="9" t="s">
        <v>611</v>
      </c>
      <c r="H838" s="9" t="s">
        <v>377</v>
      </c>
      <c r="I838" s="8">
        <v>1941.0</v>
      </c>
      <c r="J838" s="9" t="s">
        <v>346</v>
      </c>
      <c r="K838" s="9" t="s">
        <v>43</v>
      </c>
      <c r="L838" s="9" t="s">
        <v>43</v>
      </c>
      <c r="M838" s="9"/>
      <c r="N838" s="9" t="s">
        <v>45</v>
      </c>
      <c r="O838" s="9" t="s">
        <v>2783</v>
      </c>
      <c r="P838" s="9" t="s">
        <v>1316</v>
      </c>
    </row>
    <row r="839">
      <c r="A839" s="17" t="s">
        <v>342</v>
      </c>
      <c r="B839" s="8">
        <v>6135.0</v>
      </c>
      <c r="C839" s="8">
        <v>2082080.0</v>
      </c>
      <c r="D839" s="8">
        <v>2085460.0</v>
      </c>
      <c r="E839" s="9" t="s">
        <v>610</v>
      </c>
      <c r="F839" s="9"/>
      <c r="G839" s="9" t="s">
        <v>611</v>
      </c>
      <c r="H839" s="9" t="s">
        <v>377</v>
      </c>
      <c r="I839" s="8">
        <v>1941.0</v>
      </c>
      <c r="J839" s="9" t="s">
        <v>346</v>
      </c>
      <c r="K839" s="9" t="s">
        <v>43</v>
      </c>
      <c r="L839" s="9" t="s">
        <v>43</v>
      </c>
      <c r="M839" s="9" t="s">
        <v>2784</v>
      </c>
      <c r="N839" s="9" t="s">
        <v>35</v>
      </c>
      <c r="O839" s="9" t="s">
        <v>2785</v>
      </c>
      <c r="P839" s="9" t="s">
        <v>1296</v>
      </c>
    </row>
    <row r="840">
      <c r="A840" s="17" t="s">
        <v>342</v>
      </c>
      <c r="B840" s="8">
        <v>6212.0</v>
      </c>
      <c r="C840" s="8">
        <v>2526780.0</v>
      </c>
      <c r="D840" s="8">
        <v>2529900.0</v>
      </c>
      <c r="E840" s="9" t="s">
        <v>610</v>
      </c>
      <c r="F840" s="9"/>
      <c r="G840" s="9" t="s">
        <v>611</v>
      </c>
      <c r="H840" s="9" t="s">
        <v>377</v>
      </c>
      <c r="I840" s="8">
        <v>1941.0</v>
      </c>
      <c r="J840" s="9" t="s">
        <v>346</v>
      </c>
      <c r="K840" s="9" t="s">
        <v>43</v>
      </c>
      <c r="L840" s="9" t="s">
        <v>43</v>
      </c>
      <c r="M840" s="9" t="s">
        <v>2786</v>
      </c>
      <c r="N840" s="9" t="s">
        <v>35</v>
      </c>
      <c r="O840" s="9" t="s">
        <v>2787</v>
      </c>
      <c r="P840" s="9" t="s">
        <v>1296</v>
      </c>
    </row>
    <row r="841">
      <c r="A841" s="17" t="s">
        <v>342</v>
      </c>
      <c r="B841" s="8">
        <v>6212.0</v>
      </c>
      <c r="C841" s="8">
        <v>2526780.0</v>
      </c>
      <c r="D841" s="8">
        <v>2529900.0</v>
      </c>
      <c r="E841" s="9" t="s">
        <v>610</v>
      </c>
      <c r="F841" s="9"/>
      <c r="G841" s="9" t="s">
        <v>611</v>
      </c>
      <c r="H841" s="9" t="s">
        <v>377</v>
      </c>
      <c r="I841" s="8">
        <v>1941.0</v>
      </c>
      <c r="J841" s="9" t="s">
        <v>346</v>
      </c>
      <c r="K841" s="9" t="s">
        <v>43</v>
      </c>
      <c r="L841" s="9" t="s">
        <v>43</v>
      </c>
      <c r="M841" s="9" t="s">
        <v>2786</v>
      </c>
      <c r="N841" s="9" t="s">
        <v>35</v>
      </c>
      <c r="O841" s="9" t="s">
        <v>2787</v>
      </c>
      <c r="P841" s="9" t="s">
        <v>1296</v>
      </c>
    </row>
    <row r="842">
      <c r="A842" s="17" t="s">
        <v>342</v>
      </c>
      <c r="B842" s="8">
        <v>6455.0</v>
      </c>
      <c r="C842" s="8">
        <v>2640474.0</v>
      </c>
      <c r="D842" s="8">
        <v>2641459.0</v>
      </c>
      <c r="E842" s="9" t="s">
        <v>625</v>
      </c>
      <c r="F842" s="9"/>
      <c r="G842" s="9" t="s">
        <v>509</v>
      </c>
      <c r="H842" s="9" t="s">
        <v>345</v>
      </c>
      <c r="I842" s="8">
        <v>1939.0</v>
      </c>
      <c r="J842" s="9" t="s">
        <v>346</v>
      </c>
      <c r="K842" s="9" t="s">
        <v>43</v>
      </c>
      <c r="L842" s="9" t="s">
        <v>43</v>
      </c>
      <c r="M842" s="9"/>
      <c r="N842" s="9" t="s">
        <v>45</v>
      </c>
      <c r="O842" s="9" t="s">
        <v>2788</v>
      </c>
      <c r="P842" s="9" t="s">
        <v>1296</v>
      </c>
    </row>
    <row r="843">
      <c r="A843" s="17" t="s">
        <v>342</v>
      </c>
      <c r="B843" s="8">
        <v>6483.0</v>
      </c>
      <c r="C843" s="8">
        <v>2763492.0</v>
      </c>
      <c r="D843" s="8">
        <v>2766711.0</v>
      </c>
      <c r="E843" s="9" t="s">
        <v>625</v>
      </c>
      <c r="F843" s="9"/>
      <c r="G843" s="9" t="s">
        <v>509</v>
      </c>
      <c r="H843" s="9" t="s">
        <v>345</v>
      </c>
      <c r="I843" s="8">
        <v>1939.0</v>
      </c>
      <c r="J843" s="9" t="s">
        <v>346</v>
      </c>
      <c r="K843" s="9" t="s">
        <v>43</v>
      </c>
      <c r="L843" s="9" t="s">
        <v>43</v>
      </c>
      <c r="M843" s="9" t="s">
        <v>2789</v>
      </c>
      <c r="N843" s="9" t="s">
        <v>35</v>
      </c>
      <c r="O843" s="9" t="s">
        <v>2129</v>
      </c>
      <c r="P843" s="9" t="s">
        <v>1316</v>
      </c>
    </row>
    <row r="844">
      <c r="A844" s="17" t="s">
        <v>342</v>
      </c>
      <c r="B844" s="8">
        <v>6525.0</v>
      </c>
      <c r="C844" s="8">
        <v>2901439.0</v>
      </c>
      <c r="D844" s="8">
        <v>2909392.0</v>
      </c>
      <c r="E844" s="9" t="s">
        <v>625</v>
      </c>
      <c r="F844" s="9"/>
      <c r="G844" s="9" t="s">
        <v>509</v>
      </c>
      <c r="H844" s="9" t="s">
        <v>345</v>
      </c>
      <c r="I844" s="8">
        <v>1939.0</v>
      </c>
      <c r="J844" s="9" t="s">
        <v>346</v>
      </c>
      <c r="K844" s="9" t="s">
        <v>43</v>
      </c>
      <c r="L844" s="9" t="s">
        <v>43</v>
      </c>
      <c r="M844" s="9" t="s">
        <v>2790</v>
      </c>
      <c r="N844" s="9" t="s">
        <v>35</v>
      </c>
      <c r="O844" s="9" t="s">
        <v>2791</v>
      </c>
      <c r="P844" s="9" t="s">
        <v>1296</v>
      </c>
    </row>
    <row r="845">
      <c r="A845" s="17" t="s">
        <v>342</v>
      </c>
      <c r="B845" s="8">
        <v>6634.0</v>
      </c>
      <c r="C845" s="8">
        <v>134900.0</v>
      </c>
      <c r="D845" s="8">
        <v>157531.0</v>
      </c>
      <c r="E845" s="9" t="s">
        <v>633</v>
      </c>
      <c r="F845" s="9"/>
      <c r="G845" s="9" t="s">
        <v>426</v>
      </c>
      <c r="H845" s="9" t="s">
        <v>345</v>
      </c>
      <c r="I845" s="8">
        <v>1953.0</v>
      </c>
      <c r="J845" s="9" t="s">
        <v>346</v>
      </c>
      <c r="K845" s="9" t="s">
        <v>43</v>
      </c>
      <c r="L845" s="9" t="s">
        <v>43</v>
      </c>
      <c r="M845" s="9" t="s">
        <v>2792</v>
      </c>
      <c r="N845" s="9" t="s">
        <v>35</v>
      </c>
      <c r="O845" s="9" t="s">
        <v>2793</v>
      </c>
      <c r="P845" s="9" t="s">
        <v>1316</v>
      </c>
    </row>
    <row r="846">
      <c r="A846" s="17" t="s">
        <v>342</v>
      </c>
      <c r="B846" s="8">
        <v>6634.0</v>
      </c>
      <c r="C846" s="8">
        <v>134900.0</v>
      </c>
      <c r="D846" s="8">
        <v>157531.0</v>
      </c>
      <c r="E846" s="9" t="s">
        <v>633</v>
      </c>
      <c r="F846" s="9"/>
      <c r="G846" s="9" t="s">
        <v>426</v>
      </c>
      <c r="H846" s="9" t="s">
        <v>345</v>
      </c>
      <c r="I846" s="8">
        <v>1953.0</v>
      </c>
      <c r="J846" s="9" t="s">
        <v>346</v>
      </c>
      <c r="K846" s="9" t="s">
        <v>43</v>
      </c>
      <c r="L846" s="9" t="s">
        <v>43</v>
      </c>
      <c r="M846" s="9" t="s">
        <v>2794</v>
      </c>
      <c r="N846" s="9" t="s">
        <v>35</v>
      </c>
      <c r="O846" s="9" t="s">
        <v>2795</v>
      </c>
      <c r="P846" s="9" t="s">
        <v>1316</v>
      </c>
    </row>
    <row r="847">
      <c r="A847" s="17" t="s">
        <v>342</v>
      </c>
      <c r="B847" s="8">
        <v>6634.0</v>
      </c>
      <c r="C847" s="8">
        <v>134900.0</v>
      </c>
      <c r="D847" s="8">
        <v>157531.0</v>
      </c>
      <c r="E847" s="9" t="s">
        <v>633</v>
      </c>
      <c r="F847" s="9"/>
      <c r="G847" s="9" t="s">
        <v>426</v>
      </c>
      <c r="H847" s="9" t="s">
        <v>345</v>
      </c>
      <c r="I847" s="8">
        <v>1953.0</v>
      </c>
      <c r="J847" s="9" t="s">
        <v>346</v>
      </c>
      <c r="K847" s="9" t="s">
        <v>43</v>
      </c>
      <c r="L847" s="9" t="s">
        <v>43</v>
      </c>
      <c r="M847" s="9" t="s">
        <v>2796</v>
      </c>
      <c r="N847" s="9" t="s">
        <v>35</v>
      </c>
      <c r="O847" s="9" t="s">
        <v>2797</v>
      </c>
      <c r="P847" s="9" t="s">
        <v>1316</v>
      </c>
    </row>
    <row r="848">
      <c r="A848" s="17" t="s">
        <v>342</v>
      </c>
      <c r="B848" s="8">
        <v>6637.0</v>
      </c>
      <c r="C848" s="8">
        <v>169635.0</v>
      </c>
      <c r="D848" s="8">
        <v>189953.0</v>
      </c>
      <c r="E848" s="9" t="s">
        <v>633</v>
      </c>
      <c r="F848" s="9"/>
      <c r="G848" s="9" t="s">
        <v>426</v>
      </c>
      <c r="H848" s="9" t="s">
        <v>345</v>
      </c>
      <c r="I848" s="8">
        <v>1953.0</v>
      </c>
      <c r="J848" s="9" t="s">
        <v>346</v>
      </c>
      <c r="K848" s="9" t="s">
        <v>43</v>
      </c>
      <c r="L848" s="9" t="s">
        <v>43</v>
      </c>
      <c r="M848" s="9" t="s">
        <v>2798</v>
      </c>
      <c r="N848" s="9" t="s">
        <v>35</v>
      </c>
      <c r="O848" s="9" t="s">
        <v>2799</v>
      </c>
      <c r="P848" s="9" t="s">
        <v>1296</v>
      </c>
    </row>
    <row r="849">
      <c r="A849" s="17" t="s">
        <v>342</v>
      </c>
      <c r="B849" s="8">
        <v>6655.0</v>
      </c>
      <c r="C849" s="8">
        <v>368970.0</v>
      </c>
      <c r="D849" s="8">
        <v>375490.0</v>
      </c>
      <c r="E849" s="9" t="s">
        <v>633</v>
      </c>
      <c r="F849" s="9"/>
      <c r="G849" s="9" t="s">
        <v>426</v>
      </c>
      <c r="H849" s="9" t="s">
        <v>345</v>
      </c>
      <c r="I849" s="8">
        <v>1953.0</v>
      </c>
      <c r="J849" s="9" t="s">
        <v>346</v>
      </c>
      <c r="K849" s="9" t="s">
        <v>43</v>
      </c>
      <c r="L849" s="9" t="s">
        <v>43</v>
      </c>
      <c r="M849" s="9" t="s">
        <v>2800</v>
      </c>
      <c r="N849" s="9" t="s">
        <v>35</v>
      </c>
      <c r="O849" s="9" t="s">
        <v>2801</v>
      </c>
      <c r="P849" s="9" t="s">
        <v>1296</v>
      </c>
    </row>
    <row r="850">
      <c r="A850" s="17" t="s">
        <v>342</v>
      </c>
      <c r="B850" s="8">
        <v>6655.0</v>
      </c>
      <c r="C850" s="8">
        <v>368970.0</v>
      </c>
      <c r="D850" s="8">
        <v>375490.0</v>
      </c>
      <c r="E850" s="9" t="s">
        <v>633</v>
      </c>
      <c r="F850" s="9"/>
      <c r="G850" s="9" t="s">
        <v>426</v>
      </c>
      <c r="H850" s="9" t="s">
        <v>345</v>
      </c>
      <c r="I850" s="8">
        <v>1953.0</v>
      </c>
      <c r="J850" s="9" t="s">
        <v>346</v>
      </c>
      <c r="K850" s="9" t="s">
        <v>43</v>
      </c>
      <c r="L850" s="9" t="s">
        <v>43</v>
      </c>
      <c r="M850" s="9" t="s">
        <v>2802</v>
      </c>
      <c r="N850" s="9" t="s">
        <v>35</v>
      </c>
      <c r="O850" s="9" t="s">
        <v>2803</v>
      </c>
      <c r="P850" s="9" t="s">
        <v>1296</v>
      </c>
    </row>
    <row r="851">
      <c r="A851" s="17" t="s">
        <v>342</v>
      </c>
      <c r="B851" s="8">
        <v>6660.0</v>
      </c>
      <c r="C851" s="8">
        <v>419275.0</v>
      </c>
      <c r="D851" s="8">
        <v>430235.0</v>
      </c>
      <c r="E851" s="9" t="s">
        <v>633</v>
      </c>
      <c r="F851" s="9"/>
      <c r="G851" s="9" t="s">
        <v>426</v>
      </c>
      <c r="H851" s="9" t="s">
        <v>345</v>
      </c>
      <c r="I851" s="8">
        <v>1953.0</v>
      </c>
      <c r="J851" s="9" t="s">
        <v>346</v>
      </c>
      <c r="K851" s="9" t="s">
        <v>43</v>
      </c>
      <c r="L851" s="9" t="s">
        <v>43</v>
      </c>
      <c r="M851" s="9" t="s">
        <v>2804</v>
      </c>
      <c r="N851" s="9" t="s">
        <v>35</v>
      </c>
      <c r="O851" s="9" t="s">
        <v>2805</v>
      </c>
      <c r="P851" s="9" t="s">
        <v>1296</v>
      </c>
    </row>
    <row r="852">
      <c r="A852" s="17" t="s">
        <v>342</v>
      </c>
      <c r="B852" s="8">
        <v>6680.0</v>
      </c>
      <c r="C852" s="8">
        <v>698107.0</v>
      </c>
      <c r="D852" s="8">
        <v>723808.0</v>
      </c>
      <c r="E852" s="9" t="s">
        <v>633</v>
      </c>
      <c r="F852" s="9"/>
      <c r="G852" s="9" t="s">
        <v>426</v>
      </c>
      <c r="H852" s="9" t="s">
        <v>345</v>
      </c>
      <c r="I852" s="8">
        <v>1953.0</v>
      </c>
      <c r="J852" s="9" t="s">
        <v>346</v>
      </c>
      <c r="K852" s="9" t="s">
        <v>43</v>
      </c>
      <c r="L852" s="9" t="s">
        <v>43</v>
      </c>
      <c r="M852" s="9" t="s">
        <v>2806</v>
      </c>
      <c r="N852" s="9" t="s">
        <v>35</v>
      </c>
      <c r="O852" s="9" t="s">
        <v>2807</v>
      </c>
      <c r="P852" s="9" t="s">
        <v>1296</v>
      </c>
    </row>
    <row r="853">
      <c r="A853" s="17" t="s">
        <v>342</v>
      </c>
      <c r="B853" s="8">
        <v>6689.0</v>
      </c>
      <c r="C853" s="8">
        <v>800000.0</v>
      </c>
      <c r="D853" s="8">
        <v>811473.0</v>
      </c>
      <c r="E853" s="9" t="s">
        <v>633</v>
      </c>
      <c r="F853" s="9"/>
      <c r="G853" s="9" t="s">
        <v>426</v>
      </c>
      <c r="H853" s="9" t="s">
        <v>345</v>
      </c>
      <c r="I853" s="8">
        <v>1953.0</v>
      </c>
      <c r="J853" s="9" t="s">
        <v>346</v>
      </c>
      <c r="K853" s="9" t="s">
        <v>43</v>
      </c>
      <c r="L853" s="9" t="s">
        <v>43</v>
      </c>
      <c r="M853" s="9" t="s">
        <v>2808</v>
      </c>
      <c r="N853" s="9" t="s">
        <v>35</v>
      </c>
      <c r="O853" s="9" t="s">
        <v>2809</v>
      </c>
      <c r="P853" s="9" t="s">
        <v>1296</v>
      </c>
    </row>
    <row r="854">
      <c r="A854" s="17" t="s">
        <v>342</v>
      </c>
      <c r="B854" s="8">
        <v>6707.0</v>
      </c>
      <c r="C854" s="8">
        <v>957749.0</v>
      </c>
      <c r="D854" s="8">
        <v>975812.0</v>
      </c>
      <c r="E854" s="9" t="s">
        <v>633</v>
      </c>
      <c r="F854" s="9"/>
      <c r="G854" s="9" t="s">
        <v>426</v>
      </c>
      <c r="H854" s="9" t="s">
        <v>345</v>
      </c>
      <c r="I854" s="8">
        <v>1953.0</v>
      </c>
      <c r="J854" s="9" t="s">
        <v>346</v>
      </c>
      <c r="K854" s="9" t="s">
        <v>43</v>
      </c>
      <c r="L854" s="9" t="s">
        <v>43</v>
      </c>
      <c r="M854" s="9" t="s">
        <v>2810</v>
      </c>
      <c r="N854" s="9" t="s">
        <v>35</v>
      </c>
      <c r="O854" s="9" t="s">
        <v>2811</v>
      </c>
      <c r="P854" s="9" t="s">
        <v>1296</v>
      </c>
    </row>
    <row r="855">
      <c r="A855" s="17" t="s">
        <v>342</v>
      </c>
      <c r="B855" s="8">
        <v>6708.0</v>
      </c>
      <c r="C855" s="8">
        <v>975812.0</v>
      </c>
      <c r="D855" s="8">
        <v>985705.0</v>
      </c>
      <c r="E855" s="9" t="s">
        <v>633</v>
      </c>
      <c r="F855" s="9"/>
      <c r="G855" s="9" t="s">
        <v>426</v>
      </c>
      <c r="H855" s="9" t="s">
        <v>345</v>
      </c>
      <c r="I855" s="8">
        <v>1953.0</v>
      </c>
      <c r="J855" s="9" t="s">
        <v>346</v>
      </c>
      <c r="K855" s="9" t="s">
        <v>43</v>
      </c>
      <c r="L855" s="9" t="s">
        <v>43</v>
      </c>
      <c r="M855" s="9" t="s">
        <v>2812</v>
      </c>
      <c r="N855" s="9" t="s">
        <v>35</v>
      </c>
      <c r="O855" s="9" t="s">
        <v>2813</v>
      </c>
      <c r="P855" s="9" t="s">
        <v>1296</v>
      </c>
    </row>
    <row r="856">
      <c r="A856" s="17" t="s">
        <v>342</v>
      </c>
      <c r="B856" s="8">
        <v>6720.0</v>
      </c>
      <c r="C856" s="8">
        <v>1079860.0</v>
      </c>
      <c r="D856" s="8">
        <v>1085301.0</v>
      </c>
      <c r="E856" s="9" t="s">
        <v>633</v>
      </c>
      <c r="F856" s="9"/>
      <c r="G856" s="9" t="s">
        <v>426</v>
      </c>
      <c r="H856" s="9" t="s">
        <v>345</v>
      </c>
      <c r="I856" s="8">
        <v>1953.0</v>
      </c>
      <c r="J856" s="9" t="s">
        <v>346</v>
      </c>
      <c r="K856" s="9" t="s">
        <v>43</v>
      </c>
      <c r="L856" s="9" t="s">
        <v>43</v>
      </c>
      <c r="M856" s="9" t="s">
        <v>2814</v>
      </c>
      <c r="N856" s="9" t="s">
        <v>35</v>
      </c>
      <c r="O856" s="9" t="s">
        <v>2815</v>
      </c>
      <c r="P856" s="9" t="s">
        <v>1316</v>
      </c>
    </row>
    <row r="857">
      <c r="A857" s="17" t="s">
        <v>342</v>
      </c>
      <c r="B857" s="8">
        <v>6749.0</v>
      </c>
      <c r="C857" s="8">
        <v>1427553.0</v>
      </c>
      <c r="D857" s="8">
        <v>1445261.0</v>
      </c>
      <c r="E857" s="9" t="s">
        <v>633</v>
      </c>
      <c r="F857" s="9"/>
      <c r="G857" s="9" t="s">
        <v>426</v>
      </c>
      <c r="H857" s="9" t="s">
        <v>345</v>
      </c>
      <c r="I857" s="8">
        <v>1953.0</v>
      </c>
      <c r="J857" s="9" t="s">
        <v>346</v>
      </c>
      <c r="K857" s="9" t="s">
        <v>43</v>
      </c>
      <c r="L857" s="9" t="s">
        <v>43</v>
      </c>
      <c r="M857" s="9" t="s">
        <v>2816</v>
      </c>
      <c r="N857" s="9" t="s">
        <v>35</v>
      </c>
      <c r="O857" s="9" t="s">
        <v>2817</v>
      </c>
      <c r="P857" s="9" t="s">
        <v>1300</v>
      </c>
    </row>
    <row r="858">
      <c r="A858" s="17" t="s">
        <v>342</v>
      </c>
      <c r="B858" s="8">
        <v>6758.0</v>
      </c>
      <c r="C858" s="8">
        <v>1530536.0</v>
      </c>
      <c r="D858" s="8">
        <v>1532044.0</v>
      </c>
      <c r="E858" s="9" t="s">
        <v>633</v>
      </c>
      <c r="F858" s="9"/>
      <c r="G858" s="9" t="s">
        <v>426</v>
      </c>
      <c r="H858" s="9" t="s">
        <v>345</v>
      </c>
      <c r="I858" s="8">
        <v>1953.0</v>
      </c>
      <c r="J858" s="9" t="s">
        <v>346</v>
      </c>
      <c r="K858" s="9" t="s">
        <v>43</v>
      </c>
      <c r="L858" s="9" t="s">
        <v>43</v>
      </c>
      <c r="M858" s="9" t="s">
        <v>2818</v>
      </c>
      <c r="N858" s="9" t="s">
        <v>35</v>
      </c>
      <c r="O858" s="9" t="s">
        <v>2702</v>
      </c>
      <c r="P858" s="9" t="s">
        <v>1296</v>
      </c>
    </row>
    <row r="859">
      <c r="A859" s="17" t="s">
        <v>342</v>
      </c>
      <c r="B859" s="8">
        <v>6775.0</v>
      </c>
      <c r="C859" s="8">
        <v>1728150.0</v>
      </c>
      <c r="D859" s="8">
        <v>1744226.0</v>
      </c>
      <c r="E859" s="9" t="s">
        <v>633</v>
      </c>
      <c r="F859" s="9"/>
      <c r="G859" s="9" t="s">
        <v>426</v>
      </c>
      <c r="H859" s="9" t="s">
        <v>345</v>
      </c>
      <c r="I859" s="8">
        <v>1953.0</v>
      </c>
      <c r="J859" s="9" t="s">
        <v>346</v>
      </c>
      <c r="K859" s="9" t="s">
        <v>43</v>
      </c>
      <c r="L859" s="9" t="s">
        <v>43</v>
      </c>
      <c r="M859" s="9" t="s">
        <v>2819</v>
      </c>
      <c r="N859" s="9" t="s">
        <v>35</v>
      </c>
      <c r="O859" s="9" t="s">
        <v>2820</v>
      </c>
      <c r="P859" s="9" t="s">
        <v>1298</v>
      </c>
    </row>
    <row r="860">
      <c r="A860" s="17" t="s">
        <v>342</v>
      </c>
      <c r="B860" s="8">
        <v>6775.0</v>
      </c>
      <c r="C860" s="8">
        <v>1728150.0</v>
      </c>
      <c r="D860" s="8">
        <v>1744226.0</v>
      </c>
      <c r="E860" s="9" t="s">
        <v>633</v>
      </c>
      <c r="F860" s="9"/>
      <c r="G860" s="9" t="s">
        <v>426</v>
      </c>
      <c r="H860" s="9" t="s">
        <v>345</v>
      </c>
      <c r="I860" s="8">
        <v>1953.0</v>
      </c>
      <c r="J860" s="9" t="s">
        <v>346</v>
      </c>
      <c r="K860" s="9" t="s">
        <v>43</v>
      </c>
      <c r="L860" s="9" t="s">
        <v>43</v>
      </c>
      <c r="M860" s="9" t="s">
        <v>2821</v>
      </c>
      <c r="N860" s="9" t="s">
        <v>35</v>
      </c>
      <c r="O860" s="9" t="s">
        <v>2822</v>
      </c>
      <c r="P860" s="9" t="s">
        <v>1298</v>
      </c>
    </row>
    <row r="861">
      <c r="A861" s="17" t="s">
        <v>342</v>
      </c>
      <c r="B861" s="8">
        <v>6814.0</v>
      </c>
      <c r="C861" s="8">
        <v>1995804.0</v>
      </c>
      <c r="D861" s="8">
        <v>2006169.0</v>
      </c>
      <c r="E861" s="9" t="s">
        <v>633</v>
      </c>
      <c r="F861" s="9"/>
      <c r="G861" s="9" t="s">
        <v>426</v>
      </c>
      <c r="H861" s="9" t="s">
        <v>345</v>
      </c>
      <c r="I861" s="8">
        <v>1953.0</v>
      </c>
      <c r="J861" s="9" t="s">
        <v>346</v>
      </c>
      <c r="K861" s="9" t="s">
        <v>43</v>
      </c>
      <c r="L861" s="9" t="s">
        <v>43</v>
      </c>
      <c r="M861" s="9" t="s">
        <v>2823</v>
      </c>
      <c r="N861" s="9" t="s">
        <v>35</v>
      </c>
      <c r="O861" s="9" t="s">
        <v>2824</v>
      </c>
      <c r="P861" s="9" t="s">
        <v>1316</v>
      </c>
    </row>
    <row r="862">
      <c r="A862" s="17" t="s">
        <v>342</v>
      </c>
      <c r="B862" s="8">
        <v>6818.0</v>
      </c>
      <c r="C862" s="8">
        <v>2027913.0</v>
      </c>
      <c r="D862" s="8">
        <v>2033133.0</v>
      </c>
      <c r="E862" s="9" t="s">
        <v>633</v>
      </c>
      <c r="F862" s="9"/>
      <c r="G862" s="9" t="s">
        <v>426</v>
      </c>
      <c r="H862" s="9" t="s">
        <v>345</v>
      </c>
      <c r="I862" s="8">
        <v>1953.0</v>
      </c>
      <c r="J862" s="9" t="s">
        <v>346</v>
      </c>
      <c r="K862" s="9" t="s">
        <v>43</v>
      </c>
      <c r="L862" s="9" t="s">
        <v>43</v>
      </c>
      <c r="M862" s="9" t="s">
        <v>2825</v>
      </c>
      <c r="N862" s="9" t="s">
        <v>35</v>
      </c>
      <c r="O862" s="9" t="s">
        <v>2826</v>
      </c>
      <c r="P862" s="9" t="s">
        <v>1296</v>
      </c>
    </row>
    <row r="863">
      <c r="A863" s="17" t="s">
        <v>342</v>
      </c>
      <c r="B863" s="8">
        <v>6868.0</v>
      </c>
      <c r="C863" s="8">
        <v>2426211.0</v>
      </c>
      <c r="D863" s="8">
        <v>2430092.0</v>
      </c>
      <c r="E863" s="9" t="s">
        <v>633</v>
      </c>
      <c r="F863" s="9"/>
      <c r="G863" s="9" t="s">
        <v>426</v>
      </c>
      <c r="H863" s="9" t="s">
        <v>345</v>
      </c>
      <c r="I863" s="8">
        <v>1953.0</v>
      </c>
      <c r="J863" s="9" t="s">
        <v>346</v>
      </c>
      <c r="K863" s="9" t="s">
        <v>43</v>
      </c>
      <c r="L863" s="9" t="s">
        <v>43</v>
      </c>
      <c r="M863" s="9" t="s">
        <v>2827</v>
      </c>
      <c r="N863" s="9" t="s">
        <v>35</v>
      </c>
      <c r="O863" s="9" t="s">
        <v>2828</v>
      </c>
      <c r="P863" s="9" t="s">
        <v>1296</v>
      </c>
    </row>
    <row r="864">
      <c r="A864" s="17" t="s">
        <v>342</v>
      </c>
      <c r="B864" s="8">
        <v>6893.0</v>
      </c>
      <c r="C864" s="8">
        <v>2548934.0</v>
      </c>
      <c r="D864" s="8">
        <v>2556760.0</v>
      </c>
      <c r="E864" s="9" t="s">
        <v>633</v>
      </c>
      <c r="F864" s="9"/>
      <c r="G864" s="9" t="s">
        <v>426</v>
      </c>
      <c r="H864" s="9" t="s">
        <v>345</v>
      </c>
      <c r="I864" s="8">
        <v>1953.0</v>
      </c>
      <c r="J864" s="9" t="s">
        <v>346</v>
      </c>
      <c r="K864" s="9" t="s">
        <v>43</v>
      </c>
      <c r="L864" s="9" t="s">
        <v>43</v>
      </c>
      <c r="M864" s="9" t="s">
        <v>2829</v>
      </c>
      <c r="N864" s="9" t="s">
        <v>35</v>
      </c>
      <c r="O864" s="9" t="s">
        <v>2830</v>
      </c>
      <c r="P864" s="9" t="s">
        <v>1316</v>
      </c>
    </row>
    <row r="865">
      <c r="A865" s="17" t="s">
        <v>342</v>
      </c>
      <c r="B865" s="8">
        <v>6901.0</v>
      </c>
      <c r="C865" s="8">
        <v>2610430.0</v>
      </c>
      <c r="D865" s="8">
        <v>2615109.0</v>
      </c>
      <c r="E865" s="9" t="s">
        <v>633</v>
      </c>
      <c r="F865" s="9"/>
      <c r="G865" s="9" t="s">
        <v>426</v>
      </c>
      <c r="H865" s="9" t="s">
        <v>345</v>
      </c>
      <c r="I865" s="8">
        <v>1953.0</v>
      </c>
      <c r="J865" s="9" t="s">
        <v>346</v>
      </c>
      <c r="K865" s="9" t="s">
        <v>43</v>
      </c>
      <c r="L865" s="9" t="s">
        <v>43</v>
      </c>
      <c r="M865" s="9" t="s">
        <v>2831</v>
      </c>
      <c r="N865" s="9" t="s">
        <v>35</v>
      </c>
      <c r="O865" s="9" t="s">
        <v>2832</v>
      </c>
      <c r="P865" s="9" t="s">
        <v>1296</v>
      </c>
    </row>
    <row r="866">
      <c r="A866" s="17" t="s">
        <v>342</v>
      </c>
      <c r="B866" s="8">
        <v>6912.0</v>
      </c>
      <c r="C866" s="8">
        <v>2669190.0</v>
      </c>
      <c r="D866" s="8">
        <v>2671090.0</v>
      </c>
      <c r="E866" s="9" t="s">
        <v>633</v>
      </c>
      <c r="F866" s="9"/>
      <c r="G866" s="9" t="s">
        <v>426</v>
      </c>
      <c r="H866" s="9" t="s">
        <v>345</v>
      </c>
      <c r="I866" s="8">
        <v>1953.0</v>
      </c>
      <c r="J866" s="9" t="s">
        <v>346</v>
      </c>
      <c r="K866" s="9" t="s">
        <v>43</v>
      </c>
      <c r="L866" s="9" t="s">
        <v>43</v>
      </c>
      <c r="M866" s="9" t="s">
        <v>2833</v>
      </c>
      <c r="N866" s="9" t="s">
        <v>35</v>
      </c>
      <c r="O866" s="9" t="s">
        <v>2834</v>
      </c>
      <c r="P866" s="9" t="s">
        <v>1316</v>
      </c>
    </row>
    <row r="867">
      <c r="A867" s="17" t="s">
        <v>342</v>
      </c>
      <c r="B867" s="8">
        <v>6914.0</v>
      </c>
      <c r="C867" s="8">
        <v>2682220.0</v>
      </c>
      <c r="D867" s="8">
        <v>2685400.0</v>
      </c>
      <c r="E867" s="9" t="s">
        <v>633</v>
      </c>
      <c r="F867" s="9"/>
      <c r="G867" s="9" t="s">
        <v>426</v>
      </c>
      <c r="H867" s="9" t="s">
        <v>345</v>
      </c>
      <c r="I867" s="8">
        <v>1953.0</v>
      </c>
      <c r="J867" s="9" t="s">
        <v>346</v>
      </c>
      <c r="K867" s="9" t="s">
        <v>43</v>
      </c>
      <c r="L867" s="9" t="s">
        <v>43</v>
      </c>
      <c r="M867" s="9"/>
      <c r="N867" s="9" t="s">
        <v>45</v>
      </c>
      <c r="O867" s="9" t="s">
        <v>2835</v>
      </c>
      <c r="P867" s="9" t="s">
        <v>1316</v>
      </c>
    </row>
    <row r="868">
      <c r="A868" s="17" t="s">
        <v>342</v>
      </c>
      <c r="B868" s="8">
        <v>6914.0</v>
      </c>
      <c r="C868" s="8">
        <v>2682220.0</v>
      </c>
      <c r="D868" s="8">
        <v>2685400.0</v>
      </c>
      <c r="E868" s="9" t="s">
        <v>633</v>
      </c>
      <c r="F868" s="9"/>
      <c r="G868" s="9" t="s">
        <v>426</v>
      </c>
      <c r="H868" s="9" t="s">
        <v>345</v>
      </c>
      <c r="I868" s="8">
        <v>1953.0</v>
      </c>
      <c r="J868" s="9" t="s">
        <v>346</v>
      </c>
      <c r="K868" s="9" t="s">
        <v>43</v>
      </c>
      <c r="L868" s="9" t="s">
        <v>43</v>
      </c>
      <c r="M868" s="9" t="s">
        <v>2836</v>
      </c>
      <c r="N868" s="9" t="s">
        <v>35</v>
      </c>
      <c r="O868" s="9" t="s">
        <v>2837</v>
      </c>
      <c r="P868" s="9" t="s">
        <v>1316</v>
      </c>
    </row>
    <row r="869">
      <c r="A869" s="17" t="s">
        <v>342</v>
      </c>
      <c r="B869" s="8">
        <v>6949.0</v>
      </c>
      <c r="C869" s="8">
        <v>2894402.0</v>
      </c>
      <c r="D869" s="8">
        <v>2901631.0</v>
      </c>
      <c r="E869" s="9" t="s">
        <v>633</v>
      </c>
      <c r="F869" s="9"/>
      <c r="G869" s="9" t="s">
        <v>426</v>
      </c>
      <c r="H869" s="9" t="s">
        <v>345</v>
      </c>
      <c r="I869" s="8">
        <v>1953.0</v>
      </c>
      <c r="J869" s="9" t="s">
        <v>346</v>
      </c>
      <c r="K869" s="9" t="s">
        <v>43</v>
      </c>
      <c r="L869" s="9" t="s">
        <v>43</v>
      </c>
      <c r="M869" s="9" t="s">
        <v>2838</v>
      </c>
      <c r="N869" s="9" t="s">
        <v>45</v>
      </c>
      <c r="O869" s="9" t="s">
        <v>2839</v>
      </c>
      <c r="P869" s="9" t="s">
        <v>1300</v>
      </c>
    </row>
    <row r="870">
      <c r="A870" s="17" t="s">
        <v>342</v>
      </c>
      <c r="B870" s="8">
        <v>6949.0</v>
      </c>
      <c r="C870" s="8">
        <v>2894402.0</v>
      </c>
      <c r="D870" s="8">
        <v>2901631.0</v>
      </c>
      <c r="E870" s="9" t="s">
        <v>633</v>
      </c>
      <c r="F870" s="9"/>
      <c r="G870" s="9" t="s">
        <v>426</v>
      </c>
      <c r="H870" s="9" t="s">
        <v>345</v>
      </c>
      <c r="I870" s="8">
        <v>1953.0</v>
      </c>
      <c r="J870" s="9" t="s">
        <v>346</v>
      </c>
      <c r="K870" s="9" t="s">
        <v>43</v>
      </c>
      <c r="L870" s="9" t="s">
        <v>43</v>
      </c>
      <c r="M870" s="9" t="s">
        <v>2840</v>
      </c>
      <c r="N870" s="9" t="s">
        <v>45</v>
      </c>
      <c r="O870" s="9" t="s">
        <v>2841</v>
      </c>
      <c r="P870" s="9" t="s">
        <v>1316</v>
      </c>
    </row>
    <row r="871">
      <c r="A871" s="17" t="s">
        <v>342</v>
      </c>
      <c r="B871" s="8">
        <v>6949.0</v>
      </c>
      <c r="C871" s="8">
        <v>2894402.0</v>
      </c>
      <c r="D871" s="8">
        <v>2901631.0</v>
      </c>
      <c r="E871" s="9" t="s">
        <v>633</v>
      </c>
      <c r="F871" s="9"/>
      <c r="G871" s="9" t="s">
        <v>426</v>
      </c>
      <c r="H871" s="9" t="s">
        <v>345</v>
      </c>
      <c r="I871" s="8">
        <v>1953.0</v>
      </c>
      <c r="J871" s="9" t="s">
        <v>346</v>
      </c>
      <c r="K871" s="9" t="s">
        <v>43</v>
      </c>
      <c r="L871" s="9" t="s">
        <v>43</v>
      </c>
      <c r="M871" s="9" t="s">
        <v>2842</v>
      </c>
      <c r="N871" s="9" t="s">
        <v>35</v>
      </c>
      <c r="O871" s="9" t="s">
        <v>2843</v>
      </c>
      <c r="P871" s="9" t="s">
        <v>1316</v>
      </c>
    </row>
    <row r="872">
      <c r="A872" s="17" t="s">
        <v>342</v>
      </c>
      <c r="B872" s="8">
        <v>6957.0</v>
      </c>
      <c r="C872" s="8">
        <v>2949218.0</v>
      </c>
      <c r="D872" s="8">
        <v>2950643.0</v>
      </c>
      <c r="E872" s="9" t="s">
        <v>633</v>
      </c>
      <c r="F872" s="9"/>
      <c r="G872" s="9" t="s">
        <v>426</v>
      </c>
      <c r="H872" s="9" t="s">
        <v>345</v>
      </c>
      <c r="I872" s="8">
        <v>1953.0</v>
      </c>
      <c r="J872" s="9" t="s">
        <v>346</v>
      </c>
      <c r="K872" s="9" t="s">
        <v>43</v>
      </c>
      <c r="L872" s="9" t="s">
        <v>43</v>
      </c>
      <c r="M872" s="9" t="s">
        <v>2844</v>
      </c>
      <c r="N872" s="9" t="s">
        <v>35</v>
      </c>
      <c r="O872" s="9" t="s">
        <v>2845</v>
      </c>
      <c r="P872" s="9" t="s">
        <v>1296</v>
      </c>
    </row>
    <row r="873">
      <c r="A873" s="17" t="s">
        <v>342</v>
      </c>
      <c r="B873" s="8">
        <v>6959.0</v>
      </c>
      <c r="C873" s="8">
        <v>2960724.0</v>
      </c>
      <c r="D873" s="8">
        <v>2963563.0</v>
      </c>
      <c r="E873" s="9" t="s">
        <v>633</v>
      </c>
      <c r="F873" s="9"/>
      <c r="G873" s="9" t="s">
        <v>426</v>
      </c>
      <c r="H873" s="9" t="s">
        <v>345</v>
      </c>
      <c r="I873" s="8">
        <v>1953.0</v>
      </c>
      <c r="J873" s="9" t="s">
        <v>346</v>
      </c>
      <c r="K873" s="9" t="s">
        <v>43</v>
      </c>
      <c r="L873" s="9" t="s">
        <v>43</v>
      </c>
      <c r="M873" s="9" t="s">
        <v>2846</v>
      </c>
      <c r="N873" s="9" t="s">
        <v>35</v>
      </c>
      <c r="O873" s="9" t="s">
        <v>1320</v>
      </c>
      <c r="P873" s="9" t="s">
        <v>1296</v>
      </c>
    </row>
    <row r="874">
      <c r="A874" s="17" t="s">
        <v>342</v>
      </c>
      <c r="B874" s="8">
        <v>6992.0</v>
      </c>
      <c r="C874" s="8">
        <v>3155340.0</v>
      </c>
      <c r="D874" s="8">
        <v>3160970.0</v>
      </c>
      <c r="E874" s="9" t="s">
        <v>633</v>
      </c>
      <c r="F874" s="9"/>
      <c r="G874" s="9" t="s">
        <v>426</v>
      </c>
      <c r="H874" s="9" t="s">
        <v>345</v>
      </c>
      <c r="I874" s="8">
        <v>1953.0</v>
      </c>
      <c r="J874" s="9" t="s">
        <v>346</v>
      </c>
      <c r="K874" s="9" t="s">
        <v>43</v>
      </c>
      <c r="L874" s="9" t="s">
        <v>43</v>
      </c>
      <c r="M874" s="9" t="s">
        <v>2847</v>
      </c>
      <c r="N874" s="9" t="s">
        <v>35</v>
      </c>
      <c r="O874" s="9" t="s">
        <v>2848</v>
      </c>
      <c r="P874" s="9" t="s">
        <v>1296</v>
      </c>
    </row>
    <row r="875">
      <c r="A875" s="17" t="s">
        <v>342</v>
      </c>
      <c r="B875" s="8">
        <v>7002.0</v>
      </c>
      <c r="C875" s="8">
        <v>3198100.0</v>
      </c>
      <c r="D875" s="8">
        <v>3209140.0</v>
      </c>
      <c r="E875" s="9" t="s">
        <v>633</v>
      </c>
      <c r="F875" s="9"/>
      <c r="G875" s="9" t="s">
        <v>426</v>
      </c>
      <c r="H875" s="9" t="s">
        <v>345</v>
      </c>
      <c r="I875" s="8">
        <v>1953.0</v>
      </c>
      <c r="J875" s="9" t="s">
        <v>346</v>
      </c>
      <c r="K875" s="9" t="s">
        <v>43</v>
      </c>
      <c r="L875" s="9" t="s">
        <v>43</v>
      </c>
      <c r="M875" s="9" t="s">
        <v>2849</v>
      </c>
      <c r="N875" s="9" t="s">
        <v>35</v>
      </c>
      <c r="O875" s="9" t="s">
        <v>2850</v>
      </c>
      <c r="P875" s="9" t="s">
        <v>1296</v>
      </c>
    </row>
    <row r="876">
      <c r="A876" s="17" t="s">
        <v>342</v>
      </c>
      <c r="B876" s="8">
        <v>7002.0</v>
      </c>
      <c r="C876" s="8">
        <v>3198100.0</v>
      </c>
      <c r="D876" s="8">
        <v>3209140.0</v>
      </c>
      <c r="E876" s="9" t="s">
        <v>633</v>
      </c>
      <c r="F876" s="9"/>
      <c r="G876" s="9" t="s">
        <v>426</v>
      </c>
      <c r="H876" s="9" t="s">
        <v>345</v>
      </c>
      <c r="I876" s="8">
        <v>1953.0</v>
      </c>
      <c r="J876" s="9" t="s">
        <v>346</v>
      </c>
      <c r="K876" s="9" t="s">
        <v>43</v>
      </c>
      <c r="L876" s="9" t="s">
        <v>43</v>
      </c>
      <c r="M876" s="9" t="s">
        <v>2851</v>
      </c>
      <c r="N876" s="9" t="s">
        <v>35</v>
      </c>
      <c r="O876" s="9" t="s">
        <v>2852</v>
      </c>
      <c r="P876" s="9" t="s">
        <v>1296</v>
      </c>
    </row>
    <row r="877">
      <c r="A877" s="17" t="s">
        <v>342</v>
      </c>
      <c r="B877" s="8">
        <v>7008.0</v>
      </c>
      <c r="C877" s="8">
        <v>3237590.0</v>
      </c>
      <c r="D877" s="8">
        <v>3242510.0</v>
      </c>
      <c r="E877" s="9" t="s">
        <v>633</v>
      </c>
      <c r="F877" s="9"/>
      <c r="G877" s="9" t="s">
        <v>426</v>
      </c>
      <c r="H877" s="9" t="s">
        <v>345</v>
      </c>
      <c r="I877" s="8">
        <v>1953.0</v>
      </c>
      <c r="J877" s="9" t="s">
        <v>346</v>
      </c>
      <c r="K877" s="9" t="s">
        <v>43</v>
      </c>
      <c r="L877" s="9" t="s">
        <v>43</v>
      </c>
      <c r="M877" s="9" t="s">
        <v>2853</v>
      </c>
      <c r="N877" s="9" t="s">
        <v>35</v>
      </c>
      <c r="O877" s="9" t="s">
        <v>2854</v>
      </c>
      <c r="P877" s="9" t="s">
        <v>1316</v>
      </c>
    </row>
    <row r="878">
      <c r="A878" s="17" t="s">
        <v>342</v>
      </c>
      <c r="B878" s="8">
        <v>7020.0</v>
      </c>
      <c r="C878" s="8">
        <v>3312360.0</v>
      </c>
      <c r="D878" s="8">
        <v>3316450.0</v>
      </c>
      <c r="E878" s="9" t="s">
        <v>633</v>
      </c>
      <c r="F878" s="9"/>
      <c r="G878" s="9" t="s">
        <v>426</v>
      </c>
      <c r="H878" s="9" t="s">
        <v>345</v>
      </c>
      <c r="I878" s="8">
        <v>1953.0</v>
      </c>
      <c r="J878" s="9" t="s">
        <v>346</v>
      </c>
      <c r="K878" s="9" t="s">
        <v>43</v>
      </c>
      <c r="L878" s="9" t="s">
        <v>43</v>
      </c>
      <c r="M878" s="9" t="s">
        <v>2855</v>
      </c>
      <c r="N878" s="9" t="s">
        <v>35</v>
      </c>
      <c r="O878" s="9" t="s">
        <v>2856</v>
      </c>
      <c r="P878" s="9" t="s">
        <v>1296</v>
      </c>
    </row>
    <row r="879">
      <c r="A879" s="17" t="s">
        <v>342</v>
      </c>
      <c r="B879" s="8">
        <v>7033.0</v>
      </c>
      <c r="C879" s="8">
        <v>3378450.0</v>
      </c>
      <c r="D879" s="8">
        <v>3382610.0</v>
      </c>
      <c r="E879" s="9" t="s">
        <v>633</v>
      </c>
      <c r="F879" s="9"/>
      <c r="G879" s="9" t="s">
        <v>426</v>
      </c>
      <c r="H879" s="9" t="s">
        <v>345</v>
      </c>
      <c r="I879" s="8">
        <v>1953.0</v>
      </c>
      <c r="J879" s="9" t="s">
        <v>346</v>
      </c>
      <c r="K879" s="9" t="s">
        <v>43</v>
      </c>
      <c r="L879" s="9" t="s">
        <v>43</v>
      </c>
      <c r="M879" s="9" t="s">
        <v>2857</v>
      </c>
      <c r="N879" s="9" t="s">
        <v>35</v>
      </c>
      <c r="O879" s="9" t="s">
        <v>2858</v>
      </c>
      <c r="P879" s="9" t="s">
        <v>1296</v>
      </c>
    </row>
    <row r="880">
      <c r="A880" s="17" t="s">
        <v>342</v>
      </c>
      <c r="B880" s="8">
        <v>7035.0</v>
      </c>
      <c r="C880" s="8">
        <v>3391510.0</v>
      </c>
      <c r="D880" s="8">
        <v>3397140.0</v>
      </c>
      <c r="E880" s="9" t="s">
        <v>633</v>
      </c>
      <c r="F880" s="9"/>
      <c r="G880" s="9" t="s">
        <v>426</v>
      </c>
      <c r="H880" s="9" t="s">
        <v>345</v>
      </c>
      <c r="I880" s="8">
        <v>1953.0</v>
      </c>
      <c r="J880" s="9" t="s">
        <v>346</v>
      </c>
      <c r="K880" s="9" t="s">
        <v>43</v>
      </c>
      <c r="L880" s="9" t="s">
        <v>43</v>
      </c>
      <c r="M880" s="9" t="s">
        <v>2859</v>
      </c>
      <c r="N880" s="9" t="s">
        <v>35</v>
      </c>
      <c r="O880" s="9" t="s">
        <v>2860</v>
      </c>
      <c r="P880" s="9" t="s">
        <v>1296</v>
      </c>
    </row>
    <row r="881">
      <c r="A881" s="17" t="s">
        <v>342</v>
      </c>
      <c r="B881" s="8">
        <v>7038.0</v>
      </c>
      <c r="C881" s="8">
        <v>3405190.0</v>
      </c>
      <c r="D881" s="8">
        <v>3410160.0</v>
      </c>
      <c r="E881" s="9" t="s">
        <v>633</v>
      </c>
      <c r="F881" s="9"/>
      <c r="G881" s="9" t="s">
        <v>426</v>
      </c>
      <c r="H881" s="9" t="s">
        <v>345</v>
      </c>
      <c r="I881" s="8">
        <v>1953.0</v>
      </c>
      <c r="J881" s="9" t="s">
        <v>346</v>
      </c>
      <c r="K881" s="9" t="s">
        <v>43</v>
      </c>
      <c r="L881" s="9" t="s">
        <v>43</v>
      </c>
      <c r="M881" s="9" t="s">
        <v>2861</v>
      </c>
      <c r="N881" s="9" t="s">
        <v>35</v>
      </c>
      <c r="O881" s="9" t="s">
        <v>2862</v>
      </c>
      <c r="P881" s="9" t="s">
        <v>1296</v>
      </c>
    </row>
    <row r="882">
      <c r="A882" s="17" t="s">
        <v>342</v>
      </c>
      <c r="B882" s="8">
        <v>7039.0</v>
      </c>
      <c r="C882" s="8">
        <v>3412575.0</v>
      </c>
      <c r="D882" s="8">
        <v>3416625.0</v>
      </c>
      <c r="E882" s="9" t="s">
        <v>633</v>
      </c>
      <c r="F882" s="9"/>
      <c r="G882" s="9" t="s">
        <v>426</v>
      </c>
      <c r="H882" s="9" t="s">
        <v>345</v>
      </c>
      <c r="I882" s="8">
        <v>1953.0</v>
      </c>
      <c r="J882" s="9" t="s">
        <v>346</v>
      </c>
      <c r="K882" s="9" t="s">
        <v>43</v>
      </c>
      <c r="L882" s="9" t="s">
        <v>43</v>
      </c>
      <c r="M882" s="9" t="s">
        <v>285</v>
      </c>
      <c r="N882" s="9" t="s">
        <v>35</v>
      </c>
      <c r="O882" s="9" t="s">
        <v>2863</v>
      </c>
      <c r="P882" s="9" t="s">
        <v>1296</v>
      </c>
    </row>
    <row r="883">
      <c r="A883" s="17" t="s">
        <v>342</v>
      </c>
      <c r="B883" s="8">
        <v>7039.0</v>
      </c>
      <c r="C883" s="8">
        <v>3412575.0</v>
      </c>
      <c r="D883" s="8">
        <v>3416625.0</v>
      </c>
      <c r="E883" s="9" t="s">
        <v>633</v>
      </c>
      <c r="F883" s="9"/>
      <c r="G883" s="9" t="s">
        <v>426</v>
      </c>
      <c r="H883" s="9" t="s">
        <v>345</v>
      </c>
      <c r="I883" s="8">
        <v>1953.0</v>
      </c>
      <c r="J883" s="9" t="s">
        <v>346</v>
      </c>
      <c r="K883" s="9" t="s">
        <v>43</v>
      </c>
      <c r="L883" s="9" t="s">
        <v>43</v>
      </c>
      <c r="M883" s="9" t="s">
        <v>2864</v>
      </c>
      <c r="N883" s="9" t="s">
        <v>35</v>
      </c>
      <c r="O883" s="9" t="s">
        <v>2865</v>
      </c>
      <c r="P883" s="9" t="s">
        <v>1296</v>
      </c>
    </row>
    <row r="884">
      <c r="A884" s="17" t="s">
        <v>342</v>
      </c>
      <c r="B884" s="8">
        <v>7052.0</v>
      </c>
      <c r="C884" s="8">
        <v>3505650.0</v>
      </c>
      <c r="D884" s="8">
        <v>3514670.0</v>
      </c>
      <c r="E884" s="9" t="s">
        <v>633</v>
      </c>
      <c r="F884" s="9"/>
      <c r="G884" s="9" t="s">
        <v>426</v>
      </c>
      <c r="H884" s="9" t="s">
        <v>345</v>
      </c>
      <c r="I884" s="8">
        <v>1953.0</v>
      </c>
      <c r="J884" s="9" t="s">
        <v>346</v>
      </c>
      <c r="K884" s="9" t="s">
        <v>43</v>
      </c>
      <c r="L884" s="9" t="s">
        <v>43</v>
      </c>
      <c r="M884" s="9" t="s">
        <v>2866</v>
      </c>
      <c r="N884" s="9" t="s">
        <v>35</v>
      </c>
      <c r="O884" s="9" t="s">
        <v>2867</v>
      </c>
      <c r="P884" s="9" t="s">
        <v>1316</v>
      </c>
    </row>
    <row r="885">
      <c r="A885" s="17" t="s">
        <v>342</v>
      </c>
      <c r="B885" s="8">
        <v>7055.0</v>
      </c>
      <c r="C885" s="8">
        <v>3521650.0</v>
      </c>
      <c r="D885" s="8">
        <v>3526800.0</v>
      </c>
      <c r="E885" s="9" t="s">
        <v>633</v>
      </c>
      <c r="F885" s="9"/>
      <c r="G885" s="9" t="s">
        <v>426</v>
      </c>
      <c r="H885" s="9" t="s">
        <v>345</v>
      </c>
      <c r="I885" s="8">
        <v>1953.0</v>
      </c>
      <c r="J885" s="9" t="s">
        <v>346</v>
      </c>
      <c r="K885" s="9" t="s">
        <v>43</v>
      </c>
      <c r="L885" s="9" t="s">
        <v>43</v>
      </c>
      <c r="M885" s="9" t="s">
        <v>2868</v>
      </c>
      <c r="N885" s="9" t="s">
        <v>35</v>
      </c>
      <c r="O885" s="9" t="s">
        <v>2869</v>
      </c>
      <c r="P885" s="9" t="s">
        <v>1296</v>
      </c>
    </row>
    <row r="886">
      <c r="A886" s="17" t="s">
        <v>342</v>
      </c>
      <c r="B886" s="8">
        <v>7055.0</v>
      </c>
      <c r="C886" s="8">
        <v>3521650.0</v>
      </c>
      <c r="D886" s="8">
        <v>3526800.0</v>
      </c>
      <c r="E886" s="9" t="s">
        <v>633</v>
      </c>
      <c r="F886" s="9"/>
      <c r="G886" s="9" t="s">
        <v>426</v>
      </c>
      <c r="H886" s="9" t="s">
        <v>345</v>
      </c>
      <c r="I886" s="8">
        <v>1953.0</v>
      </c>
      <c r="J886" s="9" t="s">
        <v>346</v>
      </c>
      <c r="K886" s="9" t="s">
        <v>43</v>
      </c>
      <c r="L886" s="9" t="s">
        <v>43</v>
      </c>
      <c r="M886" s="9" t="s">
        <v>2870</v>
      </c>
      <c r="N886" s="9" t="s">
        <v>35</v>
      </c>
      <c r="O886" s="9" t="s">
        <v>2871</v>
      </c>
      <c r="P886" s="9" t="s">
        <v>1296</v>
      </c>
    </row>
    <row r="887">
      <c r="A887" s="17" t="s">
        <v>342</v>
      </c>
      <c r="B887" s="8">
        <v>7055.0</v>
      </c>
      <c r="C887" s="8">
        <v>3521650.0</v>
      </c>
      <c r="D887" s="8">
        <v>3526800.0</v>
      </c>
      <c r="E887" s="9" t="s">
        <v>633</v>
      </c>
      <c r="F887" s="9"/>
      <c r="G887" s="9" t="s">
        <v>426</v>
      </c>
      <c r="H887" s="9" t="s">
        <v>345</v>
      </c>
      <c r="I887" s="8">
        <v>1953.0</v>
      </c>
      <c r="J887" s="9" t="s">
        <v>346</v>
      </c>
      <c r="K887" s="9" t="s">
        <v>43</v>
      </c>
      <c r="L887" s="9" t="s">
        <v>43</v>
      </c>
      <c r="M887" s="9" t="s">
        <v>2872</v>
      </c>
      <c r="N887" s="9" t="s">
        <v>35</v>
      </c>
      <c r="O887" s="9" t="s">
        <v>2873</v>
      </c>
      <c r="P887" s="9" t="s">
        <v>1296</v>
      </c>
    </row>
    <row r="888">
      <c r="A888" s="17" t="s">
        <v>342</v>
      </c>
      <c r="B888" s="8">
        <v>7086.0</v>
      </c>
      <c r="C888" s="8">
        <v>3681804.0</v>
      </c>
      <c r="D888" s="8">
        <v>3688716.0</v>
      </c>
      <c r="E888" s="9" t="s">
        <v>633</v>
      </c>
      <c r="F888" s="9"/>
      <c r="G888" s="9" t="s">
        <v>426</v>
      </c>
      <c r="H888" s="9" t="s">
        <v>345</v>
      </c>
      <c r="I888" s="8">
        <v>1953.0</v>
      </c>
      <c r="J888" s="9" t="s">
        <v>346</v>
      </c>
      <c r="K888" s="9" t="s">
        <v>43</v>
      </c>
      <c r="L888" s="9" t="s">
        <v>43</v>
      </c>
      <c r="M888" s="9" t="s">
        <v>2874</v>
      </c>
      <c r="N888" s="9" t="s">
        <v>35</v>
      </c>
      <c r="O888" s="9" t="s">
        <v>2875</v>
      </c>
      <c r="P888" s="9" t="s">
        <v>1300</v>
      </c>
    </row>
    <row r="889">
      <c r="A889" s="17" t="s">
        <v>342</v>
      </c>
      <c r="B889" s="8">
        <v>7086.0</v>
      </c>
      <c r="C889" s="8">
        <v>3681804.0</v>
      </c>
      <c r="D889" s="8">
        <v>3688716.0</v>
      </c>
      <c r="E889" s="9" t="s">
        <v>633</v>
      </c>
      <c r="F889" s="9"/>
      <c r="G889" s="9" t="s">
        <v>426</v>
      </c>
      <c r="H889" s="9" t="s">
        <v>345</v>
      </c>
      <c r="I889" s="8">
        <v>1953.0</v>
      </c>
      <c r="J889" s="9" t="s">
        <v>346</v>
      </c>
      <c r="K889" s="9" t="s">
        <v>43</v>
      </c>
      <c r="L889" s="9" t="s">
        <v>43</v>
      </c>
      <c r="M889" s="9" t="s">
        <v>2876</v>
      </c>
      <c r="N889" s="9" t="s">
        <v>35</v>
      </c>
      <c r="O889" s="9" t="s">
        <v>2877</v>
      </c>
      <c r="P889" s="9" t="s">
        <v>1296</v>
      </c>
    </row>
    <row r="890">
      <c r="A890" s="17" t="s">
        <v>342</v>
      </c>
      <c r="B890" s="8">
        <v>7109.0</v>
      </c>
      <c r="C890" s="8">
        <v>3796708.0</v>
      </c>
      <c r="D890" s="8">
        <v>3812596.0</v>
      </c>
      <c r="E890" s="9" t="s">
        <v>633</v>
      </c>
      <c r="F890" s="9"/>
      <c r="G890" s="9" t="s">
        <v>426</v>
      </c>
      <c r="H890" s="9" t="s">
        <v>345</v>
      </c>
      <c r="I890" s="8">
        <v>1953.0</v>
      </c>
      <c r="J890" s="9" t="s">
        <v>346</v>
      </c>
      <c r="K890" s="9" t="s">
        <v>43</v>
      </c>
      <c r="L890" s="9" t="s">
        <v>43</v>
      </c>
      <c r="M890" s="9" t="s">
        <v>2878</v>
      </c>
      <c r="N890" s="9" t="s">
        <v>35</v>
      </c>
      <c r="O890" s="9" t="s">
        <v>2879</v>
      </c>
      <c r="P890" s="9" t="s">
        <v>1296</v>
      </c>
    </row>
    <row r="891">
      <c r="A891" s="17" t="s">
        <v>342</v>
      </c>
      <c r="B891" s="8">
        <v>7143.0</v>
      </c>
      <c r="C891" s="8">
        <v>3977257.0</v>
      </c>
      <c r="D891" s="8">
        <v>3980100.0</v>
      </c>
      <c r="E891" s="9" t="s">
        <v>633</v>
      </c>
      <c r="F891" s="9"/>
      <c r="G891" s="9" t="s">
        <v>426</v>
      </c>
      <c r="H891" s="9" t="s">
        <v>345</v>
      </c>
      <c r="I891" s="8">
        <v>1953.0</v>
      </c>
      <c r="J891" s="9" t="s">
        <v>346</v>
      </c>
      <c r="K891" s="9" t="s">
        <v>43</v>
      </c>
      <c r="L891" s="9" t="s">
        <v>43</v>
      </c>
      <c r="M891" s="9" t="s">
        <v>2880</v>
      </c>
      <c r="N891" s="9" t="s">
        <v>35</v>
      </c>
      <c r="O891" s="9" t="s">
        <v>2881</v>
      </c>
      <c r="P891" s="9" t="s">
        <v>1296</v>
      </c>
    </row>
    <row r="892">
      <c r="A892" s="17" t="s">
        <v>342</v>
      </c>
      <c r="B892" s="8">
        <v>7150.0</v>
      </c>
      <c r="C892" s="8">
        <v>4006867.0</v>
      </c>
      <c r="D892" s="8">
        <v>4014259.0</v>
      </c>
      <c r="E892" s="9" t="s">
        <v>633</v>
      </c>
      <c r="F892" s="9"/>
      <c r="G892" s="9" t="s">
        <v>426</v>
      </c>
      <c r="H892" s="9" t="s">
        <v>345</v>
      </c>
      <c r="I892" s="8">
        <v>1953.0</v>
      </c>
      <c r="J892" s="9" t="s">
        <v>346</v>
      </c>
      <c r="K892" s="9" t="s">
        <v>43</v>
      </c>
      <c r="L892" s="9" t="s">
        <v>43</v>
      </c>
      <c r="M892" s="9" t="s">
        <v>2882</v>
      </c>
      <c r="N892" s="9" t="s">
        <v>35</v>
      </c>
      <c r="O892" s="9" t="s">
        <v>2883</v>
      </c>
      <c r="P892" s="9" t="s">
        <v>1296</v>
      </c>
    </row>
    <row r="893">
      <c r="A893" s="17" t="s">
        <v>342</v>
      </c>
      <c r="B893" s="8">
        <v>7210.0</v>
      </c>
      <c r="C893" s="8">
        <v>4324988.0</v>
      </c>
      <c r="D893" s="8">
        <v>4328262.0</v>
      </c>
      <c r="E893" s="9" t="s">
        <v>633</v>
      </c>
      <c r="F893" s="9"/>
      <c r="G893" s="9" t="s">
        <v>426</v>
      </c>
      <c r="H893" s="9" t="s">
        <v>345</v>
      </c>
      <c r="I893" s="8">
        <v>1953.0</v>
      </c>
      <c r="J893" s="9" t="s">
        <v>346</v>
      </c>
      <c r="K893" s="9" t="s">
        <v>43</v>
      </c>
      <c r="L893" s="9" t="s">
        <v>43</v>
      </c>
      <c r="M893" s="9" t="s">
        <v>2884</v>
      </c>
      <c r="N893" s="9" t="s">
        <v>35</v>
      </c>
      <c r="O893" s="9" t="s">
        <v>2885</v>
      </c>
      <c r="P893" s="9" t="s">
        <v>1296</v>
      </c>
    </row>
    <row r="894">
      <c r="A894" s="17" t="s">
        <v>342</v>
      </c>
      <c r="B894" s="8">
        <v>7216.0</v>
      </c>
      <c r="C894" s="8">
        <v>4365936.0</v>
      </c>
      <c r="D894" s="8">
        <v>4370112.0</v>
      </c>
      <c r="E894" s="9" t="s">
        <v>633</v>
      </c>
      <c r="F894" s="9"/>
      <c r="G894" s="9" t="s">
        <v>426</v>
      </c>
      <c r="H894" s="9" t="s">
        <v>345</v>
      </c>
      <c r="I894" s="8">
        <v>1953.0</v>
      </c>
      <c r="J894" s="9" t="s">
        <v>346</v>
      </c>
      <c r="K894" s="9" t="s">
        <v>43</v>
      </c>
      <c r="L894" s="9" t="s">
        <v>43</v>
      </c>
      <c r="M894" s="9" t="s">
        <v>2886</v>
      </c>
      <c r="N894" s="9" t="s">
        <v>35</v>
      </c>
      <c r="O894" s="9" t="s">
        <v>2887</v>
      </c>
      <c r="P894" s="9" t="s">
        <v>1296</v>
      </c>
    </row>
    <row r="895">
      <c r="A895" s="17" t="s">
        <v>342</v>
      </c>
      <c r="B895" s="8">
        <v>7216.0</v>
      </c>
      <c r="C895" s="8">
        <v>4365936.0</v>
      </c>
      <c r="D895" s="8">
        <v>4370112.0</v>
      </c>
      <c r="E895" s="9" t="s">
        <v>633</v>
      </c>
      <c r="F895" s="9"/>
      <c r="G895" s="9" t="s">
        <v>426</v>
      </c>
      <c r="H895" s="9" t="s">
        <v>345</v>
      </c>
      <c r="I895" s="8">
        <v>1953.0</v>
      </c>
      <c r="J895" s="9" t="s">
        <v>346</v>
      </c>
      <c r="K895" s="9" t="s">
        <v>43</v>
      </c>
      <c r="L895" s="9" t="s">
        <v>43</v>
      </c>
      <c r="M895" s="9" t="s">
        <v>2888</v>
      </c>
      <c r="N895" s="9" t="s">
        <v>35</v>
      </c>
      <c r="O895" s="9" t="s">
        <v>2889</v>
      </c>
      <c r="P895" s="9" t="s">
        <v>1296</v>
      </c>
    </row>
    <row r="896">
      <c r="A896" s="17" t="s">
        <v>342</v>
      </c>
      <c r="B896" s="8">
        <v>7241.0</v>
      </c>
      <c r="C896" s="8">
        <v>4466775.0</v>
      </c>
      <c r="D896" s="8">
        <v>4490323.0</v>
      </c>
      <c r="E896" s="9" t="s">
        <v>633</v>
      </c>
      <c r="F896" s="9"/>
      <c r="G896" s="9" t="s">
        <v>426</v>
      </c>
      <c r="H896" s="9" t="s">
        <v>345</v>
      </c>
      <c r="I896" s="8">
        <v>1953.0</v>
      </c>
      <c r="J896" s="9" t="s">
        <v>346</v>
      </c>
      <c r="K896" s="9" t="s">
        <v>43</v>
      </c>
      <c r="L896" s="9" t="s">
        <v>43</v>
      </c>
      <c r="M896" s="9" t="s">
        <v>2890</v>
      </c>
      <c r="N896" s="9" t="s">
        <v>35</v>
      </c>
      <c r="O896" s="9" t="s">
        <v>2891</v>
      </c>
      <c r="P896" s="9" t="s">
        <v>1296</v>
      </c>
    </row>
    <row r="897">
      <c r="A897" s="17" t="s">
        <v>342</v>
      </c>
      <c r="B897" s="8">
        <v>7253.0</v>
      </c>
      <c r="C897" s="8">
        <v>4552847.0</v>
      </c>
      <c r="D897" s="8">
        <v>4556621.0</v>
      </c>
      <c r="E897" s="9" t="s">
        <v>633</v>
      </c>
      <c r="F897" s="9"/>
      <c r="G897" s="9" t="s">
        <v>426</v>
      </c>
      <c r="H897" s="9" t="s">
        <v>345</v>
      </c>
      <c r="I897" s="8">
        <v>1953.0</v>
      </c>
      <c r="J897" s="9" t="s">
        <v>346</v>
      </c>
      <c r="K897" s="9" t="s">
        <v>43</v>
      </c>
      <c r="L897" s="9" t="s">
        <v>43</v>
      </c>
      <c r="M897" s="9" t="s">
        <v>2892</v>
      </c>
      <c r="N897" s="9" t="s">
        <v>35</v>
      </c>
      <c r="O897" s="9" t="s">
        <v>2893</v>
      </c>
      <c r="P897" s="9" t="s">
        <v>1296</v>
      </c>
    </row>
    <row r="898">
      <c r="A898" s="17" t="s">
        <v>342</v>
      </c>
      <c r="B898" s="8">
        <v>7253.0</v>
      </c>
      <c r="C898" s="8">
        <v>4552847.0</v>
      </c>
      <c r="D898" s="8">
        <v>4556621.0</v>
      </c>
      <c r="E898" s="9" t="s">
        <v>633</v>
      </c>
      <c r="F898" s="9"/>
      <c r="G898" s="9" t="s">
        <v>426</v>
      </c>
      <c r="H898" s="9" t="s">
        <v>345</v>
      </c>
      <c r="I898" s="8">
        <v>1953.0</v>
      </c>
      <c r="J898" s="9" t="s">
        <v>346</v>
      </c>
      <c r="K898" s="9" t="s">
        <v>43</v>
      </c>
      <c r="L898" s="9" t="s">
        <v>43</v>
      </c>
      <c r="M898" s="9" t="s">
        <v>2894</v>
      </c>
      <c r="N898" s="9" t="s">
        <v>35</v>
      </c>
      <c r="O898" s="9" t="s">
        <v>2895</v>
      </c>
      <c r="P898" s="9" t="s">
        <v>1296</v>
      </c>
    </row>
    <row r="899">
      <c r="A899" s="17" t="s">
        <v>342</v>
      </c>
      <c r="B899" s="8">
        <v>7272.0</v>
      </c>
      <c r="C899" s="8">
        <v>4641141.0</v>
      </c>
      <c r="D899" s="8">
        <v>4643017.0</v>
      </c>
      <c r="E899" s="9" t="s">
        <v>633</v>
      </c>
      <c r="F899" s="9"/>
      <c r="G899" s="9" t="s">
        <v>426</v>
      </c>
      <c r="H899" s="9" t="s">
        <v>345</v>
      </c>
      <c r="I899" s="8">
        <v>1953.0</v>
      </c>
      <c r="J899" s="9" t="s">
        <v>346</v>
      </c>
      <c r="K899" s="9" t="s">
        <v>43</v>
      </c>
      <c r="L899" s="9" t="s">
        <v>43</v>
      </c>
      <c r="M899" s="9"/>
      <c r="N899" s="9" t="s">
        <v>45</v>
      </c>
      <c r="O899" s="9" t="s">
        <v>2896</v>
      </c>
      <c r="P899" s="9" t="s">
        <v>1296</v>
      </c>
    </row>
    <row r="900">
      <c r="A900" s="17" t="s">
        <v>342</v>
      </c>
      <c r="B900" s="8">
        <v>7302.0</v>
      </c>
      <c r="C900" s="8">
        <v>4742749.0</v>
      </c>
      <c r="D900" s="8">
        <v>4748033.0</v>
      </c>
      <c r="E900" s="9" t="s">
        <v>633</v>
      </c>
      <c r="F900" s="9"/>
      <c r="G900" s="9" t="s">
        <v>426</v>
      </c>
      <c r="H900" s="9" t="s">
        <v>345</v>
      </c>
      <c r="I900" s="8">
        <v>1953.0</v>
      </c>
      <c r="J900" s="9" t="s">
        <v>346</v>
      </c>
      <c r="K900" s="9" t="s">
        <v>43</v>
      </c>
      <c r="L900" s="9" t="s">
        <v>43</v>
      </c>
      <c r="M900" s="9" t="s">
        <v>2897</v>
      </c>
      <c r="N900" s="9" t="s">
        <v>35</v>
      </c>
      <c r="O900" s="9" t="s">
        <v>2898</v>
      </c>
      <c r="P900" s="9" t="s">
        <v>1316</v>
      </c>
    </row>
    <row r="901">
      <c r="A901" s="17" t="s">
        <v>342</v>
      </c>
      <c r="B901" s="8">
        <v>7327.0</v>
      </c>
      <c r="C901" s="8">
        <v>4857685.0</v>
      </c>
      <c r="D901" s="8">
        <v>4859185.0</v>
      </c>
      <c r="E901" s="9" t="s">
        <v>633</v>
      </c>
      <c r="F901" s="9"/>
      <c r="G901" s="9" t="s">
        <v>426</v>
      </c>
      <c r="H901" s="9" t="s">
        <v>345</v>
      </c>
      <c r="I901" s="8">
        <v>1953.0</v>
      </c>
      <c r="J901" s="9" t="s">
        <v>346</v>
      </c>
      <c r="K901" s="9" t="s">
        <v>43</v>
      </c>
      <c r="L901" s="9" t="s">
        <v>43</v>
      </c>
      <c r="M901" s="9" t="s">
        <v>2899</v>
      </c>
      <c r="N901" s="9" t="s">
        <v>35</v>
      </c>
      <c r="O901" s="9" t="s">
        <v>2900</v>
      </c>
      <c r="P901" s="9" t="s">
        <v>1296</v>
      </c>
    </row>
    <row r="902">
      <c r="A902" s="17" t="s">
        <v>342</v>
      </c>
      <c r="B902" s="8">
        <v>7358.0</v>
      </c>
      <c r="C902" s="8">
        <v>4987970.0</v>
      </c>
      <c r="D902" s="8">
        <v>4999870.0</v>
      </c>
      <c r="E902" s="9" t="s">
        <v>633</v>
      </c>
      <c r="F902" s="9"/>
      <c r="G902" s="9" t="s">
        <v>426</v>
      </c>
      <c r="H902" s="9" t="s">
        <v>345</v>
      </c>
      <c r="I902" s="8">
        <v>1953.0</v>
      </c>
      <c r="J902" s="9" t="s">
        <v>346</v>
      </c>
      <c r="K902" s="9" t="s">
        <v>43</v>
      </c>
      <c r="L902" s="9" t="s">
        <v>43</v>
      </c>
      <c r="M902" s="9" t="s">
        <v>2901</v>
      </c>
      <c r="N902" s="9" t="s">
        <v>35</v>
      </c>
      <c r="O902" s="9" t="s">
        <v>2902</v>
      </c>
      <c r="P902" s="9" t="s">
        <v>1300</v>
      </c>
    </row>
    <row r="903">
      <c r="A903" s="17" t="s">
        <v>342</v>
      </c>
      <c r="B903" s="8">
        <v>7373.0</v>
      </c>
      <c r="C903" s="8">
        <v>5068262.0</v>
      </c>
      <c r="D903" s="8">
        <v>5071933.0</v>
      </c>
      <c r="E903" s="9" t="s">
        <v>633</v>
      </c>
      <c r="F903" s="9"/>
      <c r="G903" s="9" t="s">
        <v>426</v>
      </c>
      <c r="H903" s="9" t="s">
        <v>345</v>
      </c>
      <c r="I903" s="8">
        <v>1953.0</v>
      </c>
      <c r="J903" s="9" t="s">
        <v>346</v>
      </c>
      <c r="K903" s="9" t="s">
        <v>43</v>
      </c>
      <c r="L903" s="9" t="s">
        <v>43</v>
      </c>
      <c r="M903" s="9" t="s">
        <v>2903</v>
      </c>
      <c r="N903" s="9" t="s">
        <v>35</v>
      </c>
      <c r="O903" s="9" t="s">
        <v>2904</v>
      </c>
      <c r="P903" s="9" t="s">
        <v>1298</v>
      </c>
    </row>
    <row r="904">
      <c r="A904" s="17" t="s">
        <v>342</v>
      </c>
      <c r="B904" s="8">
        <v>7397.0</v>
      </c>
      <c r="C904" s="8">
        <v>5192808.0</v>
      </c>
      <c r="D904" s="8">
        <v>5201108.0</v>
      </c>
      <c r="E904" s="9" t="s">
        <v>633</v>
      </c>
      <c r="F904" s="9"/>
      <c r="G904" s="9" t="s">
        <v>426</v>
      </c>
      <c r="H904" s="9" t="s">
        <v>345</v>
      </c>
      <c r="I904" s="8">
        <v>1953.0</v>
      </c>
      <c r="J904" s="9" t="s">
        <v>346</v>
      </c>
      <c r="K904" s="9" t="s">
        <v>43</v>
      </c>
      <c r="L904" s="9" t="s">
        <v>43</v>
      </c>
      <c r="M904" s="9" t="s">
        <v>2905</v>
      </c>
      <c r="N904" s="9" t="s">
        <v>35</v>
      </c>
      <c r="O904" s="9" t="s">
        <v>2906</v>
      </c>
      <c r="P904" s="9" t="s">
        <v>1296</v>
      </c>
    </row>
    <row r="905">
      <c r="A905" s="17" t="s">
        <v>342</v>
      </c>
      <c r="B905" s="8">
        <v>7397.0</v>
      </c>
      <c r="C905" s="8">
        <v>5192808.0</v>
      </c>
      <c r="D905" s="8">
        <v>5201108.0</v>
      </c>
      <c r="E905" s="9" t="s">
        <v>633</v>
      </c>
      <c r="F905" s="9"/>
      <c r="G905" s="9" t="s">
        <v>426</v>
      </c>
      <c r="H905" s="9" t="s">
        <v>345</v>
      </c>
      <c r="I905" s="8">
        <v>1953.0</v>
      </c>
      <c r="J905" s="9" t="s">
        <v>346</v>
      </c>
      <c r="K905" s="9" t="s">
        <v>43</v>
      </c>
      <c r="L905" s="9" t="s">
        <v>43</v>
      </c>
      <c r="M905" s="9" t="s">
        <v>2907</v>
      </c>
      <c r="N905" s="9" t="s">
        <v>35</v>
      </c>
      <c r="O905" s="9" t="s">
        <v>2908</v>
      </c>
      <c r="P905" s="9" t="s">
        <v>1316</v>
      </c>
    </row>
    <row r="906">
      <c r="A906" s="17" t="s">
        <v>342</v>
      </c>
      <c r="B906" s="8">
        <v>7423.0</v>
      </c>
      <c r="C906" s="8">
        <v>5332168.0</v>
      </c>
      <c r="D906" s="8">
        <v>5339334.0</v>
      </c>
      <c r="E906" s="9" t="s">
        <v>633</v>
      </c>
      <c r="F906" s="9"/>
      <c r="G906" s="9" t="s">
        <v>426</v>
      </c>
      <c r="H906" s="9" t="s">
        <v>345</v>
      </c>
      <c r="I906" s="8">
        <v>1953.0</v>
      </c>
      <c r="J906" s="9" t="s">
        <v>346</v>
      </c>
      <c r="K906" s="9" t="s">
        <v>43</v>
      </c>
      <c r="L906" s="9" t="s">
        <v>43</v>
      </c>
      <c r="M906" s="9" t="s">
        <v>2909</v>
      </c>
      <c r="N906" s="9" t="s">
        <v>35</v>
      </c>
      <c r="O906" s="9" t="s">
        <v>2910</v>
      </c>
      <c r="P906" s="9" t="s">
        <v>1316</v>
      </c>
    </row>
    <row r="907">
      <c r="A907" s="17" t="s">
        <v>342</v>
      </c>
      <c r="B907" s="8">
        <v>7424.0</v>
      </c>
      <c r="C907" s="8">
        <v>5339876.0</v>
      </c>
      <c r="D907" s="8">
        <v>5348560.0</v>
      </c>
      <c r="E907" s="9" t="s">
        <v>633</v>
      </c>
      <c r="F907" s="9"/>
      <c r="G907" s="9" t="s">
        <v>426</v>
      </c>
      <c r="H907" s="9" t="s">
        <v>345</v>
      </c>
      <c r="I907" s="8">
        <v>1953.0</v>
      </c>
      <c r="J907" s="9" t="s">
        <v>346</v>
      </c>
      <c r="K907" s="9" t="s">
        <v>43</v>
      </c>
      <c r="L907" s="9" t="s">
        <v>43</v>
      </c>
      <c r="M907" s="9" t="s">
        <v>2911</v>
      </c>
      <c r="N907" s="9" t="s">
        <v>35</v>
      </c>
      <c r="O907" s="9" t="s">
        <v>2912</v>
      </c>
      <c r="P907" s="9" t="s">
        <v>1296</v>
      </c>
    </row>
    <row r="908">
      <c r="A908" s="17" t="s">
        <v>342</v>
      </c>
      <c r="B908" s="8">
        <v>7428.0</v>
      </c>
      <c r="C908" s="8">
        <v>5356360.0</v>
      </c>
      <c r="D908" s="8">
        <v>5359676.0</v>
      </c>
      <c r="E908" s="9" t="s">
        <v>633</v>
      </c>
      <c r="F908" s="9"/>
      <c r="G908" s="9" t="s">
        <v>426</v>
      </c>
      <c r="H908" s="9" t="s">
        <v>345</v>
      </c>
      <c r="I908" s="8">
        <v>1953.0</v>
      </c>
      <c r="J908" s="9" t="s">
        <v>346</v>
      </c>
      <c r="K908" s="9" t="s">
        <v>43</v>
      </c>
      <c r="L908" s="9" t="s">
        <v>43</v>
      </c>
      <c r="M908" s="9" t="s">
        <v>2913</v>
      </c>
      <c r="N908" s="9" t="s">
        <v>35</v>
      </c>
      <c r="O908" s="9" t="s">
        <v>2914</v>
      </c>
      <c r="P908" s="9" t="s">
        <v>1316</v>
      </c>
    </row>
    <row r="909">
      <c r="A909" s="17" t="s">
        <v>342</v>
      </c>
      <c r="B909" s="8">
        <v>7431.0</v>
      </c>
      <c r="C909" s="8">
        <v>5367820.0</v>
      </c>
      <c r="D909" s="8">
        <v>5376553.0</v>
      </c>
      <c r="E909" s="9" t="s">
        <v>633</v>
      </c>
      <c r="F909" s="9"/>
      <c r="G909" s="9" t="s">
        <v>426</v>
      </c>
      <c r="H909" s="9" t="s">
        <v>345</v>
      </c>
      <c r="I909" s="8">
        <v>1953.0</v>
      </c>
      <c r="J909" s="9" t="s">
        <v>346</v>
      </c>
      <c r="K909" s="9" t="s">
        <v>43</v>
      </c>
      <c r="L909" s="9" t="s">
        <v>43</v>
      </c>
      <c r="M909" s="9" t="s">
        <v>2915</v>
      </c>
      <c r="N909" s="9" t="s">
        <v>35</v>
      </c>
      <c r="O909" s="9" t="s">
        <v>2916</v>
      </c>
      <c r="P909" s="9" t="s">
        <v>1300</v>
      </c>
    </row>
    <row r="910">
      <c r="A910" s="17" t="s">
        <v>342</v>
      </c>
      <c r="B910" s="8">
        <v>7431.0</v>
      </c>
      <c r="C910" s="8">
        <v>5367820.0</v>
      </c>
      <c r="D910" s="8">
        <v>5376553.0</v>
      </c>
      <c r="E910" s="9" t="s">
        <v>633</v>
      </c>
      <c r="F910" s="9"/>
      <c r="G910" s="9" t="s">
        <v>426</v>
      </c>
      <c r="H910" s="9" t="s">
        <v>345</v>
      </c>
      <c r="I910" s="8">
        <v>1953.0</v>
      </c>
      <c r="J910" s="9" t="s">
        <v>346</v>
      </c>
      <c r="K910" s="9" t="s">
        <v>43</v>
      </c>
      <c r="L910" s="9" t="s">
        <v>43</v>
      </c>
      <c r="M910" s="9" t="s">
        <v>2917</v>
      </c>
      <c r="N910" s="9" t="s">
        <v>35</v>
      </c>
      <c r="O910" s="9" t="s">
        <v>2918</v>
      </c>
      <c r="P910" s="9" t="s">
        <v>1296</v>
      </c>
    </row>
    <row r="911">
      <c r="A911" s="17" t="s">
        <v>342</v>
      </c>
      <c r="B911" s="8">
        <v>7432.0</v>
      </c>
      <c r="C911" s="8">
        <v>5377028.0</v>
      </c>
      <c r="D911" s="8">
        <v>5384128.0</v>
      </c>
      <c r="E911" s="9" t="s">
        <v>633</v>
      </c>
      <c r="F911" s="9"/>
      <c r="G911" s="9" t="s">
        <v>426</v>
      </c>
      <c r="H911" s="9" t="s">
        <v>345</v>
      </c>
      <c r="I911" s="8">
        <v>1953.0</v>
      </c>
      <c r="J911" s="9" t="s">
        <v>346</v>
      </c>
      <c r="K911" s="9" t="s">
        <v>43</v>
      </c>
      <c r="L911" s="9" t="s">
        <v>43</v>
      </c>
      <c r="M911" s="9" t="s">
        <v>2919</v>
      </c>
      <c r="N911" s="9" t="s">
        <v>35</v>
      </c>
      <c r="O911" s="9" t="s">
        <v>2920</v>
      </c>
      <c r="P911" s="9" t="s">
        <v>1316</v>
      </c>
    </row>
    <row r="912">
      <c r="A912" s="17" t="s">
        <v>342</v>
      </c>
      <c r="B912" s="8">
        <v>7432.0</v>
      </c>
      <c r="C912" s="8">
        <v>5377028.0</v>
      </c>
      <c r="D912" s="8">
        <v>5384128.0</v>
      </c>
      <c r="E912" s="9" t="s">
        <v>633</v>
      </c>
      <c r="F912" s="9"/>
      <c r="G912" s="9" t="s">
        <v>426</v>
      </c>
      <c r="H912" s="9" t="s">
        <v>345</v>
      </c>
      <c r="I912" s="8">
        <v>1953.0</v>
      </c>
      <c r="J912" s="9" t="s">
        <v>346</v>
      </c>
      <c r="K912" s="9" t="s">
        <v>43</v>
      </c>
      <c r="L912" s="9" t="s">
        <v>43</v>
      </c>
      <c r="M912" s="9" t="s">
        <v>2921</v>
      </c>
      <c r="N912" s="9" t="s">
        <v>35</v>
      </c>
      <c r="O912" s="9" t="s">
        <v>2922</v>
      </c>
      <c r="P912" s="9" t="s">
        <v>1316</v>
      </c>
    </row>
    <row r="913">
      <c r="A913" s="17" t="s">
        <v>342</v>
      </c>
      <c r="B913" s="8">
        <v>7453.0</v>
      </c>
      <c r="C913" s="8">
        <v>5467692.0</v>
      </c>
      <c r="D913" s="8">
        <v>5472259.0</v>
      </c>
      <c r="E913" s="9" t="s">
        <v>633</v>
      </c>
      <c r="F913" s="9"/>
      <c r="G913" s="9" t="s">
        <v>426</v>
      </c>
      <c r="H913" s="9" t="s">
        <v>345</v>
      </c>
      <c r="I913" s="8">
        <v>1953.0</v>
      </c>
      <c r="J913" s="9" t="s">
        <v>346</v>
      </c>
      <c r="K913" s="9" t="s">
        <v>43</v>
      </c>
      <c r="L913" s="9" t="s">
        <v>43</v>
      </c>
      <c r="M913" s="9" t="s">
        <v>2923</v>
      </c>
      <c r="N913" s="9" t="s">
        <v>35</v>
      </c>
      <c r="O913" s="9" t="s">
        <v>2212</v>
      </c>
      <c r="P913" s="9" t="s">
        <v>1298</v>
      </c>
    </row>
    <row r="914">
      <c r="A914" s="17" t="s">
        <v>342</v>
      </c>
      <c r="B914" s="8">
        <v>7494.0</v>
      </c>
      <c r="C914" s="8">
        <v>5643285.0</v>
      </c>
      <c r="D914" s="8">
        <v>5647651.0</v>
      </c>
      <c r="E914" s="9" t="s">
        <v>633</v>
      </c>
      <c r="F914" s="9"/>
      <c r="G914" s="9" t="s">
        <v>426</v>
      </c>
      <c r="H914" s="9" t="s">
        <v>345</v>
      </c>
      <c r="I914" s="8">
        <v>1953.0</v>
      </c>
      <c r="J914" s="9" t="s">
        <v>346</v>
      </c>
      <c r="K914" s="9" t="s">
        <v>43</v>
      </c>
      <c r="L914" s="9" t="s">
        <v>43</v>
      </c>
      <c r="M914" s="9" t="s">
        <v>2924</v>
      </c>
      <c r="N914" s="9" t="s">
        <v>35</v>
      </c>
      <c r="O914" s="9" t="s">
        <v>2925</v>
      </c>
      <c r="P914" s="9" t="s">
        <v>1296</v>
      </c>
    </row>
    <row r="915">
      <c r="A915" s="17" t="s">
        <v>342</v>
      </c>
      <c r="B915" s="8">
        <v>7534.0</v>
      </c>
      <c r="C915" s="8">
        <v>5834227.0</v>
      </c>
      <c r="D915" s="8">
        <v>5838710.0</v>
      </c>
      <c r="E915" s="9" t="s">
        <v>633</v>
      </c>
      <c r="F915" s="9"/>
      <c r="G915" s="9" t="s">
        <v>426</v>
      </c>
      <c r="H915" s="9" t="s">
        <v>345</v>
      </c>
      <c r="I915" s="8">
        <v>1953.0</v>
      </c>
      <c r="J915" s="9" t="s">
        <v>346</v>
      </c>
      <c r="K915" s="9" t="s">
        <v>43</v>
      </c>
      <c r="L915" s="9" t="s">
        <v>43</v>
      </c>
      <c r="M915" s="9" t="s">
        <v>2926</v>
      </c>
      <c r="N915" s="9" t="s">
        <v>35</v>
      </c>
      <c r="O915" s="9" t="s">
        <v>2927</v>
      </c>
      <c r="P915" s="9" t="s">
        <v>1296</v>
      </c>
    </row>
    <row r="916">
      <c r="A916" s="17" t="s">
        <v>342</v>
      </c>
      <c r="B916" s="8">
        <v>7537.0</v>
      </c>
      <c r="C916" s="8">
        <v>5848077.0</v>
      </c>
      <c r="D916" s="8">
        <v>5850844.0</v>
      </c>
      <c r="E916" s="9" t="s">
        <v>633</v>
      </c>
      <c r="F916" s="9"/>
      <c r="G916" s="9" t="s">
        <v>426</v>
      </c>
      <c r="H916" s="9" t="s">
        <v>345</v>
      </c>
      <c r="I916" s="8">
        <v>1953.0</v>
      </c>
      <c r="J916" s="9" t="s">
        <v>346</v>
      </c>
      <c r="K916" s="9" t="s">
        <v>43</v>
      </c>
      <c r="L916" s="9" t="s">
        <v>43</v>
      </c>
      <c r="M916" s="9" t="s">
        <v>2928</v>
      </c>
      <c r="N916" s="9" t="s">
        <v>35</v>
      </c>
      <c r="O916" s="9" t="s">
        <v>2929</v>
      </c>
      <c r="P916" s="9" t="s">
        <v>1296</v>
      </c>
    </row>
    <row r="917">
      <c r="A917" s="17" t="s">
        <v>342</v>
      </c>
      <c r="B917" s="8">
        <v>7548.0</v>
      </c>
      <c r="C917" s="8">
        <v>5885803.0</v>
      </c>
      <c r="D917" s="8">
        <v>5892103.0</v>
      </c>
      <c r="E917" s="9" t="s">
        <v>633</v>
      </c>
      <c r="F917" s="9"/>
      <c r="G917" s="9" t="s">
        <v>426</v>
      </c>
      <c r="H917" s="9" t="s">
        <v>345</v>
      </c>
      <c r="I917" s="8">
        <v>1953.0</v>
      </c>
      <c r="J917" s="9" t="s">
        <v>346</v>
      </c>
      <c r="K917" s="9" t="s">
        <v>43</v>
      </c>
      <c r="L917" s="9" t="s">
        <v>43</v>
      </c>
      <c r="M917" s="9" t="s">
        <v>2930</v>
      </c>
      <c r="N917" s="9" t="s">
        <v>35</v>
      </c>
      <c r="O917" s="9" t="s">
        <v>2931</v>
      </c>
      <c r="P917" s="9" t="s">
        <v>1296</v>
      </c>
    </row>
    <row r="918">
      <c r="A918" s="17" t="s">
        <v>342</v>
      </c>
      <c r="B918" s="8">
        <v>7630.0</v>
      </c>
      <c r="C918" s="8">
        <v>6220125.0</v>
      </c>
      <c r="D918" s="8">
        <v>6229041.0</v>
      </c>
      <c r="E918" s="9" t="s">
        <v>633</v>
      </c>
      <c r="F918" s="9"/>
      <c r="G918" s="9" t="s">
        <v>426</v>
      </c>
      <c r="H918" s="9" t="s">
        <v>345</v>
      </c>
      <c r="I918" s="8">
        <v>1953.0</v>
      </c>
      <c r="J918" s="9" t="s">
        <v>346</v>
      </c>
      <c r="K918" s="9" t="s">
        <v>43</v>
      </c>
      <c r="L918" s="9" t="s">
        <v>43</v>
      </c>
      <c r="M918" s="9" t="s">
        <v>2932</v>
      </c>
      <c r="N918" s="9" t="s">
        <v>35</v>
      </c>
      <c r="O918" s="9" t="s">
        <v>2933</v>
      </c>
      <c r="P918" s="9" t="s">
        <v>1296</v>
      </c>
    </row>
    <row r="919">
      <c r="A919" s="17" t="s">
        <v>342</v>
      </c>
      <c r="B919" s="8">
        <v>7638.0</v>
      </c>
      <c r="C919" s="8">
        <v>6255158.0</v>
      </c>
      <c r="D919" s="8">
        <v>6262792.0</v>
      </c>
      <c r="E919" s="9" t="s">
        <v>633</v>
      </c>
      <c r="F919" s="9"/>
      <c r="G919" s="9" t="s">
        <v>426</v>
      </c>
      <c r="H919" s="9" t="s">
        <v>345</v>
      </c>
      <c r="I919" s="8">
        <v>1953.0</v>
      </c>
      <c r="J919" s="9" t="s">
        <v>346</v>
      </c>
      <c r="K919" s="9" t="s">
        <v>43</v>
      </c>
      <c r="L919" s="9" t="s">
        <v>43</v>
      </c>
      <c r="M919" s="9" t="s">
        <v>2934</v>
      </c>
      <c r="N919" s="9" t="s">
        <v>35</v>
      </c>
      <c r="O919" s="9" t="s">
        <v>2935</v>
      </c>
      <c r="P919" s="9" t="s">
        <v>1296</v>
      </c>
    </row>
    <row r="920">
      <c r="A920" s="17" t="s">
        <v>342</v>
      </c>
      <c r="B920" s="8">
        <v>7640.0</v>
      </c>
      <c r="C920" s="8">
        <v>6268183.0</v>
      </c>
      <c r="D920" s="8">
        <v>6273083.0</v>
      </c>
      <c r="E920" s="9" t="s">
        <v>633</v>
      </c>
      <c r="F920" s="9"/>
      <c r="G920" s="9" t="s">
        <v>426</v>
      </c>
      <c r="H920" s="9" t="s">
        <v>345</v>
      </c>
      <c r="I920" s="8">
        <v>1953.0</v>
      </c>
      <c r="J920" s="9" t="s">
        <v>346</v>
      </c>
      <c r="K920" s="9" t="s">
        <v>43</v>
      </c>
      <c r="L920" s="9" t="s">
        <v>43</v>
      </c>
      <c r="M920" s="9" t="s">
        <v>2936</v>
      </c>
      <c r="N920" s="9" t="s">
        <v>35</v>
      </c>
      <c r="O920" s="9" t="s">
        <v>2937</v>
      </c>
      <c r="P920" s="9" t="s">
        <v>1296</v>
      </c>
    </row>
    <row r="921">
      <c r="A921" s="17" t="s">
        <v>342</v>
      </c>
      <c r="B921" s="8">
        <v>7666.0</v>
      </c>
      <c r="C921" s="8">
        <v>6368241.0</v>
      </c>
      <c r="D921" s="8">
        <v>6374041.0</v>
      </c>
      <c r="E921" s="9" t="s">
        <v>633</v>
      </c>
      <c r="F921" s="9"/>
      <c r="G921" s="9" t="s">
        <v>426</v>
      </c>
      <c r="H921" s="9" t="s">
        <v>345</v>
      </c>
      <c r="I921" s="8">
        <v>1953.0</v>
      </c>
      <c r="J921" s="9" t="s">
        <v>346</v>
      </c>
      <c r="K921" s="9" t="s">
        <v>43</v>
      </c>
      <c r="L921" s="9" t="s">
        <v>43</v>
      </c>
      <c r="M921" s="9" t="s">
        <v>2938</v>
      </c>
      <c r="N921" s="9" t="s">
        <v>35</v>
      </c>
      <c r="O921" s="9" t="s">
        <v>2939</v>
      </c>
      <c r="P921" s="9" t="s">
        <v>1296</v>
      </c>
    </row>
    <row r="922">
      <c r="A922" s="17" t="s">
        <v>342</v>
      </c>
      <c r="B922" s="8">
        <v>7680.0</v>
      </c>
      <c r="C922" s="8">
        <v>6440811.0</v>
      </c>
      <c r="D922" s="8">
        <v>6447044.0</v>
      </c>
      <c r="E922" s="9" t="s">
        <v>633</v>
      </c>
      <c r="F922" s="9"/>
      <c r="G922" s="9" t="s">
        <v>426</v>
      </c>
      <c r="H922" s="9" t="s">
        <v>345</v>
      </c>
      <c r="I922" s="8">
        <v>1953.0</v>
      </c>
      <c r="J922" s="9" t="s">
        <v>346</v>
      </c>
      <c r="K922" s="9" t="s">
        <v>43</v>
      </c>
      <c r="L922" s="9" t="s">
        <v>43</v>
      </c>
      <c r="M922" s="9" t="s">
        <v>2940</v>
      </c>
      <c r="N922" s="9" t="s">
        <v>35</v>
      </c>
      <c r="O922" s="9" t="s">
        <v>2941</v>
      </c>
      <c r="P922" s="9" t="s">
        <v>1316</v>
      </c>
    </row>
    <row r="923">
      <c r="A923" s="17" t="s">
        <v>342</v>
      </c>
      <c r="B923" s="8">
        <v>7715.0</v>
      </c>
      <c r="C923" s="8">
        <v>6577951.0</v>
      </c>
      <c r="D923" s="8">
        <v>6586930.0</v>
      </c>
      <c r="E923" s="9" t="s">
        <v>633</v>
      </c>
      <c r="F923" s="9"/>
      <c r="G923" s="9" t="s">
        <v>426</v>
      </c>
      <c r="H923" s="9" t="s">
        <v>345</v>
      </c>
      <c r="I923" s="8">
        <v>1953.0</v>
      </c>
      <c r="J923" s="9" t="s">
        <v>346</v>
      </c>
      <c r="K923" s="9" t="s">
        <v>43</v>
      </c>
      <c r="L923" s="9" t="s">
        <v>43</v>
      </c>
      <c r="M923" s="9" t="s">
        <v>2942</v>
      </c>
      <c r="N923" s="9" t="s">
        <v>35</v>
      </c>
      <c r="O923" s="9" t="s">
        <v>2943</v>
      </c>
      <c r="P923" s="9" t="s">
        <v>1296</v>
      </c>
    </row>
    <row r="924">
      <c r="A924" s="17" t="s">
        <v>342</v>
      </c>
      <c r="B924" s="8">
        <v>7732.0</v>
      </c>
      <c r="C924" s="8">
        <v>6648875.0</v>
      </c>
      <c r="D924" s="8">
        <v>6651775.0</v>
      </c>
      <c r="E924" s="9" t="s">
        <v>633</v>
      </c>
      <c r="F924" s="9"/>
      <c r="G924" s="9" t="s">
        <v>426</v>
      </c>
      <c r="H924" s="9" t="s">
        <v>345</v>
      </c>
      <c r="I924" s="8">
        <v>1953.0</v>
      </c>
      <c r="J924" s="9" t="s">
        <v>346</v>
      </c>
      <c r="K924" s="9" t="s">
        <v>43</v>
      </c>
      <c r="L924" s="9" t="s">
        <v>43</v>
      </c>
      <c r="M924" s="9" t="s">
        <v>88</v>
      </c>
      <c r="N924" s="9" t="s">
        <v>35</v>
      </c>
      <c r="O924" s="12" t="str">
        <f>оттуда два килограмма приехали ко мне.</f>
        <v>#ERROR!</v>
      </c>
      <c r="P924" s="9" t="s">
        <v>1300</v>
      </c>
    </row>
    <row r="925">
      <c r="A925" s="17" t="s">
        <v>342</v>
      </c>
      <c r="B925" s="8">
        <v>7746.0</v>
      </c>
      <c r="C925" s="8">
        <v>6697145.0</v>
      </c>
      <c r="D925" s="8">
        <v>6699725.0</v>
      </c>
      <c r="E925" s="9" t="s">
        <v>633</v>
      </c>
      <c r="F925" s="9"/>
      <c r="G925" s="9" t="s">
        <v>426</v>
      </c>
      <c r="H925" s="9" t="s">
        <v>345</v>
      </c>
      <c r="I925" s="8">
        <v>1953.0</v>
      </c>
      <c r="J925" s="9" t="s">
        <v>346</v>
      </c>
      <c r="K925" s="9" t="s">
        <v>43</v>
      </c>
      <c r="L925" s="9" t="s">
        <v>43</v>
      </c>
      <c r="M925" s="9" t="s">
        <v>2944</v>
      </c>
      <c r="N925" s="9" t="s">
        <v>35</v>
      </c>
      <c r="O925" s="9" t="s">
        <v>2945</v>
      </c>
      <c r="P925" s="9" t="s">
        <v>1316</v>
      </c>
    </row>
    <row r="926">
      <c r="A926" s="17" t="s">
        <v>342</v>
      </c>
      <c r="B926" s="8">
        <v>7758.0</v>
      </c>
      <c r="C926" s="8">
        <v>6749662.0</v>
      </c>
      <c r="D926" s="8">
        <v>6752342.0</v>
      </c>
      <c r="E926" s="9" t="s">
        <v>633</v>
      </c>
      <c r="F926" s="9"/>
      <c r="G926" s="9" t="s">
        <v>426</v>
      </c>
      <c r="H926" s="9" t="s">
        <v>345</v>
      </c>
      <c r="I926" s="8">
        <v>1953.0</v>
      </c>
      <c r="J926" s="9" t="s">
        <v>346</v>
      </c>
      <c r="K926" s="9" t="s">
        <v>43</v>
      </c>
      <c r="L926" s="9" t="s">
        <v>43</v>
      </c>
      <c r="M926" s="9" t="s">
        <v>2946</v>
      </c>
      <c r="N926" s="9" t="s">
        <v>35</v>
      </c>
      <c r="O926" s="9" t="s">
        <v>2947</v>
      </c>
      <c r="P926" s="9" t="s">
        <v>1296</v>
      </c>
    </row>
    <row r="927">
      <c r="A927" s="17" t="s">
        <v>342</v>
      </c>
      <c r="B927" s="8">
        <v>7780.0</v>
      </c>
      <c r="C927" s="8">
        <v>6825736.0</v>
      </c>
      <c r="D927" s="8">
        <v>6829896.0</v>
      </c>
      <c r="E927" s="9" t="s">
        <v>633</v>
      </c>
      <c r="F927" s="9"/>
      <c r="G927" s="9" t="s">
        <v>426</v>
      </c>
      <c r="H927" s="9" t="s">
        <v>345</v>
      </c>
      <c r="I927" s="8">
        <v>1953.0</v>
      </c>
      <c r="J927" s="9" t="s">
        <v>346</v>
      </c>
      <c r="K927" s="9" t="s">
        <v>43</v>
      </c>
      <c r="L927" s="9" t="s">
        <v>43</v>
      </c>
      <c r="M927" s="9" t="s">
        <v>2948</v>
      </c>
      <c r="N927" s="9" t="s">
        <v>35</v>
      </c>
      <c r="O927" s="9" t="s">
        <v>2949</v>
      </c>
      <c r="P927" s="9" t="s">
        <v>1296</v>
      </c>
    </row>
    <row r="928">
      <c r="A928" s="17" t="s">
        <v>342</v>
      </c>
      <c r="B928" s="8">
        <v>7832.0</v>
      </c>
      <c r="C928" s="8">
        <v>7028731.0</v>
      </c>
      <c r="D928" s="8">
        <v>7031425.0</v>
      </c>
      <c r="E928" s="9" t="s">
        <v>633</v>
      </c>
      <c r="F928" s="9"/>
      <c r="G928" s="9" t="s">
        <v>426</v>
      </c>
      <c r="H928" s="9" t="s">
        <v>345</v>
      </c>
      <c r="I928" s="8">
        <v>1953.0</v>
      </c>
      <c r="J928" s="9" t="s">
        <v>346</v>
      </c>
      <c r="K928" s="9" t="s">
        <v>43</v>
      </c>
      <c r="L928" s="9" t="s">
        <v>43</v>
      </c>
      <c r="M928" s="9" t="s">
        <v>2950</v>
      </c>
      <c r="N928" s="9" t="s">
        <v>35</v>
      </c>
      <c r="O928" s="9" t="s">
        <v>2951</v>
      </c>
      <c r="P928" s="9" t="s">
        <v>1296</v>
      </c>
    </row>
    <row r="929">
      <c r="A929" s="17" t="s">
        <v>342</v>
      </c>
      <c r="B929" s="8">
        <v>7856.0</v>
      </c>
      <c r="C929" s="8">
        <v>7363041.0</v>
      </c>
      <c r="D929" s="8">
        <v>7367021.0</v>
      </c>
      <c r="E929" s="9" t="s">
        <v>633</v>
      </c>
      <c r="F929" s="9"/>
      <c r="G929" s="9" t="s">
        <v>426</v>
      </c>
      <c r="H929" s="9" t="s">
        <v>345</v>
      </c>
      <c r="I929" s="8">
        <v>1953.0</v>
      </c>
      <c r="J929" s="9" t="s">
        <v>346</v>
      </c>
      <c r="K929" s="9" t="s">
        <v>43</v>
      </c>
      <c r="L929" s="9" t="s">
        <v>43</v>
      </c>
      <c r="M929" s="9" t="s">
        <v>2952</v>
      </c>
      <c r="N929" s="9" t="s">
        <v>35</v>
      </c>
      <c r="O929" s="9" t="s">
        <v>2953</v>
      </c>
      <c r="P929" s="9" t="s">
        <v>1296</v>
      </c>
    </row>
    <row r="930">
      <c r="A930" s="17" t="s">
        <v>342</v>
      </c>
      <c r="B930" s="8">
        <v>7900.0</v>
      </c>
      <c r="C930" s="8">
        <v>7537840.0</v>
      </c>
      <c r="D930" s="8">
        <v>7543307.0</v>
      </c>
      <c r="E930" s="9" t="s">
        <v>633</v>
      </c>
      <c r="F930" s="9"/>
      <c r="G930" s="9" t="s">
        <v>426</v>
      </c>
      <c r="H930" s="9" t="s">
        <v>345</v>
      </c>
      <c r="I930" s="8">
        <v>1953.0</v>
      </c>
      <c r="J930" s="9" t="s">
        <v>346</v>
      </c>
      <c r="K930" s="9" t="s">
        <v>43</v>
      </c>
      <c r="L930" s="9" t="s">
        <v>43</v>
      </c>
      <c r="M930" s="9" t="s">
        <v>2954</v>
      </c>
      <c r="N930" s="9" t="s">
        <v>35</v>
      </c>
      <c r="O930" s="9" t="s">
        <v>2955</v>
      </c>
      <c r="P930" s="9" t="s">
        <v>2745</v>
      </c>
    </row>
    <row r="931">
      <c r="A931" s="17" t="s">
        <v>342</v>
      </c>
      <c r="B931" s="8">
        <v>7900.0</v>
      </c>
      <c r="C931" s="8">
        <v>7537840.0</v>
      </c>
      <c r="D931" s="8">
        <v>7543307.0</v>
      </c>
      <c r="E931" s="9" t="s">
        <v>633</v>
      </c>
      <c r="F931" s="9"/>
      <c r="G931" s="9" t="s">
        <v>426</v>
      </c>
      <c r="H931" s="9" t="s">
        <v>345</v>
      </c>
      <c r="I931" s="8">
        <v>1953.0</v>
      </c>
      <c r="J931" s="9" t="s">
        <v>346</v>
      </c>
      <c r="K931" s="9" t="s">
        <v>43</v>
      </c>
      <c r="L931" s="9" t="s">
        <v>43</v>
      </c>
      <c r="M931" s="9" t="s">
        <v>2956</v>
      </c>
      <c r="N931" s="9" t="s">
        <v>35</v>
      </c>
      <c r="O931" s="9" t="s">
        <v>2957</v>
      </c>
      <c r="P931" s="9" t="s">
        <v>1298</v>
      </c>
    </row>
    <row r="932">
      <c r="A932" s="17" t="s">
        <v>342</v>
      </c>
      <c r="B932" s="8">
        <v>7903.0</v>
      </c>
      <c r="C932" s="8">
        <v>7548722.0</v>
      </c>
      <c r="D932" s="8">
        <v>7554556.0</v>
      </c>
      <c r="E932" s="9" t="s">
        <v>633</v>
      </c>
      <c r="F932" s="9"/>
      <c r="G932" s="9" t="s">
        <v>426</v>
      </c>
      <c r="H932" s="9" t="s">
        <v>345</v>
      </c>
      <c r="I932" s="8">
        <v>1953.0</v>
      </c>
      <c r="J932" s="9" t="s">
        <v>346</v>
      </c>
      <c r="K932" s="9" t="s">
        <v>43</v>
      </c>
      <c r="L932" s="9" t="s">
        <v>43</v>
      </c>
      <c r="M932" s="9" t="s">
        <v>2958</v>
      </c>
      <c r="N932" s="9" t="s">
        <v>35</v>
      </c>
      <c r="O932" s="9" t="s">
        <v>2959</v>
      </c>
      <c r="P932" s="9" t="s">
        <v>1296</v>
      </c>
    </row>
    <row r="933">
      <c r="A933" s="17" t="s">
        <v>342</v>
      </c>
      <c r="B933" s="8">
        <v>7906.0</v>
      </c>
      <c r="C933" s="8">
        <v>7565600.0</v>
      </c>
      <c r="D933" s="8">
        <v>7567350.0</v>
      </c>
      <c r="E933" s="9" t="s">
        <v>633</v>
      </c>
      <c r="F933" s="9"/>
      <c r="G933" s="9" t="s">
        <v>426</v>
      </c>
      <c r="H933" s="9" t="s">
        <v>345</v>
      </c>
      <c r="I933" s="8">
        <v>1953.0</v>
      </c>
      <c r="J933" s="9" t="s">
        <v>346</v>
      </c>
      <c r="K933" s="9" t="s">
        <v>43</v>
      </c>
      <c r="L933" s="9" t="s">
        <v>43</v>
      </c>
      <c r="M933" s="9" t="s">
        <v>2960</v>
      </c>
      <c r="N933" s="9" t="s">
        <v>35</v>
      </c>
      <c r="O933" s="9" t="s">
        <v>2961</v>
      </c>
      <c r="P933" s="9" t="s">
        <v>1296</v>
      </c>
    </row>
    <row r="934">
      <c r="A934" s="17" t="s">
        <v>342</v>
      </c>
      <c r="B934" s="8">
        <v>7937.0</v>
      </c>
      <c r="C934" s="8">
        <v>7692391.0</v>
      </c>
      <c r="D934" s="8">
        <v>7698530.0</v>
      </c>
      <c r="E934" s="9" t="s">
        <v>633</v>
      </c>
      <c r="F934" s="9"/>
      <c r="G934" s="9" t="s">
        <v>426</v>
      </c>
      <c r="H934" s="9" t="s">
        <v>345</v>
      </c>
      <c r="I934" s="8">
        <v>1953.0</v>
      </c>
      <c r="J934" s="9" t="s">
        <v>346</v>
      </c>
      <c r="K934" s="9" t="s">
        <v>43</v>
      </c>
      <c r="L934" s="9" t="s">
        <v>43</v>
      </c>
      <c r="M934" s="9" t="s">
        <v>2962</v>
      </c>
      <c r="N934" s="9" t="s">
        <v>35</v>
      </c>
      <c r="O934" s="9" t="s">
        <v>2963</v>
      </c>
      <c r="P934" s="9" t="s">
        <v>1296</v>
      </c>
    </row>
    <row r="935">
      <c r="A935" s="17" t="s">
        <v>342</v>
      </c>
      <c r="B935" s="8">
        <v>7951.0</v>
      </c>
      <c r="C935" s="8">
        <v>7738173.0</v>
      </c>
      <c r="D935" s="8">
        <v>7742234.0</v>
      </c>
      <c r="E935" s="9" t="s">
        <v>633</v>
      </c>
      <c r="F935" s="9"/>
      <c r="G935" s="9" t="s">
        <v>426</v>
      </c>
      <c r="H935" s="9" t="s">
        <v>345</v>
      </c>
      <c r="I935" s="8">
        <v>1953.0</v>
      </c>
      <c r="J935" s="9" t="s">
        <v>346</v>
      </c>
      <c r="K935" s="9" t="s">
        <v>43</v>
      </c>
      <c r="L935" s="9" t="s">
        <v>43</v>
      </c>
      <c r="M935" s="9" t="s">
        <v>2964</v>
      </c>
      <c r="N935" s="9" t="s">
        <v>35</v>
      </c>
      <c r="O935" s="9" t="s">
        <v>2965</v>
      </c>
      <c r="P935" s="9" t="s">
        <v>1316</v>
      </c>
    </row>
    <row r="936">
      <c r="A936" s="17" t="s">
        <v>342</v>
      </c>
      <c r="B936" s="8">
        <v>7951.0</v>
      </c>
      <c r="C936" s="8">
        <v>7738173.0</v>
      </c>
      <c r="D936" s="8">
        <v>7742234.0</v>
      </c>
      <c r="E936" s="9" t="s">
        <v>633</v>
      </c>
      <c r="F936" s="9"/>
      <c r="G936" s="9" t="s">
        <v>426</v>
      </c>
      <c r="H936" s="9" t="s">
        <v>345</v>
      </c>
      <c r="I936" s="8">
        <v>1953.0</v>
      </c>
      <c r="J936" s="9" t="s">
        <v>346</v>
      </c>
      <c r="K936" s="9" t="s">
        <v>43</v>
      </c>
      <c r="L936" s="9" t="s">
        <v>43</v>
      </c>
      <c r="M936" s="9" t="s">
        <v>2966</v>
      </c>
      <c r="N936" s="9" t="s">
        <v>35</v>
      </c>
      <c r="O936" s="9" t="s">
        <v>2967</v>
      </c>
      <c r="P936" s="9" t="s">
        <v>1316</v>
      </c>
    </row>
    <row r="937">
      <c r="A937" s="17" t="s">
        <v>342</v>
      </c>
      <c r="B937" s="8">
        <v>7996.0</v>
      </c>
      <c r="C937" s="8">
        <v>7945026.0</v>
      </c>
      <c r="D937" s="8">
        <v>7949270.0</v>
      </c>
      <c r="E937" s="9" t="s">
        <v>633</v>
      </c>
      <c r="F937" s="9"/>
      <c r="G937" s="9" t="s">
        <v>426</v>
      </c>
      <c r="H937" s="9" t="s">
        <v>345</v>
      </c>
      <c r="I937" s="8">
        <v>1953.0</v>
      </c>
      <c r="J937" s="9" t="s">
        <v>346</v>
      </c>
      <c r="K937" s="9" t="s">
        <v>43</v>
      </c>
      <c r="L937" s="9" t="s">
        <v>43</v>
      </c>
      <c r="M937" s="9" t="s">
        <v>2968</v>
      </c>
      <c r="N937" s="9" t="s">
        <v>35</v>
      </c>
      <c r="O937" s="9" t="s">
        <v>2969</v>
      </c>
      <c r="P937" s="9" t="s">
        <v>1316</v>
      </c>
    </row>
    <row r="938">
      <c r="A938" s="17" t="s">
        <v>342</v>
      </c>
      <c r="B938" s="8">
        <v>8007.0</v>
      </c>
      <c r="C938" s="8">
        <v>8010565.0</v>
      </c>
      <c r="D938" s="8">
        <v>8013880.0</v>
      </c>
      <c r="E938" s="9" t="s">
        <v>633</v>
      </c>
      <c r="F938" s="9"/>
      <c r="G938" s="9" t="s">
        <v>426</v>
      </c>
      <c r="H938" s="9" t="s">
        <v>345</v>
      </c>
      <c r="I938" s="8">
        <v>1953.0</v>
      </c>
      <c r="J938" s="9" t="s">
        <v>346</v>
      </c>
      <c r="K938" s="9" t="s">
        <v>43</v>
      </c>
      <c r="L938" s="9" t="s">
        <v>43</v>
      </c>
      <c r="M938" s="9" t="s">
        <v>2970</v>
      </c>
      <c r="N938" s="9" t="s">
        <v>35</v>
      </c>
      <c r="O938" s="9" t="s">
        <v>2971</v>
      </c>
      <c r="P938" s="9" t="s">
        <v>1296</v>
      </c>
    </row>
    <row r="939">
      <c r="A939" s="17" t="s">
        <v>342</v>
      </c>
      <c r="B939" s="8">
        <v>8023.0</v>
      </c>
      <c r="C939" s="8">
        <v>8114297.0</v>
      </c>
      <c r="D939" s="8">
        <v>8127441.0</v>
      </c>
      <c r="E939" s="9" t="s">
        <v>633</v>
      </c>
      <c r="F939" s="9"/>
      <c r="G939" s="9" t="s">
        <v>426</v>
      </c>
      <c r="H939" s="9" t="s">
        <v>345</v>
      </c>
      <c r="I939" s="8">
        <v>1953.0</v>
      </c>
      <c r="J939" s="9" t="s">
        <v>346</v>
      </c>
      <c r="K939" s="9" t="s">
        <v>43</v>
      </c>
      <c r="L939" s="9" t="s">
        <v>43</v>
      </c>
      <c r="M939" s="9" t="s">
        <v>2972</v>
      </c>
      <c r="N939" s="9" t="s">
        <v>35</v>
      </c>
      <c r="O939" s="9" t="s">
        <v>2973</v>
      </c>
      <c r="P939" s="9" t="s">
        <v>1298</v>
      </c>
    </row>
    <row r="940">
      <c r="A940" s="17" t="s">
        <v>342</v>
      </c>
      <c r="B940" s="8">
        <v>8027.0</v>
      </c>
      <c r="C940" s="8">
        <v>8147549.0</v>
      </c>
      <c r="D940" s="8">
        <v>8149525.0</v>
      </c>
      <c r="E940" s="9" t="s">
        <v>633</v>
      </c>
      <c r="F940" s="9"/>
      <c r="G940" s="9" t="s">
        <v>426</v>
      </c>
      <c r="H940" s="9" t="s">
        <v>345</v>
      </c>
      <c r="I940" s="8">
        <v>1953.0</v>
      </c>
      <c r="J940" s="9" t="s">
        <v>346</v>
      </c>
      <c r="K940" s="9" t="s">
        <v>43</v>
      </c>
      <c r="L940" s="9" t="s">
        <v>43</v>
      </c>
      <c r="M940" s="9" t="s">
        <v>88</v>
      </c>
      <c r="N940" s="9" t="s">
        <v>35</v>
      </c>
      <c r="O940" s="9" t="s">
        <v>2974</v>
      </c>
      <c r="P940" s="9" t="s">
        <v>1296</v>
      </c>
    </row>
    <row r="941">
      <c r="A941" s="17" t="s">
        <v>342</v>
      </c>
      <c r="B941" s="8">
        <v>8070.0</v>
      </c>
      <c r="C941" s="8">
        <v>8363047.0</v>
      </c>
      <c r="D941" s="8">
        <v>8367938.0</v>
      </c>
      <c r="E941" s="9" t="s">
        <v>633</v>
      </c>
      <c r="F941" s="9"/>
      <c r="G941" s="9" t="s">
        <v>426</v>
      </c>
      <c r="H941" s="9" t="s">
        <v>345</v>
      </c>
      <c r="I941" s="8">
        <v>1953.0</v>
      </c>
      <c r="J941" s="9" t="s">
        <v>346</v>
      </c>
      <c r="K941" s="9" t="s">
        <v>43</v>
      </c>
      <c r="L941" s="9" t="s">
        <v>43</v>
      </c>
      <c r="M941" s="9" t="s">
        <v>2516</v>
      </c>
      <c r="N941" s="9" t="s">
        <v>35</v>
      </c>
      <c r="O941" s="9" t="s">
        <v>2975</v>
      </c>
      <c r="P941" s="9" t="s">
        <v>1296</v>
      </c>
    </row>
    <row r="942">
      <c r="A942" s="17" t="s">
        <v>342</v>
      </c>
      <c r="B942" s="8">
        <v>8073.0</v>
      </c>
      <c r="C942" s="8">
        <v>8378357.0</v>
      </c>
      <c r="D942" s="8">
        <v>8388172.0</v>
      </c>
      <c r="E942" s="9" t="s">
        <v>633</v>
      </c>
      <c r="F942" s="9"/>
      <c r="G942" s="9" t="s">
        <v>426</v>
      </c>
      <c r="H942" s="9" t="s">
        <v>345</v>
      </c>
      <c r="I942" s="8">
        <v>1953.0</v>
      </c>
      <c r="J942" s="9" t="s">
        <v>346</v>
      </c>
      <c r="K942" s="9" t="s">
        <v>43</v>
      </c>
      <c r="L942" s="9" t="s">
        <v>43</v>
      </c>
      <c r="M942" s="9" t="s">
        <v>2976</v>
      </c>
      <c r="N942" s="9" t="s">
        <v>35</v>
      </c>
      <c r="O942" s="9" t="s">
        <v>2977</v>
      </c>
      <c r="P942" s="9" t="s">
        <v>1296</v>
      </c>
    </row>
    <row r="943">
      <c r="A943" s="17" t="s">
        <v>342</v>
      </c>
      <c r="B943" s="8">
        <v>8077.0</v>
      </c>
      <c r="C943" s="8">
        <v>8403673.0</v>
      </c>
      <c r="D943" s="8">
        <v>8417704.0</v>
      </c>
      <c r="E943" s="9" t="s">
        <v>633</v>
      </c>
      <c r="F943" s="9"/>
      <c r="G943" s="9" t="s">
        <v>426</v>
      </c>
      <c r="H943" s="9" t="s">
        <v>345</v>
      </c>
      <c r="I943" s="8">
        <v>1953.0</v>
      </c>
      <c r="J943" s="9" t="s">
        <v>346</v>
      </c>
      <c r="K943" s="9" t="s">
        <v>43</v>
      </c>
      <c r="L943" s="9" t="s">
        <v>43</v>
      </c>
      <c r="M943" s="9" t="s">
        <v>2978</v>
      </c>
      <c r="N943" s="9" t="s">
        <v>45</v>
      </c>
      <c r="O943" s="9" t="s">
        <v>2979</v>
      </c>
      <c r="P943" s="9" t="s">
        <v>1316</v>
      </c>
    </row>
    <row r="944">
      <c r="A944" s="17" t="s">
        <v>342</v>
      </c>
      <c r="B944" s="8">
        <v>8115.0</v>
      </c>
      <c r="C944" s="8">
        <v>8628979.0</v>
      </c>
      <c r="D944" s="8">
        <v>8632895.0</v>
      </c>
      <c r="E944" s="9" t="s">
        <v>633</v>
      </c>
      <c r="F944" s="9"/>
      <c r="G944" s="9" t="s">
        <v>426</v>
      </c>
      <c r="H944" s="9" t="s">
        <v>345</v>
      </c>
      <c r="I944" s="8">
        <v>1953.0</v>
      </c>
      <c r="J944" s="9" t="s">
        <v>346</v>
      </c>
      <c r="K944" s="9" t="s">
        <v>43</v>
      </c>
      <c r="L944" s="9" t="s">
        <v>43</v>
      </c>
      <c r="M944" s="9" t="s">
        <v>2980</v>
      </c>
      <c r="N944" s="9" t="s">
        <v>35</v>
      </c>
      <c r="O944" s="9" t="s">
        <v>2981</v>
      </c>
      <c r="P944" s="9" t="s">
        <v>1296</v>
      </c>
    </row>
    <row r="945">
      <c r="A945" s="17" t="s">
        <v>342</v>
      </c>
      <c r="B945" s="8">
        <v>8117.0</v>
      </c>
      <c r="C945" s="8">
        <v>8636095.0</v>
      </c>
      <c r="D945" s="8">
        <v>8639159.0</v>
      </c>
      <c r="E945" s="9" t="s">
        <v>633</v>
      </c>
      <c r="F945" s="9"/>
      <c r="G945" s="9" t="s">
        <v>426</v>
      </c>
      <c r="H945" s="9" t="s">
        <v>345</v>
      </c>
      <c r="I945" s="8">
        <v>1953.0</v>
      </c>
      <c r="J945" s="9" t="s">
        <v>346</v>
      </c>
      <c r="K945" s="9" t="s">
        <v>43</v>
      </c>
      <c r="L945" s="9" t="s">
        <v>43</v>
      </c>
      <c r="M945" s="9" t="s">
        <v>2982</v>
      </c>
      <c r="N945" s="9" t="s">
        <v>35</v>
      </c>
      <c r="O945" s="9" t="s">
        <v>2983</v>
      </c>
      <c r="P945" s="9" t="s">
        <v>1296</v>
      </c>
    </row>
    <row r="946">
      <c r="A946" s="17" t="s">
        <v>342</v>
      </c>
      <c r="B946" s="8">
        <v>8117.0</v>
      </c>
      <c r="C946" s="8">
        <v>8636095.0</v>
      </c>
      <c r="D946" s="8">
        <v>8639159.0</v>
      </c>
      <c r="E946" s="9" t="s">
        <v>633</v>
      </c>
      <c r="F946" s="9"/>
      <c r="G946" s="9" t="s">
        <v>426</v>
      </c>
      <c r="H946" s="9" t="s">
        <v>345</v>
      </c>
      <c r="I946" s="8">
        <v>1953.0</v>
      </c>
      <c r="J946" s="9" t="s">
        <v>346</v>
      </c>
      <c r="K946" s="9" t="s">
        <v>43</v>
      </c>
      <c r="L946" s="9" t="s">
        <v>43</v>
      </c>
      <c r="M946" s="9" t="s">
        <v>2984</v>
      </c>
      <c r="N946" s="9" t="s">
        <v>35</v>
      </c>
      <c r="O946" s="9" t="s">
        <v>2985</v>
      </c>
      <c r="P946" s="9" t="s">
        <v>1296</v>
      </c>
    </row>
    <row r="947">
      <c r="A947" s="17" t="s">
        <v>342</v>
      </c>
      <c r="B947" s="8">
        <v>8118.0</v>
      </c>
      <c r="C947" s="8">
        <v>8639159.0</v>
      </c>
      <c r="D947" s="8">
        <v>8641175.0</v>
      </c>
      <c r="E947" s="9" t="s">
        <v>633</v>
      </c>
      <c r="F947" s="9"/>
      <c r="G947" s="9" t="s">
        <v>426</v>
      </c>
      <c r="H947" s="9" t="s">
        <v>345</v>
      </c>
      <c r="I947" s="8">
        <v>1953.0</v>
      </c>
      <c r="J947" s="9" t="s">
        <v>346</v>
      </c>
      <c r="K947" s="9" t="s">
        <v>43</v>
      </c>
      <c r="L947" s="9" t="s">
        <v>43</v>
      </c>
      <c r="M947" s="9" t="s">
        <v>2263</v>
      </c>
      <c r="N947" s="9" t="s">
        <v>35</v>
      </c>
      <c r="O947" s="9" t="s">
        <v>2986</v>
      </c>
      <c r="P947" s="9" t="s">
        <v>1296</v>
      </c>
    </row>
    <row r="948">
      <c r="A948" s="17" t="s">
        <v>342</v>
      </c>
      <c r="B948" s="8">
        <v>8181.0</v>
      </c>
      <c r="C948" s="8">
        <v>8937309.0</v>
      </c>
      <c r="D948" s="8">
        <v>8938948.0</v>
      </c>
      <c r="E948" s="9" t="s">
        <v>633</v>
      </c>
      <c r="F948" s="9"/>
      <c r="G948" s="9" t="s">
        <v>426</v>
      </c>
      <c r="H948" s="9" t="s">
        <v>345</v>
      </c>
      <c r="I948" s="8">
        <v>1953.0</v>
      </c>
      <c r="J948" s="9" t="s">
        <v>346</v>
      </c>
      <c r="K948" s="9" t="s">
        <v>43</v>
      </c>
      <c r="L948" s="9" t="s">
        <v>43</v>
      </c>
      <c r="M948" s="9"/>
      <c r="N948" s="9" t="s">
        <v>45</v>
      </c>
      <c r="O948" s="9" t="s">
        <v>2987</v>
      </c>
      <c r="P948" s="9" t="s">
        <v>1316</v>
      </c>
    </row>
    <row r="949">
      <c r="A949" s="17" t="s">
        <v>342</v>
      </c>
      <c r="B949" s="8">
        <v>8190.0</v>
      </c>
      <c r="C949" s="8">
        <v>8991470.0</v>
      </c>
      <c r="D949" s="8">
        <v>8997118.0</v>
      </c>
      <c r="E949" s="9" t="s">
        <v>633</v>
      </c>
      <c r="F949" s="9"/>
      <c r="G949" s="9" t="s">
        <v>426</v>
      </c>
      <c r="H949" s="9" t="s">
        <v>345</v>
      </c>
      <c r="I949" s="8">
        <v>1953.0</v>
      </c>
      <c r="J949" s="9" t="s">
        <v>346</v>
      </c>
      <c r="K949" s="9" t="s">
        <v>43</v>
      </c>
      <c r="L949" s="9" t="s">
        <v>43</v>
      </c>
      <c r="M949" s="9" t="s">
        <v>2988</v>
      </c>
      <c r="N949" s="9" t="s">
        <v>35</v>
      </c>
      <c r="O949" s="12" t="str">
        <f>утянулась там работать.</f>
        <v>#ERROR!</v>
      </c>
      <c r="P949" s="9" t="s">
        <v>1300</v>
      </c>
    </row>
    <row r="950">
      <c r="A950" s="17" t="s">
        <v>342</v>
      </c>
      <c r="B950" s="8">
        <v>8207.0</v>
      </c>
      <c r="C950" s="8">
        <v>9126805.0</v>
      </c>
      <c r="D950" s="8">
        <v>9133171.0</v>
      </c>
      <c r="E950" s="9" t="s">
        <v>633</v>
      </c>
      <c r="F950" s="9"/>
      <c r="G950" s="9" t="s">
        <v>426</v>
      </c>
      <c r="H950" s="9" t="s">
        <v>345</v>
      </c>
      <c r="I950" s="8">
        <v>1953.0</v>
      </c>
      <c r="J950" s="9" t="s">
        <v>346</v>
      </c>
      <c r="K950" s="9" t="s">
        <v>43</v>
      </c>
      <c r="L950" s="9" t="s">
        <v>43</v>
      </c>
      <c r="M950" s="9" t="s">
        <v>2989</v>
      </c>
      <c r="N950" s="9" t="s">
        <v>35</v>
      </c>
      <c r="O950" s="9" t="s">
        <v>2990</v>
      </c>
      <c r="P950" s="9" t="s">
        <v>1296</v>
      </c>
    </row>
    <row r="951">
      <c r="A951" s="17" t="s">
        <v>342</v>
      </c>
      <c r="B951" s="8">
        <v>4526.0</v>
      </c>
      <c r="C951" s="8">
        <v>5777543.0</v>
      </c>
      <c r="D951" s="8">
        <v>5780563.0</v>
      </c>
      <c r="E951" s="9" t="s">
        <v>511</v>
      </c>
      <c r="F951" s="9"/>
      <c r="G951" s="9" t="s">
        <v>512</v>
      </c>
      <c r="H951" s="9" t="s">
        <v>345</v>
      </c>
      <c r="I951" s="8">
        <v>1950.0</v>
      </c>
      <c r="J951" s="9" t="s">
        <v>346</v>
      </c>
      <c r="K951" s="9" t="s">
        <v>391</v>
      </c>
      <c r="L951" s="9" t="s">
        <v>391</v>
      </c>
      <c r="M951" s="9" t="s">
        <v>2623</v>
      </c>
      <c r="N951" s="9" t="s">
        <v>35</v>
      </c>
      <c r="O951" s="9" t="s">
        <v>2624</v>
      </c>
      <c r="P951" s="9" t="s">
        <v>1296</v>
      </c>
    </row>
    <row r="952">
      <c r="A952" s="17" t="s">
        <v>342</v>
      </c>
      <c r="B952" s="8">
        <v>4526.0</v>
      </c>
      <c r="C952" s="8">
        <v>5777543.0</v>
      </c>
      <c r="D952" s="8">
        <v>5780563.0</v>
      </c>
      <c r="E952" s="9" t="s">
        <v>511</v>
      </c>
      <c r="F952" s="9"/>
      <c r="G952" s="9" t="s">
        <v>512</v>
      </c>
      <c r="H952" s="9" t="s">
        <v>345</v>
      </c>
      <c r="I952" s="8">
        <v>1950.0</v>
      </c>
      <c r="J952" s="9" t="s">
        <v>346</v>
      </c>
      <c r="K952" s="9" t="s">
        <v>391</v>
      </c>
      <c r="L952" s="9" t="s">
        <v>391</v>
      </c>
      <c r="M952" s="9" t="s">
        <v>2625</v>
      </c>
      <c r="N952" s="9" t="s">
        <v>35</v>
      </c>
      <c r="O952" s="9" t="s">
        <v>2626</v>
      </c>
      <c r="P952" s="9" t="s">
        <v>1296</v>
      </c>
    </row>
    <row r="953">
      <c r="A953" s="17" t="s">
        <v>342</v>
      </c>
      <c r="B953" s="8">
        <v>4529.0</v>
      </c>
      <c r="C953" s="8">
        <v>5786713.0</v>
      </c>
      <c r="D953" s="8">
        <v>5793525.0</v>
      </c>
      <c r="E953" s="9" t="s">
        <v>511</v>
      </c>
      <c r="F953" s="9"/>
      <c r="G953" s="9" t="s">
        <v>512</v>
      </c>
      <c r="H953" s="9" t="s">
        <v>345</v>
      </c>
      <c r="I953" s="8">
        <v>1950.0</v>
      </c>
      <c r="J953" s="9" t="s">
        <v>346</v>
      </c>
      <c r="K953" s="9" t="s">
        <v>391</v>
      </c>
      <c r="L953" s="9" t="s">
        <v>391</v>
      </c>
      <c r="M953" s="9" t="s">
        <v>2627</v>
      </c>
      <c r="N953" s="9" t="s">
        <v>35</v>
      </c>
      <c r="O953" s="9" t="s">
        <v>2628</v>
      </c>
      <c r="P953" s="9" t="s">
        <v>1296</v>
      </c>
    </row>
    <row r="954">
      <c r="A954" s="17" t="s">
        <v>342</v>
      </c>
      <c r="B954" s="8">
        <v>5226.0</v>
      </c>
      <c r="C954" s="8">
        <v>2266016.0</v>
      </c>
      <c r="D954" s="8">
        <v>2268799.0</v>
      </c>
      <c r="E954" s="9" t="s">
        <v>588</v>
      </c>
      <c r="F954" s="9"/>
      <c r="G954" s="9" t="s">
        <v>509</v>
      </c>
      <c r="H954" s="9" t="s">
        <v>345</v>
      </c>
      <c r="I954" s="8">
        <v>1939.0</v>
      </c>
      <c r="J954" s="9" t="s">
        <v>346</v>
      </c>
      <c r="K954" s="9" t="s">
        <v>43</v>
      </c>
      <c r="L954" s="9" t="s">
        <v>43</v>
      </c>
      <c r="M954" s="9" t="s">
        <v>2991</v>
      </c>
      <c r="N954" s="9" t="s">
        <v>45</v>
      </c>
      <c r="O954" s="9" t="s">
        <v>2992</v>
      </c>
      <c r="P954" s="9" t="s">
        <v>1316</v>
      </c>
    </row>
    <row r="955">
      <c r="A955" s="17" t="s">
        <v>342</v>
      </c>
      <c r="B955" s="8">
        <v>6026.0</v>
      </c>
      <c r="C955" s="8">
        <v>1590420.0</v>
      </c>
      <c r="D955" s="8">
        <v>1592590.0</v>
      </c>
      <c r="E955" s="9" t="s">
        <v>610</v>
      </c>
      <c r="F955" s="9"/>
      <c r="G955" s="9" t="s">
        <v>611</v>
      </c>
      <c r="H955" s="9" t="s">
        <v>377</v>
      </c>
      <c r="I955" s="8">
        <v>1941.0</v>
      </c>
      <c r="J955" s="9" t="s">
        <v>346</v>
      </c>
      <c r="K955" s="9" t="s">
        <v>43</v>
      </c>
      <c r="L955" s="9" t="s">
        <v>43</v>
      </c>
      <c r="M955" s="9" t="s">
        <v>2993</v>
      </c>
      <c r="N955" s="9" t="s">
        <v>35</v>
      </c>
      <c r="O955" s="9" t="s">
        <v>2994</v>
      </c>
      <c r="P955" s="9" t="s">
        <v>1316</v>
      </c>
    </row>
    <row r="956">
      <c r="A956" s="17" t="s">
        <v>342</v>
      </c>
      <c r="B956" s="8">
        <v>6803.0</v>
      </c>
      <c r="C956" s="8">
        <v>1935499.0</v>
      </c>
      <c r="D956" s="8">
        <v>1938609.0</v>
      </c>
      <c r="E956" s="9" t="s">
        <v>633</v>
      </c>
      <c r="F956" s="9"/>
      <c r="G956" s="9" t="s">
        <v>426</v>
      </c>
      <c r="H956" s="9" t="s">
        <v>345</v>
      </c>
      <c r="I956" s="8">
        <v>1953.0</v>
      </c>
      <c r="J956" s="9" t="s">
        <v>346</v>
      </c>
      <c r="K956" s="9" t="s">
        <v>43</v>
      </c>
      <c r="L956" s="9" t="s">
        <v>43</v>
      </c>
      <c r="M956" s="9" t="s">
        <v>2995</v>
      </c>
      <c r="N956" s="9" t="s">
        <v>35</v>
      </c>
      <c r="O956" s="9" t="s">
        <v>2996</v>
      </c>
      <c r="P956" s="9" t="s">
        <v>1298</v>
      </c>
    </row>
    <row r="957">
      <c r="A957" s="17" t="s">
        <v>342</v>
      </c>
      <c r="B957" s="8">
        <v>3682.0</v>
      </c>
      <c r="C957" s="8">
        <v>6497634.0</v>
      </c>
      <c r="D957" s="8">
        <v>6501274.0</v>
      </c>
      <c r="E957" s="9" t="s">
        <v>483</v>
      </c>
      <c r="F957" s="9"/>
      <c r="G957" s="9" t="s">
        <v>426</v>
      </c>
      <c r="H957" s="9" t="s">
        <v>345</v>
      </c>
      <c r="I957" s="8">
        <v>1953.0</v>
      </c>
      <c r="J957" s="9" t="s">
        <v>346</v>
      </c>
      <c r="K957" s="9" t="s">
        <v>43</v>
      </c>
      <c r="L957" s="9" t="s">
        <v>43</v>
      </c>
      <c r="M957" s="9" t="s">
        <v>2463</v>
      </c>
      <c r="N957" s="9" t="s">
        <v>35</v>
      </c>
      <c r="O957" s="9" t="s">
        <v>2464</v>
      </c>
      <c r="P957" s="9" t="s">
        <v>1388</v>
      </c>
    </row>
    <row r="958">
      <c r="A958" s="17" t="s">
        <v>342</v>
      </c>
      <c r="B958" s="8">
        <v>3616.0</v>
      </c>
      <c r="C958" s="8">
        <v>6142210.0</v>
      </c>
      <c r="D958" s="8">
        <v>6156057.0</v>
      </c>
      <c r="E958" s="9" t="s">
        <v>483</v>
      </c>
      <c r="F958" s="9"/>
      <c r="G958" s="9" t="s">
        <v>426</v>
      </c>
      <c r="H958" s="9" t="s">
        <v>345</v>
      </c>
      <c r="I958" s="8">
        <v>1953.0</v>
      </c>
      <c r="J958" s="9" t="s">
        <v>346</v>
      </c>
      <c r="K958" s="9" t="s">
        <v>43</v>
      </c>
      <c r="L958" s="9" t="s">
        <v>43</v>
      </c>
      <c r="M958" s="9" t="s">
        <v>2997</v>
      </c>
      <c r="N958" s="9" t="s">
        <v>35</v>
      </c>
      <c r="O958" s="9" t="s">
        <v>2998</v>
      </c>
      <c r="P958" s="9" t="s">
        <v>1947</v>
      </c>
    </row>
    <row r="959">
      <c r="A959" s="17" t="s">
        <v>342</v>
      </c>
      <c r="B959" s="8">
        <v>3627.0</v>
      </c>
      <c r="C959" s="8">
        <v>6200772.0</v>
      </c>
      <c r="D959" s="8">
        <v>6232692.0</v>
      </c>
      <c r="E959" s="9" t="s">
        <v>483</v>
      </c>
      <c r="F959" s="9"/>
      <c r="G959" s="9" t="s">
        <v>426</v>
      </c>
      <c r="H959" s="9" t="s">
        <v>345</v>
      </c>
      <c r="I959" s="8">
        <v>1953.0</v>
      </c>
      <c r="J959" s="9" t="s">
        <v>346</v>
      </c>
      <c r="K959" s="9" t="s">
        <v>43</v>
      </c>
      <c r="L959" s="9" t="s">
        <v>43</v>
      </c>
      <c r="M959" s="9" t="s">
        <v>2999</v>
      </c>
      <c r="N959" s="9" t="s">
        <v>35</v>
      </c>
      <c r="O959" s="9" t="s">
        <v>3000</v>
      </c>
      <c r="P959" s="9" t="s">
        <v>1947</v>
      </c>
    </row>
    <row r="960">
      <c r="A960" s="17" t="s">
        <v>342</v>
      </c>
      <c r="B960" s="8">
        <v>5782.0</v>
      </c>
      <c r="C960" s="8">
        <v>144830.0</v>
      </c>
      <c r="D960" s="8">
        <v>145730.0</v>
      </c>
      <c r="E960" s="9" t="s">
        <v>610</v>
      </c>
      <c r="F960" s="9"/>
      <c r="G960" s="9" t="s">
        <v>611</v>
      </c>
      <c r="H960" s="9" t="s">
        <v>377</v>
      </c>
      <c r="I960" s="8">
        <v>1941.0</v>
      </c>
      <c r="J960" s="9" t="s">
        <v>346</v>
      </c>
      <c r="K960" s="9" t="s">
        <v>43</v>
      </c>
      <c r="L960" s="9" t="s">
        <v>43</v>
      </c>
      <c r="M960" s="9"/>
      <c r="N960" s="9" t="s">
        <v>45</v>
      </c>
      <c r="O960" s="9" t="s">
        <v>3001</v>
      </c>
      <c r="P960" s="9" t="s">
        <v>1947</v>
      </c>
    </row>
    <row r="961">
      <c r="A961" s="17" t="s">
        <v>342</v>
      </c>
      <c r="B961" s="8">
        <v>5787.0</v>
      </c>
      <c r="C961" s="8">
        <v>172930.0</v>
      </c>
      <c r="D961" s="8">
        <v>175290.0</v>
      </c>
      <c r="E961" s="9" t="s">
        <v>610</v>
      </c>
      <c r="F961" s="9"/>
      <c r="G961" s="9" t="s">
        <v>611</v>
      </c>
      <c r="H961" s="9" t="s">
        <v>377</v>
      </c>
      <c r="I961" s="8">
        <v>1941.0</v>
      </c>
      <c r="J961" s="9" t="s">
        <v>346</v>
      </c>
      <c r="K961" s="9" t="s">
        <v>43</v>
      </c>
      <c r="L961" s="9" t="s">
        <v>43</v>
      </c>
      <c r="M961" s="9" t="s">
        <v>3002</v>
      </c>
      <c r="N961" s="9" t="s">
        <v>35</v>
      </c>
      <c r="O961" s="9" t="s">
        <v>3003</v>
      </c>
      <c r="P961" s="9" t="s">
        <v>1947</v>
      </c>
    </row>
    <row r="962">
      <c r="A962" s="17" t="s">
        <v>342</v>
      </c>
      <c r="B962" s="8">
        <v>3585.0</v>
      </c>
      <c r="C962" s="8">
        <v>5949682.0</v>
      </c>
      <c r="D962" s="8">
        <v>5962330.0</v>
      </c>
      <c r="E962" s="9" t="s">
        <v>483</v>
      </c>
      <c r="F962" s="9"/>
      <c r="G962" s="9" t="s">
        <v>426</v>
      </c>
      <c r="H962" s="9" t="s">
        <v>345</v>
      </c>
      <c r="I962" s="8">
        <v>1953.0</v>
      </c>
      <c r="J962" s="9" t="s">
        <v>346</v>
      </c>
      <c r="K962" s="9" t="s">
        <v>43</v>
      </c>
      <c r="L962" s="9" t="s">
        <v>43</v>
      </c>
      <c r="M962" s="9" t="s">
        <v>3004</v>
      </c>
      <c r="N962" s="9" t="s">
        <v>35</v>
      </c>
      <c r="O962" s="9" t="s">
        <v>3005</v>
      </c>
      <c r="P962" s="9" t="s">
        <v>1316</v>
      </c>
    </row>
    <row r="963">
      <c r="A963" s="17" t="s">
        <v>342</v>
      </c>
      <c r="B963" s="8">
        <v>289.0</v>
      </c>
      <c r="C963" s="8">
        <v>2375300.0</v>
      </c>
      <c r="D963" s="8">
        <v>2392680.0</v>
      </c>
      <c r="E963" s="9" t="s">
        <v>343</v>
      </c>
      <c r="F963" s="9"/>
      <c r="G963" s="9" t="s">
        <v>344</v>
      </c>
      <c r="H963" s="9" t="s">
        <v>345</v>
      </c>
      <c r="I963" s="8">
        <v>1940.0</v>
      </c>
      <c r="J963" s="9" t="s">
        <v>346</v>
      </c>
      <c r="K963" s="9" t="s">
        <v>347</v>
      </c>
      <c r="L963" s="9" t="s">
        <v>43</v>
      </c>
      <c r="M963" s="9" t="s">
        <v>3006</v>
      </c>
      <c r="N963" s="9" t="s">
        <v>35</v>
      </c>
      <c r="O963" s="9" t="s">
        <v>3007</v>
      </c>
      <c r="P963" s="9" t="s">
        <v>1947</v>
      </c>
    </row>
    <row r="964">
      <c r="A964" s="17" t="s">
        <v>342</v>
      </c>
      <c r="B964" s="8">
        <v>3185.0</v>
      </c>
      <c r="C964" s="8">
        <v>4055113.0</v>
      </c>
      <c r="D964" s="8">
        <v>4058991.0</v>
      </c>
      <c r="E964" s="9" t="s">
        <v>483</v>
      </c>
      <c r="F964" s="9"/>
      <c r="G964" s="9" t="s">
        <v>426</v>
      </c>
      <c r="H964" s="9" t="s">
        <v>345</v>
      </c>
      <c r="I964" s="8">
        <v>1953.0</v>
      </c>
      <c r="J964" s="9" t="s">
        <v>346</v>
      </c>
      <c r="K964" s="9" t="s">
        <v>43</v>
      </c>
      <c r="L964" s="9" t="s">
        <v>43</v>
      </c>
      <c r="M964" s="9" t="s">
        <v>3008</v>
      </c>
      <c r="N964" s="9" t="s">
        <v>35</v>
      </c>
      <c r="O964" s="9" t="s">
        <v>3009</v>
      </c>
      <c r="P964" s="9" t="s">
        <v>1296</v>
      </c>
    </row>
    <row r="965">
      <c r="A965" s="17" t="s">
        <v>342</v>
      </c>
      <c r="B965" s="8">
        <v>3222.0</v>
      </c>
      <c r="C965" s="8">
        <v>4210231.0</v>
      </c>
      <c r="D965" s="8">
        <v>4215649.0</v>
      </c>
      <c r="E965" s="9" t="s">
        <v>483</v>
      </c>
      <c r="F965" s="9"/>
      <c r="G965" s="9" t="s">
        <v>426</v>
      </c>
      <c r="H965" s="9" t="s">
        <v>345</v>
      </c>
      <c r="I965" s="8">
        <v>1953.0</v>
      </c>
      <c r="J965" s="9" t="s">
        <v>346</v>
      </c>
      <c r="K965" s="9" t="s">
        <v>43</v>
      </c>
      <c r="L965" s="9" t="s">
        <v>43</v>
      </c>
      <c r="M965" s="9" t="s">
        <v>3010</v>
      </c>
      <c r="N965" s="9" t="s">
        <v>35</v>
      </c>
      <c r="O965" s="9" t="s">
        <v>3011</v>
      </c>
      <c r="P965" s="9" t="s">
        <v>1947</v>
      </c>
    </row>
    <row r="966">
      <c r="A966" s="17" t="s">
        <v>342</v>
      </c>
      <c r="B966" s="8">
        <v>4103.0</v>
      </c>
      <c r="C966" s="8">
        <v>3702831.0</v>
      </c>
      <c r="D966" s="8">
        <v>3706185.0</v>
      </c>
      <c r="E966" s="9" t="s">
        <v>511</v>
      </c>
      <c r="F966" s="9"/>
      <c r="G966" s="9" t="s">
        <v>512</v>
      </c>
      <c r="H966" s="9" t="s">
        <v>345</v>
      </c>
      <c r="I966" s="8">
        <v>1950.0</v>
      </c>
      <c r="J966" s="9" t="s">
        <v>346</v>
      </c>
      <c r="K966" s="9" t="s">
        <v>391</v>
      </c>
      <c r="L966" s="9" t="s">
        <v>391</v>
      </c>
      <c r="M966" s="12" t="str">
        <f>у вас С Украины небось там тоже своё все делают</f>
        <v>#ERROR!</v>
      </c>
      <c r="N966" s="9" t="s">
        <v>35</v>
      </c>
      <c r="O966" s="9" t="s">
        <v>3012</v>
      </c>
      <c r="P966" s="9" t="s">
        <v>1947</v>
      </c>
    </row>
    <row r="967">
      <c r="A967" s="17" t="s">
        <v>342</v>
      </c>
      <c r="B967" s="8">
        <v>4550.0</v>
      </c>
      <c r="C967" s="8">
        <v>5855253.0</v>
      </c>
      <c r="D967" s="8">
        <v>5858016.0</v>
      </c>
      <c r="E967" s="9" t="s">
        <v>511</v>
      </c>
      <c r="F967" s="9"/>
      <c r="G967" s="9" t="s">
        <v>512</v>
      </c>
      <c r="H967" s="9" t="s">
        <v>345</v>
      </c>
      <c r="I967" s="8">
        <v>1950.0</v>
      </c>
      <c r="J967" s="9" t="s">
        <v>346</v>
      </c>
      <c r="K967" s="9" t="s">
        <v>391</v>
      </c>
      <c r="L967" s="9" t="s">
        <v>391</v>
      </c>
      <c r="M967" s="9" t="s">
        <v>3013</v>
      </c>
      <c r="N967" s="9" t="s">
        <v>35</v>
      </c>
      <c r="O967" s="9" t="s">
        <v>3014</v>
      </c>
      <c r="P967" s="9" t="s">
        <v>1947</v>
      </c>
    </row>
    <row r="968">
      <c r="A968" s="17" t="s">
        <v>342</v>
      </c>
      <c r="B968" s="8">
        <v>12.0</v>
      </c>
      <c r="C968" s="8">
        <v>60850.0</v>
      </c>
      <c r="D968" s="8">
        <v>77840.0</v>
      </c>
      <c r="E968" s="9" t="s">
        <v>343</v>
      </c>
      <c r="F968" s="9"/>
      <c r="G968" s="9" t="s">
        <v>344</v>
      </c>
      <c r="H968" s="9" t="s">
        <v>345</v>
      </c>
      <c r="I968" s="8">
        <v>1940.0</v>
      </c>
      <c r="J968" s="9" t="s">
        <v>346</v>
      </c>
      <c r="K968" s="9" t="s">
        <v>347</v>
      </c>
      <c r="L968" s="9" t="s">
        <v>43</v>
      </c>
      <c r="M968" s="9" t="s">
        <v>3015</v>
      </c>
      <c r="N968" s="9" t="s">
        <v>89</v>
      </c>
      <c r="O968" s="9" t="s">
        <v>3016</v>
      </c>
      <c r="P968" s="9" t="s">
        <v>1296</v>
      </c>
    </row>
    <row r="969">
      <c r="A969" s="17" t="s">
        <v>342</v>
      </c>
      <c r="B969" s="8">
        <v>47.0</v>
      </c>
      <c r="C969" s="8">
        <v>369020.0</v>
      </c>
      <c r="D969" s="8">
        <v>380600.0</v>
      </c>
      <c r="E969" s="9" t="s">
        <v>343</v>
      </c>
      <c r="F969" s="9"/>
      <c r="G969" s="9" t="s">
        <v>344</v>
      </c>
      <c r="H969" s="9" t="s">
        <v>345</v>
      </c>
      <c r="I969" s="8">
        <v>1940.0</v>
      </c>
      <c r="J969" s="9" t="s">
        <v>346</v>
      </c>
      <c r="K969" s="9" t="s">
        <v>347</v>
      </c>
      <c r="L969" s="9" t="s">
        <v>43</v>
      </c>
      <c r="M969" s="9" t="s">
        <v>3017</v>
      </c>
      <c r="N969" s="9" t="s">
        <v>89</v>
      </c>
      <c r="O969" s="9" t="s">
        <v>3018</v>
      </c>
      <c r="P969" s="9" t="s">
        <v>1296</v>
      </c>
    </row>
    <row r="970">
      <c r="A970" s="17" t="s">
        <v>342</v>
      </c>
      <c r="B970" s="8">
        <v>70.0</v>
      </c>
      <c r="C970" s="8">
        <v>580140.0</v>
      </c>
      <c r="D970" s="8">
        <v>589460.0</v>
      </c>
      <c r="E970" s="9" t="s">
        <v>343</v>
      </c>
      <c r="F970" s="9"/>
      <c r="G970" s="9" t="s">
        <v>344</v>
      </c>
      <c r="H970" s="9" t="s">
        <v>345</v>
      </c>
      <c r="I970" s="8">
        <v>1940.0</v>
      </c>
      <c r="J970" s="9" t="s">
        <v>346</v>
      </c>
      <c r="K970" s="9" t="s">
        <v>347</v>
      </c>
      <c r="L970" s="9" t="s">
        <v>43</v>
      </c>
      <c r="M970" s="9" t="s">
        <v>3019</v>
      </c>
      <c r="N970" s="9" t="s">
        <v>89</v>
      </c>
      <c r="O970" s="9" t="s">
        <v>3020</v>
      </c>
      <c r="P970" s="9" t="s">
        <v>1296</v>
      </c>
    </row>
    <row r="971">
      <c r="A971" s="17" t="s">
        <v>342</v>
      </c>
      <c r="B971" s="8">
        <v>74.0</v>
      </c>
      <c r="C971" s="8">
        <v>620860.0</v>
      </c>
      <c r="D971" s="8">
        <v>628620.0</v>
      </c>
      <c r="E971" s="9" t="s">
        <v>343</v>
      </c>
      <c r="F971" s="9"/>
      <c r="G971" s="9" t="s">
        <v>344</v>
      </c>
      <c r="H971" s="9" t="s">
        <v>345</v>
      </c>
      <c r="I971" s="8">
        <v>1940.0</v>
      </c>
      <c r="J971" s="9" t="s">
        <v>346</v>
      </c>
      <c r="K971" s="9" t="s">
        <v>347</v>
      </c>
      <c r="L971" s="9" t="s">
        <v>43</v>
      </c>
      <c r="M971" s="9" t="s">
        <v>3021</v>
      </c>
      <c r="N971" s="9" t="s">
        <v>89</v>
      </c>
      <c r="O971" s="9" t="s">
        <v>3022</v>
      </c>
      <c r="P971" s="9" t="s">
        <v>1296</v>
      </c>
    </row>
    <row r="972">
      <c r="A972" s="17" t="s">
        <v>342</v>
      </c>
      <c r="B972" s="8">
        <v>108.0</v>
      </c>
      <c r="C972" s="8">
        <v>882840.0</v>
      </c>
      <c r="D972" s="8">
        <v>887240.0</v>
      </c>
      <c r="E972" s="9" t="s">
        <v>343</v>
      </c>
      <c r="F972" s="9"/>
      <c r="G972" s="9" t="s">
        <v>344</v>
      </c>
      <c r="H972" s="9" t="s">
        <v>345</v>
      </c>
      <c r="I972" s="8">
        <v>1940.0</v>
      </c>
      <c r="J972" s="9" t="s">
        <v>346</v>
      </c>
      <c r="K972" s="9" t="s">
        <v>347</v>
      </c>
      <c r="L972" s="9" t="s">
        <v>43</v>
      </c>
      <c r="M972" s="9" t="s">
        <v>3023</v>
      </c>
      <c r="N972" s="9" t="s">
        <v>89</v>
      </c>
      <c r="O972" s="9" t="s">
        <v>3024</v>
      </c>
      <c r="P972" s="9" t="s">
        <v>1316</v>
      </c>
    </row>
    <row r="973">
      <c r="A973" s="17" t="s">
        <v>342</v>
      </c>
      <c r="B973" s="8">
        <v>118.0</v>
      </c>
      <c r="C973" s="8">
        <v>977760.0</v>
      </c>
      <c r="D973" s="8">
        <v>987480.0</v>
      </c>
      <c r="E973" s="9" t="s">
        <v>343</v>
      </c>
      <c r="F973" s="9"/>
      <c r="G973" s="9" t="s">
        <v>344</v>
      </c>
      <c r="H973" s="9" t="s">
        <v>345</v>
      </c>
      <c r="I973" s="8">
        <v>1940.0</v>
      </c>
      <c r="J973" s="9" t="s">
        <v>346</v>
      </c>
      <c r="K973" s="9" t="s">
        <v>347</v>
      </c>
      <c r="L973" s="9" t="s">
        <v>43</v>
      </c>
      <c r="M973" s="9" t="s">
        <v>3025</v>
      </c>
      <c r="N973" s="9" t="s">
        <v>89</v>
      </c>
      <c r="O973" s="9" t="s">
        <v>3026</v>
      </c>
      <c r="P973" s="9" t="s">
        <v>1296</v>
      </c>
    </row>
    <row r="974">
      <c r="A974" s="17" t="s">
        <v>342</v>
      </c>
      <c r="B974" s="8">
        <v>209.0</v>
      </c>
      <c r="C974" s="8">
        <v>1672500.0</v>
      </c>
      <c r="D974" s="8">
        <v>1675600.0</v>
      </c>
      <c r="E974" s="9" t="s">
        <v>343</v>
      </c>
      <c r="F974" s="9"/>
      <c r="G974" s="9" t="s">
        <v>344</v>
      </c>
      <c r="H974" s="9" t="s">
        <v>345</v>
      </c>
      <c r="I974" s="8">
        <v>1940.0</v>
      </c>
      <c r="J974" s="9" t="s">
        <v>346</v>
      </c>
      <c r="K974" s="9" t="s">
        <v>347</v>
      </c>
      <c r="L974" s="9" t="s">
        <v>43</v>
      </c>
      <c r="M974" s="9" t="s">
        <v>3027</v>
      </c>
      <c r="N974" s="9" t="s">
        <v>89</v>
      </c>
      <c r="O974" s="9" t="s">
        <v>3028</v>
      </c>
      <c r="P974" s="9" t="s">
        <v>1296</v>
      </c>
    </row>
    <row r="975">
      <c r="A975" s="17" t="s">
        <v>342</v>
      </c>
      <c r="B975" s="8">
        <v>212.0</v>
      </c>
      <c r="C975" s="8">
        <v>1688320.0</v>
      </c>
      <c r="D975" s="8">
        <v>1690540.0</v>
      </c>
      <c r="E975" s="9" t="s">
        <v>343</v>
      </c>
      <c r="F975" s="9"/>
      <c r="G975" s="9" t="s">
        <v>344</v>
      </c>
      <c r="H975" s="9" t="s">
        <v>345</v>
      </c>
      <c r="I975" s="8">
        <v>1940.0</v>
      </c>
      <c r="J975" s="9" t="s">
        <v>346</v>
      </c>
      <c r="K975" s="9" t="s">
        <v>347</v>
      </c>
      <c r="L975" s="9" t="s">
        <v>43</v>
      </c>
      <c r="M975" s="9" t="s">
        <v>3029</v>
      </c>
      <c r="N975" s="9" t="s">
        <v>89</v>
      </c>
      <c r="O975" s="9" t="s">
        <v>3030</v>
      </c>
      <c r="P975" s="9" t="s">
        <v>1296</v>
      </c>
    </row>
    <row r="976">
      <c r="A976" s="17" t="s">
        <v>342</v>
      </c>
      <c r="B976" s="8">
        <v>278.0</v>
      </c>
      <c r="C976" s="8">
        <v>2287480.0</v>
      </c>
      <c r="D976" s="8">
        <v>2297580.0</v>
      </c>
      <c r="E976" s="9" t="s">
        <v>343</v>
      </c>
      <c r="F976" s="9"/>
      <c r="G976" s="9" t="s">
        <v>344</v>
      </c>
      <c r="H976" s="9" t="s">
        <v>345</v>
      </c>
      <c r="I976" s="8">
        <v>1940.0</v>
      </c>
      <c r="J976" s="9" t="s">
        <v>346</v>
      </c>
      <c r="K976" s="9" t="s">
        <v>347</v>
      </c>
      <c r="L976" s="9" t="s">
        <v>43</v>
      </c>
      <c r="M976" s="9" t="s">
        <v>3031</v>
      </c>
      <c r="N976" s="9" t="s">
        <v>89</v>
      </c>
      <c r="O976" s="9" t="s">
        <v>3032</v>
      </c>
      <c r="P976" s="9" t="s">
        <v>1296</v>
      </c>
    </row>
    <row r="977">
      <c r="A977" s="17" t="s">
        <v>342</v>
      </c>
      <c r="B977" s="8">
        <v>303.0</v>
      </c>
      <c r="C977" s="8">
        <v>2473380.0</v>
      </c>
      <c r="D977" s="8">
        <v>2479060.0</v>
      </c>
      <c r="E977" s="9" t="s">
        <v>343</v>
      </c>
      <c r="F977" s="9"/>
      <c r="G977" s="9" t="s">
        <v>344</v>
      </c>
      <c r="H977" s="9" t="s">
        <v>345</v>
      </c>
      <c r="I977" s="8">
        <v>1940.0</v>
      </c>
      <c r="J977" s="9" t="s">
        <v>346</v>
      </c>
      <c r="K977" s="9" t="s">
        <v>347</v>
      </c>
      <c r="L977" s="9" t="s">
        <v>43</v>
      </c>
      <c r="M977" s="9" t="s">
        <v>3033</v>
      </c>
      <c r="N977" s="9" t="s">
        <v>89</v>
      </c>
      <c r="O977" s="9" t="s">
        <v>3034</v>
      </c>
      <c r="P977" s="9" t="s">
        <v>1296</v>
      </c>
    </row>
    <row r="978">
      <c r="A978" s="17" t="s">
        <v>342</v>
      </c>
      <c r="B978" s="8">
        <v>465.0</v>
      </c>
      <c r="C978" s="8">
        <v>630781.0</v>
      </c>
      <c r="D978" s="8">
        <v>645279.0</v>
      </c>
      <c r="E978" s="9" t="s">
        <v>375</v>
      </c>
      <c r="F978" s="9"/>
      <c r="G978" s="9" t="s">
        <v>376</v>
      </c>
      <c r="H978" s="9" t="s">
        <v>377</v>
      </c>
      <c r="I978" s="8">
        <v>1941.0</v>
      </c>
      <c r="J978" s="9" t="s">
        <v>378</v>
      </c>
      <c r="K978" s="9" t="s">
        <v>379</v>
      </c>
      <c r="L978" s="9" t="s">
        <v>43</v>
      </c>
      <c r="M978" s="9" t="s">
        <v>3035</v>
      </c>
      <c r="N978" s="9" t="s">
        <v>89</v>
      </c>
      <c r="O978" s="9" t="s">
        <v>3036</v>
      </c>
      <c r="P978" s="9" t="s">
        <v>1296</v>
      </c>
    </row>
    <row r="979">
      <c r="A979" s="17" t="s">
        <v>342</v>
      </c>
      <c r="B979" s="8">
        <v>1495.0</v>
      </c>
      <c r="C979" s="8">
        <v>331024.0</v>
      </c>
      <c r="D979" s="8">
        <v>338811.0</v>
      </c>
      <c r="E979" s="9" t="s">
        <v>425</v>
      </c>
      <c r="F979" s="9"/>
      <c r="G979" s="9" t="s">
        <v>426</v>
      </c>
      <c r="H979" s="9" t="s">
        <v>345</v>
      </c>
      <c r="I979" s="8">
        <v>1953.0</v>
      </c>
      <c r="J979" s="9" t="s">
        <v>346</v>
      </c>
      <c r="K979" s="9" t="s">
        <v>43</v>
      </c>
      <c r="L979" s="9" t="s">
        <v>43</v>
      </c>
      <c r="M979" s="9" t="s">
        <v>3037</v>
      </c>
      <c r="N979" s="9" t="s">
        <v>89</v>
      </c>
      <c r="O979" s="9" t="s">
        <v>3038</v>
      </c>
      <c r="P979" s="9" t="s">
        <v>1296</v>
      </c>
    </row>
    <row r="980">
      <c r="A980" s="17" t="s">
        <v>342</v>
      </c>
      <c r="B980" s="8">
        <v>1528.0</v>
      </c>
      <c r="C980" s="8">
        <v>512068.0</v>
      </c>
      <c r="D980" s="8">
        <v>519000.0</v>
      </c>
      <c r="E980" s="9" t="s">
        <v>425</v>
      </c>
      <c r="F980" s="9"/>
      <c r="G980" s="9" t="s">
        <v>426</v>
      </c>
      <c r="H980" s="9" t="s">
        <v>345</v>
      </c>
      <c r="I980" s="8">
        <v>1953.0</v>
      </c>
      <c r="J980" s="9" t="s">
        <v>346</v>
      </c>
      <c r="K980" s="9" t="s">
        <v>43</v>
      </c>
      <c r="L980" s="9" t="s">
        <v>43</v>
      </c>
      <c r="M980" s="9" t="s">
        <v>3039</v>
      </c>
      <c r="N980" s="9" t="s">
        <v>333</v>
      </c>
      <c r="O980" s="9" t="s">
        <v>3040</v>
      </c>
      <c r="P980" s="9" t="s">
        <v>1947</v>
      </c>
    </row>
    <row r="981">
      <c r="A981" s="17" t="s">
        <v>342</v>
      </c>
      <c r="B981" s="8">
        <v>1600.0</v>
      </c>
      <c r="C981" s="8">
        <v>935903.0</v>
      </c>
      <c r="D981" s="8">
        <v>941222.0</v>
      </c>
      <c r="E981" s="9" t="s">
        <v>425</v>
      </c>
      <c r="F981" s="9"/>
      <c r="G981" s="9" t="s">
        <v>426</v>
      </c>
      <c r="H981" s="9" t="s">
        <v>345</v>
      </c>
      <c r="I981" s="8">
        <v>1953.0</v>
      </c>
      <c r="J981" s="9" t="s">
        <v>346</v>
      </c>
      <c r="K981" s="9" t="s">
        <v>43</v>
      </c>
      <c r="L981" s="9" t="s">
        <v>43</v>
      </c>
      <c r="M981" s="9"/>
      <c r="N981" s="9" t="s">
        <v>333</v>
      </c>
      <c r="O981" s="9" t="s">
        <v>3041</v>
      </c>
      <c r="P981" s="9" t="s">
        <v>1300</v>
      </c>
    </row>
    <row r="982">
      <c r="A982" s="17" t="s">
        <v>342</v>
      </c>
      <c r="B982" s="8">
        <v>1717.0</v>
      </c>
      <c r="C982" s="8">
        <v>1562033.0</v>
      </c>
      <c r="D982" s="8">
        <v>1564899.0</v>
      </c>
      <c r="E982" s="9" t="s">
        <v>425</v>
      </c>
      <c r="F982" s="9"/>
      <c r="G982" s="9" t="s">
        <v>426</v>
      </c>
      <c r="H982" s="9" t="s">
        <v>345</v>
      </c>
      <c r="I982" s="8">
        <v>1953.0</v>
      </c>
      <c r="J982" s="9" t="s">
        <v>346</v>
      </c>
      <c r="K982" s="9" t="s">
        <v>43</v>
      </c>
      <c r="L982" s="9" t="s">
        <v>43</v>
      </c>
      <c r="M982" s="9" t="s">
        <v>3042</v>
      </c>
      <c r="N982" s="9" t="s">
        <v>89</v>
      </c>
      <c r="O982" s="9" t="s">
        <v>3043</v>
      </c>
      <c r="P982" s="9" t="s">
        <v>1296</v>
      </c>
    </row>
    <row r="983">
      <c r="A983" s="17" t="s">
        <v>342</v>
      </c>
      <c r="B983" s="8">
        <v>2206.0</v>
      </c>
      <c r="C983" s="8">
        <v>1542930.0</v>
      </c>
      <c r="D983" s="8">
        <v>1543893.0</v>
      </c>
      <c r="E983" s="9" t="s">
        <v>448</v>
      </c>
      <c r="F983" s="9"/>
      <c r="G983" s="9"/>
      <c r="H983" s="9"/>
      <c r="I983" s="9"/>
      <c r="J983" s="9"/>
      <c r="K983" s="9"/>
      <c r="L983" s="9"/>
      <c r="M983" s="9"/>
      <c r="N983" s="9" t="s">
        <v>333</v>
      </c>
      <c r="O983" s="9" t="s">
        <v>3044</v>
      </c>
      <c r="P983" s="9" t="s">
        <v>1296</v>
      </c>
    </row>
    <row r="984">
      <c r="A984" s="17" t="s">
        <v>342</v>
      </c>
      <c r="B984" s="8">
        <v>2608.0</v>
      </c>
      <c r="C984" s="8">
        <v>2898328.0</v>
      </c>
      <c r="D984" s="8">
        <v>2900988.0</v>
      </c>
      <c r="E984" s="9" t="s">
        <v>448</v>
      </c>
      <c r="F984" s="9"/>
      <c r="G984" s="9"/>
      <c r="H984" s="9"/>
      <c r="I984" s="9"/>
      <c r="J984" s="9"/>
      <c r="K984" s="9"/>
      <c r="L984" s="9"/>
      <c r="M984" s="9" t="s">
        <v>3045</v>
      </c>
      <c r="N984" s="9" t="s">
        <v>89</v>
      </c>
      <c r="O984" s="9" t="s">
        <v>3046</v>
      </c>
      <c r="P984" s="9" t="s">
        <v>1296</v>
      </c>
    </row>
    <row r="985">
      <c r="A985" s="17" t="s">
        <v>342</v>
      </c>
      <c r="B985" s="8">
        <v>2645.0</v>
      </c>
      <c r="C985" s="8">
        <v>3037496.0</v>
      </c>
      <c r="D985" s="8">
        <v>3039496.0</v>
      </c>
      <c r="E985" s="9" t="s">
        <v>448</v>
      </c>
      <c r="F985" s="9"/>
      <c r="G985" s="9"/>
      <c r="H985" s="9"/>
      <c r="I985" s="9"/>
      <c r="J985" s="9"/>
      <c r="K985" s="9"/>
      <c r="L985" s="9"/>
      <c r="M985" s="9" t="s">
        <v>2585</v>
      </c>
      <c r="N985" s="9" t="s">
        <v>89</v>
      </c>
      <c r="O985" s="9" t="s">
        <v>3047</v>
      </c>
      <c r="P985" s="9" t="s">
        <v>1296</v>
      </c>
    </row>
    <row r="986">
      <c r="A986" s="17" t="s">
        <v>342</v>
      </c>
      <c r="B986" s="8">
        <v>2655.0</v>
      </c>
      <c r="C986" s="8">
        <v>3069801.0</v>
      </c>
      <c r="D986" s="8">
        <v>3071471.0</v>
      </c>
      <c r="E986" s="9" t="s">
        <v>448</v>
      </c>
      <c r="F986" s="9"/>
      <c r="G986" s="9"/>
      <c r="H986" s="9"/>
      <c r="I986" s="9"/>
      <c r="J986" s="9"/>
      <c r="K986" s="9"/>
      <c r="L986" s="9"/>
      <c r="M986" s="9" t="s">
        <v>3048</v>
      </c>
      <c r="N986" s="9" t="s">
        <v>89</v>
      </c>
      <c r="O986" s="9" t="s">
        <v>3049</v>
      </c>
      <c r="P986" s="9" t="s">
        <v>1296</v>
      </c>
    </row>
    <row r="987">
      <c r="A987" s="17" t="s">
        <v>342</v>
      </c>
      <c r="B987" s="8">
        <v>2657.0</v>
      </c>
      <c r="C987" s="8">
        <v>3081410.0</v>
      </c>
      <c r="D987" s="8">
        <v>3083600.0</v>
      </c>
      <c r="E987" s="9" t="s">
        <v>448</v>
      </c>
      <c r="F987" s="9"/>
      <c r="G987" s="9"/>
      <c r="H987" s="9"/>
      <c r="I987" s="9"/>
      <c r="J987" s="9"/>
      <c r="K987" s="9"/>
      <c r="L987" s="9"/>
      <c r="M987" s="9" t="s">
        <v>3050</v>
      </c>
      <c r="N987" s="9" t="s">
        <v>89</v>
      </c>
      <c r="O987" s="9" t="s">
        <v>3049</v>
      </c>
      <c r="P987" s="9" t="s">
        <v>1296</v>
      </c>
    </row>
    <row r="988">
      <c r="A988" s="17" t="s">
        <v>342</v>
      </c>
      <c r="B988" s="8">
        <v>3258.0</v>
      </c>
      <c r="C988" s="8">
        <v>4360278.0</v>
      </c>
      <c r="D988" s="8">
        <v>4368783.0</v>
      </c>
      <c r="E988" s="9" t="s">
        <v>483</v>
      </c>
      <c r="F988" s="9"/>
      <c r="G988" s="9" t="s">
        <v>426</v>
      </c>
      <c r="H988" s="9" t="s">
        <v>345</v>
      </c>
      <c r="I988" s="8">
        <v>1953.0</v>
      </c>
      <c r="J988" s="9" t="s">
        <v>346</v>
      </c>
      <c r="K988" s="9" t="s">
        <v>43</v>
      </c>
      <c r="L988" s="9" t="s">
        <v>43</v>
      </c>
      <c r="M988" s="9" t="s">
        <v>3051</v>
      </c>
      <c r="N988" s="9" t="s">
        <v>89</v>
      </c>
      <c r="O988" s="9" t="s">
        <v>3052</v>
      </c>
      <c r="P988" s="9" t="s">
        <v>1947</v>
      </c>
    </row>
    <row r="989">
      <c r="A989" s="17" t="s">
        <v>342</v>
      </c>
      <c r="B989" s="8">
        <v>3278.0</v>
      </c>
      <c r="C989" s="8">
        <v>4444606.0</v>
      </c>
      <c r="D989" s="8">
        <v>4448069.0</v>
      </c>
      <c r="E989" s="9" t="s">
        <v>483</v>
      </c>
      <c r="F989" s="9"/>
      <c r="G989" s="9" t="s">
        <v>426</v>
      </c>
      <c r="H989" s="9" t="s">
        <v>345</v>
      </c>
      <c r="I989" s="8">
        <v>1953.0</v>
      </c>
      <c r="J989" s="9" t="s">
        <v>346</v>
      </c>
      <c r="K989" s="9" t="s">
        <v>43</v>
      </c>
      <c r="L989" s="9" t="s">
        <v>43</v>
      </c>
      <c r="M989" s="9" t="s">
        <v>3053</v>
      </c>
      <c r="N989" s="9" t="s">
        <v>89</v>
      </c>
      <c r="O989" s="9" t="s">
        <v>3054</v>
      </c>
      <c r="P989" s="9" t="s">
        <v>1296</v>
      </c>
    </row>
    <row r="990">
      <c r="A990" s="17" t="s">
        <v>342</v>
      </c>
      <c r="B990" s="8">
        <v>4035.0</v>
      </c>
      <c r="C990" s="8">
        <v>1320055.0</v>
      </c>
      <c r="D990" s="8">
        <v>1323280.0</v>
      </c>
      <c r="E990" s="9" t="s">
        <v>508</v>
      </c>
      <c r="F990" s="9"/>
      <c r="G990" s="9" t="s">
        <v>509</v>
      </c>
      <c r="H990" s="9" t="s">
        <v>345</v>
      </c>
      <c r="I990" s="8">
        <v>1939.0</v>
      </c>
      <c r="J990" s="9" t="s">
        <v>346</v>
      </c>
      <c r="K990" s="9" t="s">
        <v>43</v>
      </c>
      <c r="L990" s="9" t="s">
        <v>43</v>
      </c>
      <c r="M990" s="9" t="s">
        <v>3055</v>
      </c>
      <c r="N990" s="9" t="s">
        <v>89</v>
      </c>
      <c r="O990" s="9" t="s">
        <v>3056</v>
      </c>
      <c r="P990" s="9" t="s">
        <v>1296</v>
      </c>
    </row>
    <row r="991">
      <c r="A991" s="17" t="s">
        <v>342</v>
      </c>
      <c r="B991" s="8">
        <v>4123.0</v>
      </c>
      <c r="C991" s="8">
        <v>3807385.0</v>
      </c>
      <c r="D991" s="8">
        <v>3813079.0</v>
      </c>
      <c r="E991" s="9" t="s">
        <v>511</v>
      </c>
      <c r="F991" s="9"/>
      <c r="G991" s="9" t="s">
        <v>512</v>
      </c>
      <c r="H991" s="9" t="s">
        <v>345</v>
      </c>
      <c r="I991" s="8">
        <v>1950.0</v>
      </c>
      <c r="J991" s="9" t="s">
        <v>346</v>
      </c>
      <c r="K991" s="9" t="s">
        <v>391</v>
      </c>
      <c r="L991" s="9" t="s">
        <v>391</v>
      </c>
      <c r="M991" s="9" t="s">
        <v>3057</v>
      </c>
      <c r="N991" s="9" t="s">
        <v>333</v>
      </c>
      <c r="O991" s="9" t="s">
        <v>3058</v>
      </c>
      <c r="P991" s="9" t="s">
        <v>1298</v>
      </c>
    </row>
    <row r="992">
      <c r="A992" s="17" t="s">
        <v>342</v>
      </c>
      <c r="B992" s="8">
        <v>4177.0</v>
      </c>
      <c r="C992" s="8">
        <v>4087320.0</v>
      </c>
      <c r="D992" s="8">
        <v>4090288.0</v>
      </c>
      <c r="E992" s="9" t="s">
        <v>511</v>
      </c>
      <c r="F992" s="9"/>
      <c r="G992" s="9" t="s">
        <v>512</v>
      </c>
      <c r="H992" s="9" t="s">
        <v>345</v>
      </c>
      <c r="I992" s="8">
        <v>1950.0</v>
      </c>
      <c r="J992" s="9" t="s">
        <v>346</v>
      </c>
      <c r="K992" s="9" t="s">
        <v>391</v>
      </c>
      <c r="L992" s="9" t="s">
        <v>391</v>
      </c>
      <c r="M992" s="9" t="s">
        <v>3059</v>
      </c>
      <c r="N992" s="9" t="s">
        <v>89</v>
      </c>
      <c r="O992" s="9" t="s">
        <v>3049</v>
      </c>
      <c r="P992" s="9" t="s">
        <v>1296</v>
      </c>
    </row>
    <row r="993">
      <c r="A993" s="17" t="s">
        <v>342</v>
      </c>
      <c r="B993" s="8">
        <v>4200.0</v>
      </c>
      <c r="C993" s="8">
        <v>4204351.0</v>
      </c>
      <c r="D993" s="8">
        <v>4210934.0</v>
      </c>
      <c r="E993" s="9" t="s">
        <v>511</v>
      </c>
      <c r="F993" s="9"/>
      <c r="G993" s="9" t="s">
        <v>512</v>
      </c>
      <c r="H993" s="9" t="s">
        <v>345</v>
      </c>
      <c r="I993" s="8">
        <v>1950.0</v>
      </c>
      <c r="J993" s="9" t="s">
        <v>346</v>
      </c>
      <c r="K993" s="9" t="s">
        <v>391</v>
      </c>
      <c r="L993" s="9" t="s">
        <v>391</v>
      </c>
      <c r="M993" s="9" t="s">
        <v>3060</v>
      </c>
      <c r="N993" s="9" t="s">
        <v>89</v>
      </c>
      <c r="O993" s="9" t="s">
        <v>3061</v>
      </c>
      <c r="P993" s="9" t="s">
        <v>1296</v>
      </c>
    </row>
    <row r="994">
      <c r="A994" s="17" t="s">
        <v>342</v>
      </c>
      <c r="B994" s="8">
        <v>4345.0</v>
      </c>
      <c r="C994" s="8">
        <v>4919469.0</v>
      </c>
      <c r="D994" s="8">
        <v>4924685.0</v>
      </c>
      <c r="E994" s="9" t="s">
        <v>511</v>
      </c>
      <c r="F994" s="9"/>
      <c r="G994" s="9" t="s">
        <v>512</v>
      </c>
      <c r="H994" s="9" t="s">
        <v>345</v>
      </c>
      <c r="I994" s="8">
        <v>1950.0</v>
      </c>
      <c r="J994" s="9" t="s">
        <v>346</v>
      </c>
      <c r="K994" s="9" t="s">
        <v>391</v>
      </c>
      <c r="L994" s="9" t="s">
        <v>391</v>
      </c>
      <c r="M994" s="9" t="s">
        <v>3062</v>
      </c>
      <c r="N994" s="9" t="s">
        <v>89</v>
      </c>
      <c r="O994" s="9" t="s">
        <v>3063</v>
      </c>
      <c r="P994" s="9" t="s">
        <v>1316</v>
      </c>
    </row>
    <row r="995">
      <c r="A995" s="17" t="s">
        <v>342</v>
      </c>
      <c r="B995" s="8">
        <v>4453.0</v>
      </c>
      <c r="C995" s="8">
        <v>5494350.0</v>
      </c>
      <c r="D995" s="8">
        <v>5506146.0</v>
      </c>
      <c r="E995" s="9" t="s">
        <v>511</v>
      </c>
      <c r="F995" s="9"/>
      <c r="G995" s="9" t="s">
        <v>512</v>
      </c>
      <c r="H995" s="9" t="s">
        <v>345</v>
      </c>
      <c r="I995" s="8">
        <v>1950.0</v>
      </c>
      <c r="J995" s="9" t="s">
        <v>346</v>
      </c>
      <c r="K995" s="9" t="s">
        <v>391</v>
      </c>
      <c r="L995" s="9" t="s">
        <v>391</v>
      </c>
      <c r="M995" s="9" t="s">
        <v>3064</v>
      </c>
      <c r="N995" s="9" t="s">
        <v>89</v>
      </c>
      <c r="O995" s="9" t="s">
        <v>3065</v>
      </c>
      <c r="P995" s="9" t="s">
        <v>1296</v>
      </c>
    </row>
    <row r="996">
      <c r="A996" s="17" t="s">
        <v>342</v>
      </c>
      <c r="B996" s="8">
        <v>4549.0</v>
      </c>
      <c r="C996" s="8">
        <v>5852147.0</v>
      </c>
      <c r="D996" s="8">
        <v>5855022.0</v>
      </c>
      <c r="E996" s="9" t="s">
        <v>511</v>
      </c>
      <c r="F996" s="9"/>
      <c r="G996" s="9" t="s">
        <v>512</v>
      </c>
      <c r="H996" s="9" t="s">
        <v>345</v>
      </c>
      <c r="I996" s="8">
        <v>1950.0</v>
      </c>
      <c r="J996" s="9" t="s">
        <v>346</v>
      </c>
      <c r="K996" s="9" t="s">
        <v>391</v>
      </c>
      <c r="L996" s="9" t="s">
        <v>391</v>
      </c>
      <c r="M996" s="9" t="s">
        <v>3066</v>
      </c>
      <c r="N996" s="9" t="s">
        <v>89</v>
      </c>
      <c r="O996" s="9" t="s">
        <v>3067</v>
      </c>
      <c r="P996" s="9" t="s">
        <v>1296</v>
      </c>
    </row>
    <row r="997">
      <c r="A997" s="17" t="s">
        <v>342</v>
      </c>
      <c r="B997" s="8">
        <v>4862.0</v>
      </c>
      <c r="C997" s="8">
        <v>7063221.0</v>
      </c>
      <c r="D997" s="8">
        <v>7075857.0</v>
      </c>
      <c r="E997" s="9" t="s">
        <v>511</v>
      </c>
      <c r="F997" s="9"/>
      <c r="G997" s="9" t="s">
        <v>512</v>
      </c>
      <c r="H997" s="9" t="s">
        <v>345</v>
      </c>
      <c r="I997" s="8">
        <v>1950.0</v>
      </c>
      <c r="J997" s="9" t="s">
        <v>346</v>
      </c>
      <c r="K997" s="9" t="s">
        <v>391</v>
      </c>
      <c r="L997" s="9" t="s">
        <v>391</v>
      </c>
      <c r="M997" s="9" t="s">
        <v>3068</v>
      </c>
      <c r="N997" s="9" t="s">
        <v>333</v>
      </c>
      <c r="O997" s="9" t="s">
        <v>3069</v>
      </c>
      <c r="P997" s="9" t="s">
        <v>1296</v>
      </c>
    </row>
    <row r="998">
      <c r="A998" s="17" t="s">
        <v>342</v>
      </c>
      <c r="B998" s="8">
        <v>5224.0</v>
      </c>
      <c r="C998" s="8">
        <v>2258727.0</v>
      </c>
      <c r="D998" s="8">
        <v>2262244.0</v>
      </c>
      <c r="E998" s="9" t="s">
        <v>588</v>
      </c>
      <c r="F998" s="9"/>
      <c r="G998" s="9" t="s">
        <v>509</v>
      </c>
      <c r="H998" s="9" t="s">
        <v>345</v>
      </c>
      <c r="I998" s="8">
        <v>1939.0</v>
      </c>
      <c r="J998" s="9" t="s">
        <v>346</v>
      </c>
      <c r="K998" s="9" t="s">
        <v>43</v>
      </c>
      <c r="L998" s="9" t="s">
        <v>43</v>
      </c>
      <c r="M998" s="9" t="s">
        <v>3070</v>
      </c>
      <c r="N998" s="9" t="s">
        <v>89</v>
      </c>
      <c r="O998" s="9" t="s">
        <v>3071</v>
      </c>
      <c r="P998" s="9" t="s">
        <v>1296</v>
      </c>
    </row>
    <row r="999">
      <c r="A999" s="17" t="s">
        <v>342</v>
      </c>
      <c r="B999" s="8">
        <v>5635.0</v>
      </c>
      <c r="C999" s="8">
        <v>1036323.0</v>
      </c>
      <c r="D999" s="8">
        <v>1042480.0</v>
      </c>
      <c r="E999" s="9" t="s">
        <v>594</v>
      </c>
      <c r="F999" s="9"/>
      <c r="G999" s="9" t="s">
        <v>388</v>
      </c>
      <c r="H999" s="9" t="s">
        <v>345</v>
      </c>
      <c r="I999" s="8">
        <v>1932.0</v>
      </c>
      <c r="J999" s="9" t="s">
        <v>389</v>
      </c>
      <c r="K999" s="9" t="s">
        <v>390</v>
      </c>
      <c r="L999" s="9" t="s">
        <v>391</v>
      </c>
      <c r="M999" s="9" t="s">
        <v>3072</v>
      </c>
      <c r="N999" s="9" t="s">
        <v>89</v>
      </c>
      <c r="O999" s="9" t="s">
        <v>3073</v>
      </c>
      <c r="P999" s="9" t="s">
        <v>1296</v>
      </c>
    </row>
    <row r="1000">
      <c r="A1000" s="17" t="s">
        <v>342</v>
      </c>
      <c r="B1000" s="8">
        <v>5902.0</v>
      </c>
      <c r="C1000" s="8">
        <v>820850.0</v>
      </c>
      <c r="D1000" s="8">
        <v>829590.0</v>
      </c>
      <c r="E1000" s="9" t="s">
        <v>610</v>
      </c>
      <c r="F1000" s="9"/>
      <c r="G1000" s="9" t="s">
        <v>611</v>
      </c>
      <c r="H1000" s="9" t="s">
        <v>377</v>
      </c>
      <c r="I1000" s="8">
        <v>1941.0</v>
      </c>
      <c r="J1000" s="9" t="s">
        <v>346</v>
      </c>
      <c r="K1000" s="9" t="s">
        <v>43</v>
      </c>
      <c r="L1000" s="9" t="s">
        <v>43</v>
      </c>
      <c r="M1000" s="9" t="s">
        <v>3074</v>
      </c>
      <c r="N1000" s="9" t="s">
        <v>89</v>
      </c>
      <c r="O1000" s="9" t="s">
        <v>3075</v>
      </c>
      <c r="P1000" s="9" t="s">
        <v>1296</v>
      </c>
    </row>
    <row r="1001">
      <c r="A1001" s="17" t="s">
        <v>342</v>
      </c>
      <c r="B1001" s="8">
        <v>5980.0</v>
      </c>
      <c r="C1001" s="8">
        <v>1340780.0</v>
      </c>
      <c r="D1001" s="8">
        <v>1344610.0</v>
      </c>
      <c r="E1001" s="9" t="s">
        <v>610</v>
      </c>
      <c r="F1001" s="9"/>
      <c r="G1001" s="9" t="s">
        <v>611</v>
      </c>
      <c r="H1001" s="9" t="s">
        <v>377</v>
      </c>
      <c r="I1001" s="8">
        <v>1941.0</v>
      </c>
      <c r="J1001" s="9" t="s">
        <v>346</v>
      </c>
      <c r="K1001" s="9" t="s">
        <v>43</v>
      </c>
      <c r="L1001" s="9" t="s">
        <v>43</v>
      </c>
      <c r="M1001" s="9" t="s">
        <v>3076</v>
      </c>
      <c r="N1001" s="9" t="s">
        <v>89</v>
      </c>
      <c r="O1001" s="12" t="str">
        <f>со=со=со=сосать хочет _xleta.и эту сиську ищет.</f>
        <v>#ERROR!</v>
      </c>
      <c r="P1001" s="9" t="s">
        <v>1316</v>
      </c>
    </row>
    <row r="1002">
      <c r="A1002" s="17" t="s">
        <v>342</v>
      </c>
      <c r="B1002" s="8">
        <v>5980.0</v>
      </c>
      <c r="C1002" s="8">
        <v>1340780.0</v>
      </c>
      <c r="D1002" s="8">
        <v>1344610.0</v>
      </c>
      <c r="E1002" s="9" t="s">
        <v>610</v>
      </c>
      <c r="F1002" s="9"/>
      <c r="G1002" s="9" t="s">
        <v>611</v>
      </c>
      <c r="H1002" s="9" t="s">
        <v>377</v>
      </c>
      <c r="I1002" s="8">
        <v>1941.0</v>
      </c>
      <c r="J1002" s="9" t="s">
        <v>346</v>
      </c>
      <c r="K1002" s="9" t="s">
        <v>43</v>
      </c>
      <c r="L1002" s="9" t="s">
        <v>43</v>
      </c>
      <c r="M1002" s="9" t="s">
        <v>3077</v>
      </c>
      <c r="N1002" s="9" t="s">
        <v>89</v>
      </c>
      <c r="O1002" s="12" t="str">
        <f>со=со=сосать хочет _xleta.и эту сиську ищет.</f>
        <v>#ERROR!</v>
      </c>
      <c r="P1002" s="9" t="s">
        <v>1316</v>
      </c>
    </row>
    <row r="1003">
      <c r="A1003" s="17" t="s">
        <v>342</v>
      </c>
      <c r="B1003" s="8">
        <v>5980.0</v>
      </c>
      <c r="C1003" s="8">
        <v>1340780.0</v>
      </c>
      <c r="D1003" s="8">
        <v>1344610.0</v>
      </c>
      <c r="E1003" s="9" t="s">
        <v>610</v>
      </c>
      <c r="F1003" s="9"/>
      <c r="G1003" s="9" t="s">
        <v>611</v>
      </c>
      <c r="H1003" s="9" t="s">
        <v>377</v>
      </c>
      <c r="I1003" s="8">
        <v>1941.0</v>
      </c>
      <c r="J1003" s="9" t="s">
        <v>346</v>
      </c>
      <c r="K1003" s="9" t="s">
        <v>43</v>
      </c>
      <c r="L1003" s="9" t="s">
        <v>43</v>
      </c>
      <c r="M1003" s="9" t="s">
        <v>3078</v>
      </c>
      <c r="N1003" s="9" t="s">
        <v>89</v>
      </c>
      <c r="O1003" s="12" t="str">
        <f>со=сосать хочет _xleta.и эту сиську ищет.</f>
        <v>#ERROR!</v>
      </c>
      <c r="P1003" s="9" t="s">
        <v>1316</v>
      </c>
    </row>
    <row r="1004">
      <c r="A1004" s="17" t="s">
        <v>342</v>
      </c>
      <c r="B1004" s="8">
        <v>5980.0</v>
      </c>
      <c r="C1004" s="8">
        <v>1340780.0</v>
      </c>
      <c r="D1004" s="8">
        <v>1344610.0</v>
      </c>
      <c r="E1004" s="9" t="s">
        <v>610</v>
      </c>
      <c r="F1004" s="9"/>
      <c r="G1004" s="9" t="s">
        <v>611</v>
      </c>
      <c r="H1004" s="9" t="s">
        <v>377</v>
      </c>
      <c r="I1004" s="8">
        <v>1941.0</v>
      </c>
      <c r="J1004" s="9" t="s">
        <v>346</v>
      </c>
      <c r="K1004" s="9" t="s">
        <v>43</v>
      </c>
      <c r="L1004" s="9" t="s">
        <v>43</v>
      </c>
      <c r="M1004" s="9" t="s">
        <v>3079</v>
      </c>
      <c r="N1004" s="9" t="s">
        <v>89</v>
      </c>
      <c r="O1004" s="12" t="str">
        <f>сосать хочет _xleta.и эту сиську ищет.</f>
        <v>#ERROR!</v>
      </c>
      <c r="P1004" s="9" t="s">
        <v>1316</v>
      </c>
    </row>
    <row r="1005">
      <c r="A1005" s="17" t="s">
        <v>342</v>
      </c>
      <c r="B1005" s="8">
        <v>6714.0</v>
      </c>
      <c r="C1005" s="8">
        <v>1008375.0</v>
      </c>
      <c r="D1005" s="8">
        <v>1026987.0</v>
      </c>
      <c r="E1005" s="9" t="s">
        <v>633</v>
      </c>
      <c r="F1005" s="9"/>
      <c r="G1005" s="9" t="s">
        <v>426</v>
      </c>
      <c r="H1005" s="9" t="s">
        <v>345</v>
      </c>
      <c r="I1005" s="8">
        <v>1953.0</v>
      </c>
      <c r="J1005" s="9" t="s">
        <v>346</v>
      </c>
      <c r="K1005" s="9" t="s">
        <v>43</v>
      </c>
      <c r="L1005" s="9" t="s">
        <v>43</v>
      </c>
      <c r="M1005" s="9" t="s">
        <v>3080</v>
      </c>
      <c r="N1005" s="9" t="s">
        <v>89</v>
      </c>
      <c r="O1005" s="9" t="s">
        <v>3081</v>
      </c>
      <c r="P1005" s="9" t="s">
        <v>1296</v>
      </c>
    </row>
    <row r="1006">
      <c r="A1006" s="17" t="s">
        <v>342</v>
      </c>
      <c r="B1006" s="8">
        <v>7038.0</v>
      </c>
      <c r="C1006" s="8">
        <v>3405190.0</v>
      </c>
      <c r="D1006" s="8">
        <v>3410160.0</v>
      </c>
      <c r="E1006" s="9" t="s">
        <v>633</v>
      </c>
      <c r="F1006" s="9"/>
      <c r="G1006" s="9" t="s">
        <v>426</v>
      </c>
      <c r="H1006" s="9" t="s">
        <v>345</v>
      </c>
      <c r="I1006" s="8">
        <v>1953.0</v>
      </c>
      <c r="J1006" s="9" t="s">
        <v>346</v>
      </c>
      <c r="K1006" s="9" t="s">
        <v>43</v>
      </c>
      <c r="L1006" s="9" t="s">
        <v>43</v>
      </c>
      <c r="M1006" s="9" t="s">
        <v>3082</v>
      </c>
      <c r="N1006" s="9" t="s">
        <v>89</v>
      </c>
      <c r="O1006" s="9" t="s">
        <v>3083</v>
      </c>
      <c r="P1006" s="9" t="s">
        <v>1296</v>
      </c>
    </row>
    <row r="1007">
      <c r="A1007" s="17" t="s">
        <v>342</v>
      </c>
      <c r="B1007" s="8">
        <v>7169.0</v>
      </c>
      <c r="C1007" s="8">
        <v>4113383.0</v>
      </c>
      <c r="D1007" s="8">
        <v>4120285.0</v>
      </c>
      <c r="E1007" s="9" t="s">
        <v>633</v>
      </c>
      <c r="F1007" s="9"/>
      <c r="G1007" s="9" t="s">
        <v>426</v>
      </c>
      <c r="H1007" s="9" t="s">
        <v>345</v>
      </c>
      <c r="I1007" s="8">
        <v>1953.0</v>
      </c>
      <c r="J1007" s="9" t="s">
        <v>346</v>
      </c>
      <c r="K1007" s="9" t="s">
        <v>43</v>
      </c>
      <c r="L1007" s="9" t="s">
        <v>43</v>
      </c>
      <c r="M1007" s="9" t="s">
        <v>3084</v>
      </c>
      <c r="N1007" s="9" t="s">
        <v>89</v>
      </c>
      <c r="O1007" s="9" t="s">
        <v>3085</v>
      </c>
      <c r="P1007" s="9" t="s">
        <v>1316</v>
      </c>
    </row>
    <row r="1008">
      <c r="A1008" s="17" t="s">
        <v>342</v>
      </c>
      <c r="B1008" s="8">
        <v>7190.0</v>
      </c>
      <c r="C1008" s="8">
        <v>4203355.0</v>
      </c>
      <c r="D1008" s="8">
        <v>4207551.0</v>
      </c>
      <c r="E1008" s="9" t="s">
        <v>633</v>
      </c>
      <c r="F1008" s="9"/>
      <c r="G1008" s="9" t="s">
        <v>426</v>
      </c>
      <c r="H1008" s="9" t="s">
        <v>345</v>
      </c>
      <c r="I1008" s="8">
        <v>1953.0</v>
      </c>
      <c r="J1008" s="9" t="s">
        <v>346</v>
      </c>
      <c r="K1008" s="9" t="s">
        <v>43</v>
      </c>
      <c r="L1008" s="9" t="s">
        <v>43</v>
      </c>
      <c r="M1008" s="9" t="s">
        <v>3086</v>
      </c>
      <c r="N1008" s="9" t="s">
        <v>89</v>
      </c>
      <c r="O1008" s="9" t="s">
        <v>3087</v>
      </c>
      <c r="P1008" s="9" t="s">
        <v>1296</v>
      </c>
    </row>
    <row r="1009">
      <c r="A1009" s="17" t="s">
        <v>342</v>
      </c>
      <c r="B1009" s="8">
        <v>7297.0</v>
      </c>
      <c r="C1009" s="8">
        <v>4726197.0</v>
      </c>
      <c r="D1009" s="8">
        <v>4730506.0</v>
      </c>
      <c r="E1009" s="9" t="s">
        <v>633</v>
      </c>
      <c r="F1009" s="9"/>
      <c r="G1009" s="9" t="s">
        <v>426</v>
      </c>
      <c r="H1009" s="9" t="s">
        <v>345</v>
      </c>
      <c r="I1009" s="8">
        <v>1953.0</v>
      </c>
      <c r="J1009" s="9" t="s">
        <v>346</v>
      </c>
      <c r="K1009" s="9" t="s">
        <v>43</v>
      </c>
      <c r="L1009" s="9" t="s">
        <v>43</v>
      </c>
      <c r="M1009" s="9"/>
      <c r="N1009" s="9" t="s">
        <v>89</v>
      </c>
      <c r="O1009" s="9" t="s">
        <v>3088</v>
      </c>
      <c r="P1009" s="9" t="s">
        <v>1296</v>
      </c>
    </row>
    <row r="1010">
      <c r="A1010" s="17" t="s">
        <v>342</v>
      </c>
      <c r="B1010" s="8">
        <v>7870.0</v>
      </c>
      <c r="C1010" s="8">
        <v>7425584.0</v>
      </c>
      <c r="D1010" s="8">
        <v>7428884.0</v>
      </c>
      <c r="E1010" s="9" t="s">
        <v>633</v>
      </c>
      <c r="F1010" s="9"/>
      <c r="G1010" s="9" t="s">
        <v>426</v>
      </c>
      <c r="H1010" s="9" t="s">
        <v>345</v>
      </c>
      <c r="I1010" s="8">
        <v>1953.0</v>
      </c>
      <c r="J1010" s="9" t="s">
        <v>346</v>
      </c>
      <c r="K1010" s="9" t="s">
        <v>43</v>
      </c>
      <c r="L1010" s="9" t="s">
        <v>43</v>
      </c>
      <c r="M1010" s="9"/>
      <c r="N1010" s="9" t="s">
        <v>333</v>
      </c>
      <c r="O1010" s="9" t="s">
        <v>3089</v>
      </c>
      <c r="P1010" s="9" t="s">
        <v>1296</v>
      </c>
    </row>
    <row r="1011">
      <c r="A1011" s="17" t="s">
        <v>342</v>
      </c>
      <c r="B1011" s="8">
        <v>7872.0</v>
      </c>
      <c r="C1011" s="8">
        <v>7430850.0</v>
      </c>
      <c r="D1011" s="8">
        <v>7434735.0</v>
      </c>
      <c r="E1011" s="9" t="s">
        <v>633</v>
      </c>
      <c r="F1011" s="9"/>
      <c r="G1011" s="9" t="s">
        <v>426</v>
      </c>
      <c r="H1011" s="9" t="s">
        <v>345</v>
      </c>
      <c r="I1011" s="8">
        <v>1953.0</v>
      </c>
      <c r="J1011" s="9" t="s">
        <v>346</v>
      </c>
      <c r="K1011" s="9" t="s">
        <v>43</v>
      </c>
      <c r="L1011" s="9" t="s">
        <v>43</v>
      </c>
      <c r="M1011" s="9" t="s">
        <v>3090</v>
      </c>
      <c r="N1011" s="9" t="s">
        <v>89</v>
      </c>
      <c r="O1011" s="9" t="s">
        <v>3091</v>
      </c>
      <c r="P1011" s="9" t="s">
        <v>1296</v>
      </c>
    </row>
    <row r="1012">
      <c r="A1012" s="17" t="s">
        <v>342</v>
      </c>
      <c r="B1012" s="8">
        <v>5878.0</v>
      </c>
      <c r="C1012" s="8">
        <v>715500.0</v>
      </c>
      <c r="D1012" s="8">
        <v>721160.0</v>
      </c>
      <c r="E1012" s="9" t="s">
        <v>610</v>
      </c>
      <c r="F1012" s="9"/>
      <c r="G1012" s="9" t="s">
        <v>611</v>
      </c>
      <c r="H1012" s="9" t="s">
        <v>377</v>
      </c>
      <c r="I1012" s="8">
        <v>1941.0</v>
      </c>
      <c r="J1012" s="9" t="s">
        <v>346</v>
      </c>
      <c r="K1012" s="9" t="s">
        <v>43</v>
      </c>
      <c r="L1012" s="9" t="s">
        <v>43</v>
      </c>
      <c r="M1012" s="9"/>
      <c r="N1012" s="9" t="s">
        <v>333</v>
      </c>
      <c r="O1012" s="9" t="s">
        <v>3092</v>
      </c>
      <c r="P1012" s="9" t="s">
        <v>1947</v>
      </c>
    </row>
    <row r="1013">
      <c r="A1013" s="18" t="s">
        <v>794</v>
      </c>
      <c r="B1013" s="8">
        <v>29.0</v>
      </c>
      <c r="C1013" s="8">
        <v>164968.0</v>
      </c>
      <c r="D1013" s="8">
        <v>174722.0</v>
      </c>
      <c r="E1013" s="9" t="s">
        <v>795</v>
      </c>
      <c r="F1013" s="9"/>
      <c r="G1013" s="9" t="s">
        <v>796</v>
      </c>
      <c r="H1013" s="9"/>
      <c r="I1013" s="8">
        <v>1980.0</v>
      </c>
      <c r="J1013" s="9" t="s">
        <v>797</v>
      </c>
      <c r="K1013" s="9"/>
      <c r="L1013" s="9"/>
      <c r="M1013" s="9" t="s">
        <v>3093</v>
      </c>
      <c r="N1013" s="9" t="s">
        <v>35</v>
      </c>
      <c r="O1013" s="9" t="s">
        <v>3094</v>
      </c>
      <c r="P1013" s="9" t="s">
        <v>1296</v>
      </c>
    </row>
    <row r="1014">
      <c r="A1014" s="18" t="s">
        <v>794</v>
      </c>
      <c r="B1014" s="8">
        <v>30.0</v>
      </c>
      <c r="C1014" s="8">
        <v>170699.0</v>
      </c>
      <c r="D1014" s="8">
        <v>173036.0</v>
      </c>
      <c r="E1014" s="9" t="s">
        <v>795</v>
      </c>
      <c r="F1014" s="9"/>
      <c r="G1014" s="9" t="s">
        <v>3095</v>
      </c>
      <c r="H1014" s="9"/>
      <c r="I1014" s="8">
        <v>2010.0</v>
      </c>
      <c r="J1014" s="9" t="s">
        <v>389</v>
      </c>
      <c r="K1014" s="9"/>
      <c r="L1014" s="9"/>
      <c r="M1014" s="9"/>
      <c r="N1014" s="9" t="s">
        <v>45</v>
      </c>
      <c r="O1014" s="9" t="s">
        <v>3096</v>
      </c>
      <c r="P1014" s="9" t="s">
        <v>1296</v>
      </c>
    </row>
    <row r="1015">
      <c r="A1015" s="18" t="s">
        <v>794</v>
      </c>
      <c r="B1015" s="8">
        <v>140.0</v>
      </c>
      <c r="C1015" s="8">
        <v>680728.0</v>
      </c>
      <c r="D1015" s="8">
        <v>683216.0</v>
      </c>
      <c r="E1015" s="9" t="s">
        <v>795</v>
      </c>
      <c r="F1015" s="9"/>
      <c r="G1015" s="9" t="s">
        <v>796</v>
      </c>
      <c r="H1015" s="9"/>
      <c r="I1015" s="8">
        <v>1980.0</v>
      </c>
      <c r="J1015" s="9" t="s">
        <v>797</v>
      </c>
      <c r="K1015" s="9"/>
      <c r="L1015" s="9"/>
      <c r="M1015" s="9" t="s">
        <v>3097</v>
      </c>
      <c r="N1015" s="9" t="s">
        <v>35</v>
      </c>
      <c r="O1015" s="9" t="s">
        <v>3098</v>
      </c>
      <c r="P1015" s="9" t="s">
        <v>1296</v>
      </c>
    </row>
    <row r="1016">
      <c r="A1016" s="18" t="s">
        <v>794</v>
      </c>
      <c r="B1016" s="8">
        <v>147.0</v>
      </c>
      <c r="C1016" s="8">
        <v>698431.0</v>
      </c>
      <c r="D1016" s="8">
        <v>704938.0</v>
      </c>
      <c r="E1016" s="9" t="s">
        <v>795</v>
      </c>
      <c r="F1016" s="9"/>
      <c r="G1016" s="9" t="s">
        <v>796</v>
      </c>
      <c r="H1016" s="9"/>
      <c r="I1016" s="8">
        <v>1980.0</v>
      </c>
      <c r="J1016" s="9" t="s">
        <v>797</v>
      </c>
      <c r="K1016" s="9"/>
      <c r="L1016" s="9"/>
      <c r="M1016" s="9" t="s">
        <v>3099</v>
      </c>
      <c r="N1016" s="9" t="s">
        <v>35</v>
      </c>
      <c r="O1016" s="9" t="s">
        <v>3100</v>
      </c>
      <c r="P1016" s="9" t="s">
        <v>1296</v>
      </c>
    </row>
    <row r="1017">
      <c r="A1017" s="18" t="s">
        <v>794</v>
      </c>
      <c r="B1017" s="8">
        <v>150.0</v>
      </c>
      <c r="C1017" s="8">
        <v>707854.0</v>
      </c>
      <c r="D1017" s="8">
        <v>708650.0</v>
      </c>
      <c r="E1017" s="9" t="s">
        <v>795</v>
      </c>
      <c r="F1017" s="9"/>
      <c r="G1017" s="9" t="s">
        <v>796</v>
      </c>
      <c r="H1017" s="9"/>
      <c r="I1017" s="8">
        <v>1980.0</v>
      </c>
      <c r="J1017" s="9" t="s">
        <v>797</v>
      </c>
      <c r="K1017" s="9"/>
      <c r="L1017" s="9"/>
      <c r="M1017" s="9" t="s">
        <v>3099</v>
      </c>
      <c r="N1017" s="9" t="s">
        <v>35</v>
      </c>
      <c r="O1017" s="9" t="s">
        <v>3100</v>
      </c>
      <c r="P1017" s="9" t="s">
        <v>1296</v>
      </c>
    </row>
    <row r="1018">
      <c r="A1018" s="18" t="s">
        <v>794</v>
      </c>
      <c r="B1018" s="8">
        <v>162.0</v>
      </c>
      <c r="C1018" s="8">
        <v>765929.0</v>
      </c>
      <c r="D1018" s="8">
        <v>766978.0</v>
      </c>
      <c r="E1018" s="9" t="s">
        <v>795</v>
      </c>
      <c r="F1018" s="9"/>
      <c r="G1018" s="9" t="s">
        <v>796</v>
      </c>
      <c r="H1018" s="9"/>
      <c r="I1018" s="8">
        <v>1980.0</v>
      </c>
      <c r="J1018" s="9" t="s">
        <v>797</v>
      </c>
      <c r="K1018" s="9"/>
      <c r="L1018" s="9"/>
      <c r="M1018" s="9"/>
      <c r="N1018" s="9" t="s">
        <v>45</v>
      </c>
      <c r="O1018" s="9" t="s">
        <v>3101</v>
      </c>
      <c r="P1018" s="9" t="s">
        <v>1296</v>
      </c>
    </row>
    <row r="1019">
      <c r="A1019" s="18" t="s">
        <v>794</v>
      </c>
      <c r="B1019" s="8">
        <v>179.0</v>
      </c>
      <c r="C1019" s="8">
        <v>816668.0</v>
      </c>
      <c r="D1019" s="8">
        <v>820934.0</v>
      </c>
      <c r="E1019" s="9" t="s">
        <v>795</v>
      </c>
      <c r="F1019" s="9"/>
      <c r="G1019" s="9" t="s">
        <v>796</v>
      </c>
      <c r="H1019" s="9"/>
      <c r="I1019" s="8">
        <v>1980.0</v>
      </c>
      <c r="J1019" s="9" t="s">
        <v>797</v>
      </c>
      <c r="K1019" s="9"/>
      <c r="L1019" s="9"/>
      <c r="M1019" s="9" t="s">
        <v>3102</v>
      </c>
      <c r="N1019" s="9" t="s">
        <v>35</v>
      </c>
      <c r="O1019" s="9" t="s">
        <v>3103</v>
      </c>
      <c r="P1019" s="9" t="s">
        <v>1296</v>
      </c>
    </row>
    <row r="1020">
      <c r="A1020" s="18" t="s">
        <v>794</v>
      </c>
      <c r="B1020" s="8">
        <v>279.0</v>
      </c>
      <c r="C1020" s="8">
        <v>1219100.0</v>
      </c>
      <c r="D1020" s="8">
        <v>1223111.0</v>
      </c>
      <c r="E1020" s="9" t="s">
        <v>795</v>
      </c>
      <c r="F1020" s="9"/>
      <c r="G1020" s="9" t="s">
        <v>796</v>
      </c>
      <c r="H1020" s="9"/>
      <c r="I1020" s="8">
        <v>1980.0</v>
      </c>
      <c r="J1020" s="9" t="s">
        <v>797</v>
      </c>
      <c r="K1020" s="9"/>
      <c r="L1020" s="9"/>
      <c r="M1020" s="9" t="s">
        <v>3104</v>
      </c>
      <c r="N1020" s="9" t="s">
        <v>35</v>
      </c>
      <c r="O1020" s="9" t="s">
        <v>3105</v>
      </c>
      <c r="P1020" s="9" t="s">
        <v>1296</v>
      </c>
    </row>
    <row r="1021">
      <c r="A1021" s="18" t="s">
        <v>794</v>
      </c>
      <c r="B1021" s="8">
        <v>375.0</v>
      </c>
      <c r="C1021" s="8">
        <v>1585771.0</v>
      </c>
      <c r="D1021" s="8">
        <v>1588393.0</v>
      </c>
      <c r="E1021" s="9" t="s">
        <v>795</v>
      </c>
      <c r="F1021" s="9"/>
      <c r="G1021" s="9" t="s">
        <v>796</v>
      </c>
      <c r="H1021" s="9"/>
      <c r="I1021" s="8">
        <v>1980.0</v>
      </c>
      <c r="J1021" s="9" t="s">
        <v>797</v>
      </c>
      <c r="K1021" s="9"/>
      <c r="L1021" s="9"/>
      <c r="M1021" s="9" t="s">
        <v>3106</v>
      </c>
      <c r="N1021" s="9" t="s">
        <v>45</v>
      </c>
      <c r="O1021" s="9" t="s">
        <v>3107</v>
      </c>
      <c r="P1021" s="9" t="s">
        <v>1296</v>
      </c>
    </row>
    <row r="1022">
      <c r="A1022" s="18" t="s">
        <v>794</v>
      </c>
      <c r="B1022" s="8">
        <v>463.0</v>
      </c>
      <c r="C1022" s="8">
        <v>1959300.0</v>
      </c>
      <c r="D1022" s="8">
        <v>1961687.0</v>
      </c>
      <c r="E1022" s="9" t="s">
        <v>795</v>
      </c>
      <c r="F1022" s="9"/>
      <c r="G1022" s="9" t="s">
        <v>3095</v>
      </c>
      <c r="H1022" s="9"/>
      <c r="I1022" s="8">
        <v>2010.0</v>
      </c>
      <c r="J1022" s="9" t="s">
        <v>389</v>
      </c>
      <c r="K1022" s="9"/>
      <c r="L1022" s="9"/>
      <c r="M1022" s="9"/>
      <c r="N1022" s="9" t="s">
        <v>45</v>
      </c>
      <c r="O1022" s="9" t="s">
        <v>3108</v>
      </c>
      <c r="P1022" s="9" t="s">
        <v>1296</v>
      </c>
    </row>
    <row r="1023">
      <c r="A1023" s="18" t="s">
        <v>794</v>
      </c>
      <c r="B1023" s="8">
        <v>510.0</v>
      </c>
      <c r="C1023" s="8">
        <v>192008.0</v>
      </c>
      <c r="D1023" s="8">
        <v>194820.0</v>
      </c>
      <c r="E1023" s="9" t="s">
        <v>804</v>
      </c>
      <c r="F1023" s="9"/>
      <c r="G1023" s="9" t="s">
        <v>805</v>
      </c>
      <c r="H1023" s="9"/>
      <c r="I1023" s="8">
        <v>1958.0</v>
      </c>
      <c r="J1023" s="9" t="s">
        <v>806</v>
      </c>
      <c r="K1023" s="9"/>
      <c r="L1023" s="9"/>
      <c r="M1023" s="9" t="s">
        <v>3109</v>
      </c>
      <c r="N1023" s="9" t="s">
        <v>35</v>
      </c>
      <c r="O1023" s="9" t="s">
        <v>3110</v>
      </c>
      <c r="P1023" s="9" t="s">
        <v>1296</v>
      </c>
    </row>
    <row r="1024">
      <c r="A1024" s="18" t="s">
        <v>794</v>
      </c>
      <c r="B1024" s="8">
        <v>517.0</v>
      </c>
      <c r="C1024" s="8">
        <v>230317.0</v>
      </c>
      <c r="D1024" s="8">
        <v>232110.0</v>
      </c>
      <c r="E1024" s="9" t="s">
        <v>804</v>
      </c>
      <c r="F1024" s="9"/>
      <c r="G1024" s="9" t="s">
        <v>805</v>
      </c>
      <c r="H1024" s="9"/>
      <c r="I1024" s="8">
        <v>1958.0</v>
      </c>
      <c r="J1024" s="9" t="s">
        <v>806</v>
      </c>
      <c r="K1024" s="9"/>
      <c r="L1024" s="9"/>
      <c r="M1024" s="9" t="s">
        <v>3111</v>
      </c>
      <c r="N1024" s="9" t="s">
        <v>35</v>
      </c>
      <c r="O1024" s="9" t="s">
        <v>3112</v>
      </c>
      <c r="P1024" s="9" t="s">
        <v>1296</v>
      </c>
    </row>
    <row r="1025">
      <c r="A1025" s="18" t="s">
        <v>794</v>
      </c>
      <c r="B1025" s="8">
        <v>566.0</v>
      </c>
      <c r="C1025" s="8">
        <v>492582.0</v>
      </c>
      <c r="D1025" s="8">
        <v>494375.0</v>
      </c>
      <c r="E1025" s="9" t="s">
        <v>804</v>
      </c>
      <c r="F1025" s="9"/>
      <c r="G1025" s="9" t="s">
        <v>805</v>
      </c>
      <c r="H1025" s="9"/>
      <c r="I1025" s="8">
        <v>1958.0</v>
      </c>
      <c r="J1025" s="9" t="s">
        <v>806</v>
      </c>
      <c r="K1025" s="9"/>
      <c r="L1025" s="9"/>
      <c r="M1025" s="9" t="s">
        <v>3113</v>
      </c>
      <c r="N1025" s="9" t="s">
        <v>35</v>
      </c>
      <c r="O1025" s="9" t="s">
        <v>3114</v>
      </c>
      <c r="P1025" s="9" t="s">
        <v>1296</v>
      </c>
    </row>
    <row r="1026">
      <c r="A1026" s="18" t="s">
        <v>794</v>
      </c>
      <c r="B1026" s="8">
        <v>656.0</v>
      </c>
      <c r="C1026" s="8">
        <v>979914.0</v>
      </c>
      <c r="D1026" s="8">
        <v>987276.0</v>
      </c>
      <c r="E1026" s="9" t="s">
        <v>804</v>
      </c>
      <c r="F1026" s="9"/>
      <c r="G1026" s="9" t="s">
        <v>805</v>
      </c>
      <c r="H1026" s="9"/>
      <c r="I1026" s="8">
        <v>1958.0</v>
      </c>
      <c r="J1026" s="9" t="s">
        <v>806</v>
      </c>
      <c r="K1026" s="9"/>
      <c r="L1026" s="9"/>
      <c r="M1026" s="9" t="s">
        <v>3115</v>
      </c>
      <c r="N1026" s="9" t="s">
        <v>35</v>
      </c>
      <c r="O1026" s="9" t="s">
        <v>3116</v>
      </c>
      <c r="P1026" s="9" t="s">
        <v>1296</v>
      </c>
    </row>
    <row r="1027">
      <c r="A1027" s="18" t="s">
        <v>794</v>
      </c>
      <c r="B1027" s="8">
        <v>668.0</v>
      </c>
      <c r="C1027" s="8">
        <v>1048600.0</v>
      </c>
      <c r="D1027" s="8">
        <v>1053478.0</v>
      </c>
      <c r="E1027" s="9" t="s">
        <v>804</v>
      </c>
      <c r="F1027" s="9"/>
      <c r="G1027" s="9" t="s">
        <v>805</v>
      </c>
      <c r="H1027" s="9"/>
      <c r="I1027" s="8">
        <v>1958.0</v>
      </c>
      <c r="J1027" s="9" t="s">
        <v>806</v>
      </c>
      <c r="K1027" s="9"/>
      <c r="L1027" s="9"/>
      <c r="M1027" s="9" t="s">
        <v>3117</v>
      </c>
      <c r="N1027" s="9" t="s">
        <v>45</v>
      </c>
      <c r="O1027" s="9" t="s">
        <v>3118</v>
      </c>
      <c r="P1027" s="9" t="s">
        <v>1296</v>
      </c>
    </row>
    <row r="1028">
      <c r="A1028" s="18" t="s">
        <v>794</v>
      </c>
      <c r="B1028" s="8">
        <v>668.0</v>
      </c>
      <c r="C1028" s="8">
        <v>1048600.0</v>
      </c>
      <c r="D1028" s="8">
        <v>1053478.0</v>
      </c>
      <c r="E1028" s="9" t="s">
        <v>804</v>
      </c>
      <c r="F1028" s="9"/>
      <c r="G1028" s="9" t="s">
        <v>805</v>
      </c>
      <c r="H1028" s="9"/>
      <c r="I1028" s="8">
        <v>1958.0</v>
      </c>
      <c r="J1028" s="9" t="s">
        <v>806</v>
      </c>
      <c r="K1028" s="9"/>
      <c r="L1028" s="9"/>
      <c r="M1028" s="9" t="s">
        <v>3119</v>
      </c>
      <c r="N1028" s="9" t="s">
        <v>35</v>
      </c>
      <c r="O1028" s="9" t="s">
        <v>3120</v>
      </c>
      <c r="P1028" s="9" t="s">
        <v>1296</v>
      </c>
    </row>
    <row r="1029">
      <c r="A1029" s="18" t="s">
        <v>794</v>
      </c>
      <c r="B1029" s="8">
        <v>676.0</v>
      </c>
      <c r="C1029" s="8">
        <v>1084378.0</v>
      </c>
      <c r="D1029" s="8">
        <v>1092283.0</v>
      </c>
      <c r="E1029" s="9" t="s">
        <v>804</v>
      </c>
      <c r="F1029" s="9"/>
      <c r="G1029" s="9" t="s">
        <v>805</v>
      </c>
      <c r="H1029" s="9"/>
      <c r="I1029" s="8">
        <v>1958.0</v>
      </c>
      <c r="J1029" s="9" t="s">
        <v>806</v>
      </c>
      <c r="K1029" s="9"/>
      <c r="L1029" s="9"/>
      <c r="M1029" s="9" t="s">
        <v>3121</v>
      </c>
      <c r="N1029" s="9" t="s">
        <v>35</v>
      </c>
      <c r="O1029" s="9" t="s">
        <v>3122</v>
      </c>
      <c r="P1029" s="9" t="s">
        <v>1296</v>
      </c>
    </row>
    <row r="1030">
      <c r="A1030" s="18" t="s">
        <v>794</v>
      </c>
      <c r="B1030" s="8">
        <v>686.0</v>
      </c>
      <c r="C1030" s="8">
        <v>1157309.0</v>
      </c>
      <c r="D1030" s="8">
        <v>1162477.0</v>
      </c>
      <c r="E1030" s="9" t="s">
        <v>804</v>
      </c>
      <c r="F1030" s="9"/>
      <c r="G1030" s="9" t="s">
        <v>805</v>
      </c>
      <c r="H1030" s="9"/>
      <c r="I1030" s="8">
        <v>1958.0</v>
      </c>
      <c r="J1030" s="9" t="s">
        <v>806</v>
      </c>
      <c r="K1030" s="9"/>
      <c r="L1030" s="9"/>
      <c r="M1030" s="9" t="s">
        <v>3123</v>
      </c>
      <c r="N1030" s="9" t="s">
        <v>35</v>
      </c>
      <c r="O1030" s="9" t="s">
        <v>3124</v>
      </c>
      <c r="P1030" s="9" t="s">
        <v>1296</v>
      </c>
    </row>
    <row r="1031">
      <c r="A1031" s="18" t="s">
        <v>794</v>
      </c>
      <c r="B1031" s="8">
        <v>686.0</v>
      </c>
      <c r="C1031" s="8">
        <v>1157309.0</v>
      </c>
      <c r="D1031" s="8">
        <v>1162477.0</v>
      </c>
      <c r="E1031" s="9" t="s">
        <v>804</v>
      </c>
      <c r="F1031" s="9"/>
      <c r="G1031" s="9" t="s">
        <v>805</v>
      </c>
      <c r="H1031" s="9"/>
      <c r="I1031" s="8">
        <v>1958.0</v>
      </c>
      <c r="J1031" s="9" t="s">
        <v>806</v>
      </c>
      <c r="K1031" s="9"/>
      <c r="L1031" s="9"/>
      <c r="M1031" s="9" t="s">
        <v>3125</v>
      </c>
      <c r="N1031" s="9" t="s">
        <v>35</v>
      </c>
      <c r="O1031" s="9" t="s">
        <v>3126</v>
      </c>
      <c r="P1031" s="9" t="s">
        <v>1296</v>
      </c>
    </row>
    <row r="1032">
      <c r="A1032" s="18" t="s">
        <v>794</v>
      </c>
      <c r="B1032" s="8">
        <v>695.0</v>
      </c>
      <c r="C1032" s="8">
        <v>1201667.0</v>
      </c>
      <c r="D1032" s="8">
        <v>1203882.0</v>
      </c>
      <c r="E1032" s="9" t="s">
        <v>804</v>
      </c>
      <c r="F1032" s="9"/>
      <c r="G1032" s="9" t="s">
        <v>805</v>
      </c>
      <c r="H1032" s="9"/>
      <c r="I1032" s="8">
        <v>1958.0</v>
      </c>
      <c r="J1032" s="9" t="s">
        <v>806</v>
      </c>
      <c r="K1032" s="9"/>
      <c r="L1032" s="9"/>
      <c r="M1032" s="9"/>
      <c r="N1032" s="9" t="s">
        <v>45</v>
      </c>
      <c r="O1032" s="9" t="s">
        <v>3127</v>
      </c>
      <c r="P1032" s="9" t="s">
        <v>1296</v>
      </c>
    </row>
    <row r="1033">
      <c r="A1033" s="18" t="s">
        <v>794</v>
      </c>
      <c r="B1033" s="8">
        <v>696.0</v>
      </c>
      <c r="C1033" s="8">
        <v>1205867.0</v>
      </c>
      <c r="D1033" s="8">
        <v>1213885.0</v>
      </c>
      <c r="E1033" s="9" t="s">
        <v>804</v>
      </c>
      <c r="F1033" s="9"/>
      <c r="G1033" s="9" t="s">
        <v>805</v>
      </c>
      <c r="H1033" s="9"/>
      <c r="I1033" s="8">
        <v>1958.0</v>
      </c>
      <c r="J1033" s="9" t="s">
        <v>806</v>
      </c>
      <c r="K1033" s="9"/>
      <c r="L1033" s="9"/>
      <c r="M1033" s="9" t="s">
        <v>3128</v>
      </c>
      <c r="N1033" s="9" t="s">
        <v>35</v>
      </c>
      <c r="O1033" s="9" t="s">
        <v>3129</v>
      </c>
      <c r="P1033" s="9" t="s">
        <v>1296</v>
      </c>
    </row>
    <row r="1034">
      <c r="A1034" s="18" t="s">
        <v>794</v>
      </c>
      <c r="B1034" s="8">
        <v>707.0</v>
      </c>
      <c r="C1034" s="8">
        <v>1258355.0</v>
      </c>
      <c r="D1034" s="8">
        <v>1261970.0</v>
      </c>
      <c r="E1034" s="9" t="s">
        <v>804</v>
      </c>
      <c r="F1034" s="9"/>
      <c r="G1034" s="9" t="s">
        <v>805</v>
      </c>
      <c r="H1034" s="9"/>
      <c r="I1034" s="8">
        <v>1958.0</v>
      </c>
      <c r="J1034" s="9" t="s">
        <v>806</v>
      </c>
      <c r="K1034" s="9"/>
      <c r="L1034" s="9"/>
      <c r="M1034" s="9" t="s">
        <v>3130</v>
      </c>
      <c r="N1034" s="9" t="s">
        <v>35</v>
      </c>
      <c r="O1034" s="9" t="s">
        <v>3131</v>
      </c>
      <c r="P1034" s="9" t="s">
        <v>1296</v>
      </c>
    </row>
    <row r="1035">
      <c r="A1035" s="18" t="s">
        <v>794</v>
      </c>
      <c r="B1035" s="8">
        <v>713.0</v>
      </c>
      <c r="C1035" s="8">
        <v>1287797.0</v>
      </c>
      <c r="D1035" s="8">
        <v>1294977.0</v>
      </c>
      <c r="E1035" s="9" t="s">
        <v>804</v>
      </c>
      <c r="F1035" s="9"/>
      <c r="G1035" s="9" t="s">
        <v>805</v>
      </c>
      <c r="H1035" s="9"/>
      <c r="I1035" s="8">
        <v>1958.0</v>
      </c>
      <c r="J1035" s="9" t="s">
        <v>806</v>
      </c>
      <c r="K1035" s="9"/>
      <c r="L1035" s="9"/>
      <c r="M1035" s="9" t="s">
        <v>3132</v>
      </c>
      <c r="N1035" s="9" t="s">
        <v>35</v>
      </c>
      <c r="O1035" s="9" t="s">
        <v>3133</v>
      </c>
      <c r="P1035" s="9" t="s">
        <v>1296</v>
      </c>
    </row>
    <row r="1036">
      <c r="A1036" s="18" t="s">
        <v>794</v>
      </c>
      <c r="B1036" s="8">
        <v>722.0</v>
      </c>
      <c r="C1036" s="8">
        <v>1325496.0</v>
      </c>
      <c r="D1036" s="8">
        <v>1330295.0</v>
      </c>
      <c r="E1036" s="9" t="s">
        <v>804</v>
      </c>
      <c r="F1036" s="9"/>
      <c r="G1036" s="9" t="s">
        <v>805</v>
      </c>
      <c r="H1036" s="9"/>
      <c r="I1036" s="8">
        <v>1958.0</v>
      </c>
      <c r="J1036" s="9" t="s">
        <v>806</v>
      </c>
      <c r="K1036" s="9"/>
      <c r="L1036" s="9"/>
      <c r="M1036" s="9" t="s">
        <v>3134</v>
      </c>
      <c r="N1036" s="9" t="s">
        <v>35</v>
      </c>
      <c r="O1036" s="9" t="s">
        <v>3135</v>
      </c>
      <c r="P1036" s="9" t="s">
        <v>1296</v>
      </c>
    </row>
    <row r="1037">
      <c r="A1037" s="18" t="s">
        <v>794</v>
      </c>
      <c r="B1037" s="8">
        <v>722.0</v>
      </c>
      <c r="C1037" s="8">
        <v>1325496.0</v>
      </c>
      <c r="D1037" s="8">
        <v>1330295.0</v>
      </c>
      <c r="E1037" s="9" t="s">
        <v>804</v>
      </c>
      <c r="F1037" s="9"/>
      <c r="G1037" s="9" t="s">
        <v>805</v>
      </c>
      <c r="H1037" s="9"/>
      <c r="I1037" s="8">
        <v>1958.0</v>
      </c>
      <c r="J1037" s="9" t="s">
        <v>806</v>
      </c>
      <c r="K1037" s="9"/>
      <c r="L1037" s="9"/>
      <c r="M1037" s="9" t="s">
        <v>3136</v>
      </c>
      <c r="N1037" s="9" t="s">
        <v>35</v>
      </c>
      <c r="O1037" s="9" t="s">
        <v>3137</v>
      </c>
      <c r="P1037" s="9" t="s">
        <v>1296</v>
      </c>
    </row>
    <row r="1038">
      <c r="A1038" s="18" t="s">
        <v>794</v>
      </c>
      <c r="B1038" s="8">
        <v>749.0</v>
      </c>
      <c r="C1038" s="8">
        <v>1440538.0</v>
      </c>
      <c r="D1038" s="8">
        <v>1447171.0</v>
      </c>
      <c r="E1038" s="9" t="s">
        <v>804</v>
      </c>
      <c r="F1038" s="9"/>
      <c r="G1038" s="9" t="s">
        <v>805</v>
      </c>
      <c r="H1038" s="9"/>
      <c r="I1038" s="8">
        <v>1958.0</v>
      </c>
      <c r="J1038" s="9" t="s">
        <v>806</v>
      </c>
      <c r="K1038" s="9"/>
      <c r="L1038" s="9"/>
      <c r="M1038" s="9" t="s">
        <v>3138</v>
      </c>
      <c r="N1038" s="9" t="s">
        <v>35</v>
      </c>
      <c r="O1038" s="9" t="s">
        <v>3139</v>
      </c>
      <c r="P1038" s="9" t="s">
        <v>1296</v>
      </c>
    </row>
    <row r="1039">
      <c r="A1039" s="18" t="s">
        <v>794</v>
      </c>
      <c r="B1039" s="8">
        <v>750.0</v>
      </c>
      <c r="C1039" s="8">
        <v>1447945.0</v>
      </c>
      <c r="D1039" s="8">
        <v>1454691.0</v>
      </c>
      <c r="E1039" s="9" t="s">
        <v>804</v>
      </c>
      <c r="F1039" s="9"/>
      <c r="G1039" s="9" t="s">
        <v>805</v>
      </c>
      <c r="H1039" s="9"/>
      <c r="I1039" s="8">
        <v>1958.0</v>
      </c>
      <c r="J1039" s="9" t="s">
        <v>806</v>
      </c>
      <c r="K1039" s="9"/>
      <c r="L1039" s="9"/>
      <c r="M1039" s="9" t="s">
        <v>3140</v>
      </c>
      <c r="N1039" s="9" t="s">
        <v>35</v>
      </c>
      <c r="O1039" s="9" t="s">
        <v>3141</v>
      </c>
      <c r="P1039" s="9" t="s">
        <v>1296</v>
      </c>
    </row>
    <row r="1040">
      <c r="A1040" s="18" t="s">
        <v>794</v>
      </c>
      <c r="B1040" s="8">
        <v>750.0</v>
      </c>
      <c r="C1040" s="8">
        <v>1447945.0</v>
      </c>
      <c r="D1040" s="8">
        <v>1454691.0</v>
      </c>
      <c r="E1040" s="9" t="s">
        <v>804</v>
      </c>
      <c r="F1040" s="9"/>
      <c r="G1040" s="9" t="s">
        <v>805</v>
      </c>
      <c r="H1040" s="9"/>
      <c r="I1040" s="8">
        <v>1958.0</v>
      </c>
      <c r="J1040" s="9" t="s">
        <v>806</v>
      </c>
      <c r="K1040" s="9"/>
      <c r="L1040" s="9"/>
      <c r="M1040" s="9" t="s">
        <v>3142</v>
      </c>
      <c r="N1040" s="9" t="s">
        <v>35</v>
      </c>
      <c r="O1040" s="9" t="s">
        <v>3143</v>
      </c>
      <c r="P1040" s="9" t="s">
        <v>1296</v>
      </c>
    </row>
    <row r="1041">
      <c r="A1041" s="18" t="s">
        <v>794</v>
      </c>
      <c r="B1041" s="8">
        <v>375.0</v>
      </c>
      <c r="C1041" s="8">
        <v>1585771.0</v>
      </c>
      <c r="D1041" s="8">
        <v>1588393.0</v>
      </c>
      <c r="E1041" s="9" t="s">
        <v>795</v>
      </c>
      <c r="F1041" s="9"/>
      <c r="G1041" s="9" t="s">
        <v>796</v>
      </c>
      <c r="H1041" s="9"/>
      <c r="I1041" s="8">
        <v>1980.0</v>
      </c>
      <c r="J1041" s="9" t="s">
        <v>797</v>
      </c>
      <c r="K1041" s="9"/>
      <c r="L1041" s="9"/>
      <c r="M1041" s="9" t="s">
        <v>3144</v>
      </c>
      <c r="N1041" s="9" t="s">
        <v>35</v>
      </c>
      <c r="O1041" s="9" t="s">
        <v>3145</v>
      </c>
      <c r="P1041" s="9" t="s">
        <v>1388</v>
      </c>
    </row>
    <row r="1042">
      <c r="A1042" s="18" t="s">
        <v>794</v>
      </c>
      <c r="B1042" s="8">
        <v>496.0</v>
      </c>
      <c r="C1042" s="8">
        <v>92141.0</v>
      </c>
      <c r="D1042" s="8">
        <v>97488.0</v>
      </c>
      <c r="E1042" s="9" t="s">
        <v>804</v>
      </c>
      <c r="F1042" s="9"/>
      <c r="G1042" s="9" t="s">
        <v>805</v>
      </c>
      <c r="H1042" s="9"/>
      <c r="I1042" s="8">
        <v>1958.0</v>
      </c>
      <c r="J1042" s="9" t="s">
        <v>806</v>
      </c>
      <c r="K1042" s="9"/>
      <c r="L1042" s="9"/>
      <c r="M1042" s="9" t="s">
        <v>3146</v>
      </c>
      <c r="N1042" s="9" t="s">
        <v>35</v>
      </c>
      <c r="O1042" s="9" t="s">
        <v>3147</v>
      </c>
      <c r="P1042" s="9" t="s">
        <v>3148</v>
      </c>
    </row>
    <row r="1043">
      <c r="A1043" s="18" t="s">
        <v>794</v>
      </c>
      <c r="B1043" s="8">
        <v>502.0</v>
      </c>
      <c r="C1043" s="8">
        <v>118168.0</v>
      </c>
      <c r="D1043" s="8">
        <v>123869.0</v>
      </c>
      <c r="E1043" s="9" t="s">
        <v>804</v>
      </c>
      <c r="F1043" s="9"/>
      <c r="G1043" s="9" t="s">
        <v>805</v>
      </c>
      <c r="H1043" s="9"/>
      <c r="I1043" s="8">
        <v>1958.0</v>
      </c>
      <c r="J1043" s="9" t="s">
        <v>806</v>
      </c>
      <c r="K1043" s="9"/>
      <c r="L1043" s="9"/>
      <c r="M1043" s="9" t="s">
        <v>3149</v>
      </c>
      <c r="N1043" s="9" t="s">
        <v>35</v>
      </c>
      <c r="O1043" s="9" t="s">
        <v>3150</v>
      </c>
      <c r="P1043" s="9" t="s">
        <v>3148</v>
      </c>
    </row>
    <row r="1044">
      <c r="A1044" s="18" t="s">
        <v>794</v>
      </c>
      <c r="B1044" s="8">
        <v>597.0</v>
      </c>
      <c r="C1044" s="8">
        <v>649646.0</v>
      </c>
      <c r="D1044" s="8">
        <v>654714.0</v>
      </c>
      <c r="E1044" s="9" t="s">
        <v>804</v>
      </c>
      <c r="F1044" s="9"/>
      <c r="G1044" s="9" t="s">
        <v>805</v>
      </c>
      <c r="H1044" s="9"/>
      <c r="I1044" s="8">
        <v>1958.0</v>
      </c>
      <c r="J1044" s="9" t="s">
        <v>806</v>
      </c>
      <c r="K1044" s="9"/>
      <c r="L1044" s="9"/>
      <c r="M1044" s="9" t="s">
        <v>3151</v>
      </c>
      <c r="N1044" s="9" t="s">
        <v>35</v>
      </c>
      <c r="O1044" s="9" t="s">
        <v>3152</v>
      </c>
      <c r="P1044" s="9" t="s">
        <v>3148</v>
      </c>
    </row>
    <row r="1045">
      <c r="A1045" s="18" t="s">
        <v>794</v>
      </c>
      <c r="B1045" s="8">
        <v>556.0</v>
      </c>
      <c r="C1045" s="8">
        <v>446253.0</v>
      </c>
      <c r="D1045" s="8">
        <v>452235.0</v>
      </c>
      <c r="E1045" s="9" t="s">
        <v>804</v>
      </c>
      <c r="F1045" s="9"/>
      <c r="G1045" s="9" t="s">
        <v>805</v>
      </c>
      <c r="H1045" s="9"/>
      <c r="I1045" s="8">
        <v>1958.0</v>
      </c>
      <c r="J1045" s="9" t="s">
        <v>806</v>
      </c>
      <c r="K1045" s="9"/>
      <c r="L1045" s="9"/>
      <c r="M1045" s="9" t="s">
        <v>3153</v>
      </c>
      <c r="N1045" s="9" t="s">
        <v>35</v>
      </c>
      <c r="O1045" s="9" t="s">
        <v>3154</v>
      </c>
      <c r="P1045" s="9" t="s">
        <v>1316</v>
      </c>
    </row>
    <row r="1046">
      <c r="A1046" s="18" t="s">
        <v>794</v>
      </c>
      <c r="B1046" s="8">
        <v>561.0</v>
      </c>
      <c r="C1046" s="8">
        <v>470088.0</v>
      </c>
      <c r="D1046" s="8">
        <v>475328.0</v>
      </c>
      <c r="E1046" s="9" t="s">
        <v>804</v>
      </c>
      <c r="F1046" s="9"/>
      <c r="G1046" s="9" t="s">
        <v>805</v>
      </c>
      <c r="H1046" s="9"/>
      <c r="I1046" s="8">
        <v>1958.0</v>
      </c>
      <c r="J1046" s="9" t="s">
        <v>806</v>
      </c>
      <c r="K1046" s="9"/>
      <c r="L1046" s="9"/>
      <c r="M1046" s="9" t="s">
        <v>3155</v>
      </c>
      <c r="N1046" s="9" t="s">
        <v>35</v>
      </c>
      <c r="O1046" s="9" t="s">
        <v>3156</v>
      </c>
      <c r="P1046" s="9" t="s">
        <v>1316</v>
      </c>
    </row>
    <row r="1047">
      <c r="A1047" s="18" t="s">
        <v>794</v>
      </c>
      <c r="B1047" s="8">
        <v>756.0</v>
      </c>
      <c r="C1047" s="8">
        <v>1489711.0</v>
      </c>
      <c r="D1047" s="8">
        <v>1493938.0</v>
      </c>
      <c r="E1047" s="9" t="s">
        <v>804</v>
      </c>
      <c r="F1047" s="9"/>
      <c r="G1047" s="9" t="s">
        <v>805</v>
      </c>
      <c r="H1047" s="9"/>
      <c r="I1047" s="8">
        <v>1958.0</v>
      </c>
      <c r="J1047" s="9" t="s">
        <v>806</v>
      </c>
      <c r="K1047" s="9"/>
      <c r="L1047" s="9"/>
      <c r="M1047" s="9" t="s">
        <v>3157</v>
      </c>
      <c r="N1047" s="9" t="s">
        <v>45</v>
      </c>
      <c r="O1047" s="9" t="s">
        <v>2337</v>
      </c>
      <c r="P1047" s="9" t="s">
        <v>1300</v>
      </c>
    </row>
    <row r="1048">
      <c r="A1048" s="18" t="s">
        <v>794</v>
      </c>
      <c r="B1048" s="8">
        <v>765.0</v>
      </c>
      <c r="C1048" s="8">
        <v>1533403.0</v>
      </c>
      <c r="D1048" s="8">
        <v>1539482.0</v>
      </c>
      <c r="E1048" s="9" t="s">
        <v>804</v>
      </c>
      <c r="F1048" s="9"/>
      <c r="G1048" s="9" t="s">
        <v>805</v>
      </c>
      <c r="H1048" s="9"/>
      <c r="I1048" s="8">
        <v>1958.0</v>
      </c>
      <c r="J1048" s="9" t="s">
        <v>806</v>
      </c>
      <c r="K1048" s="9"/>
      <c r="L1048" s="9"/>
      <c r="M1048" s="9" t="s">
        <v>3158</v>
      </c>
      <c r="N1048" s="9" t="s">
        <v>35</v>
      </c>
      <c r="O1048" s="9" t="s">
        <v>3159</v>
      </c>
      <c r="P1048" s="9" t="s">
        <v>3148</v>
      </c>
    </row>
    <row r="1049">
      <c r="A1049" s="18" t="s">
        <v>794</v>
      </c>
      <c r="B1049" s="8">
        <v>768.0</v>
      </c>
      <c r="C1049" s="8">
        <v>1563101.0</v>
      </c>
      <c r="D1049" s="8">
        <v>1569929.0</v>
      </c>
      <c r="E1049" s="9" t="s">
        <v>804</v>
      </c>
      <c r="F1049" s="9"/>
      <c r="G1049" s="9" t="s">
        <v>805</v>
      </c>
      <c r="H1049" s="9"/>
      <c r="I1049" s="8">
        <v>1958.0</v>
      </c>
      <c r="J1049" s="9" t="s">
        <v>806</v>
      </c>
      <c r="K1049" s="9"/>
      <c r="L1049" s="9"/>
      <c r="M1049" s="9" t="s">
        <v>3160</v>
      </c>
      <c r="N1049" s="9" t="s">
        <v>35</v>
      </c>
      <c r="O1049" s="9" t="s">
        <v>3161</v>
      </c>
      <c r="P1049" s="9" t="s">
        <v>1316</v>
      </c>
    </row>
    <row r="1050">
      <c r="A1050" s="18" t="s">
        <v>794</v>
      </c>
      <c r="B1050" s="8">
        <v>785.0</v>
      </c>
      <c r="C1050" s="8">
        <v>1654203.0</v>
      </c>
      <c r="D1050" s="8">
        <v>1661056.0</v>
      </c>
      <c r="E1050" s="9" t="s">
        <v>804</v>
      </c>
      <c r="F1050" s="9"/>
      <c r="G1050" s="9" t="s">
        <v>805</v>
      </c>
      <c r="H1050" s="9"/>
      <c r="I1050" s="8">
        <v>1958.0</v>
      </c>
      <c r="J1050" s="9" t="s">
        <v>806</v>
      </c>
      <c r="K1050" s="9"/>
      <c r="L1050" s="9"/>
      <c r="M1050" s="9" t="s">
        <v>3162</v>
      </c>
      <c r="N1050" s="9" t="s">
        <v>35</v>
      </c>
      <c r="O1050" s="9" t="s">
        <v>3163</v>
      </c>
      <c r="P1050" s="9" t="s">
        <v>1296</v>
      </c>
    </row>
    <row r="1051">
      <c r="A1051" s="18" t="s">
        <v>794</v>
      </c>
      <c r="B1051" s="8">
        <v>804.0</v>
      </c>
      <c r="C1051" s="8">
        <v>1748242.0</v>
      </c>
      <c r="D1051" s="8">
        <v>1752608.0</v>
      </c>
      <c r="E1051" s="9" t="s">
        <v>804</v>
      </c>
      <c r="F1051" s="9"/>
      <c r="G1051" s="9" t="s">
        <v>805</v>
      </c>
      <c r="H1051" s="9"/>
      <c r="I1051" s="8">
        <v>1958.0</v>
      </c>
      <c r="J1051" s="9" t="s">
        <v>806</v>
      </c>
      <c r="K1051" s="9"/>
      <c r="L1051" s="9"/>
      <c r="M1051" s="9" t="s">
        <v>3164</v>
      </c>
      <c r="N1051" s="9" t="s">
        <v>35</v>
      </c>
      <c r="O1051" s="9" t="s">
        <v>3165</v>
      </c>
      <c r="P1051" s="9" t="s">
        <v>1300</v>
      </c>
    </row>
    <row r="1052">
      <c r="A1052" s="18" t="s">
        <v>794</v>
      </c>
      <c r="B1052" s="8">
        <v>805.0</v>
      </c>
      <c r="C1052" s="8">
        <v>1752608.0</v>
      </c>
      <c r="D1052" s="8">
        <v>1757231.0</v>
      </c>
      <c r="E1052" s="9" t="s">
        <v>804</v>
      </c>
      <c r="F1052" s="9"/>
      <c r="G1052" s="9" t="s">
        <v>805</v>
      </c>
      <c r="H1052" s="9"/>
      <c r="I1052" s="8">
        <v>1958.0</v>
      </c>
      <c r="J1052" s="9" t="s">
        <v>806</v>
      </c>
      <c r="K1052" s="9"/>
      <c r="L1052" s="9"/>
      <c r="M1052" s="9"/>
      <c r="N1052" s="9" t="s">
        <v>45</v>
      </c>
      <c r="O1052" s="9" t="s">
        <v>3166</v>
      </c>
      <c r="P1052" s="9" t="s">
        <v>1300</v>
      </c>
    </row>
    <row r="1053">
      <c r="A1053" s="18" t="s">
        <v>794</v>
      </c>
      <c r="B1053" s="8">
        <v>875.0</v>
      </c>
      <c r="C1053" s="8">
        <v>2183800.0</v>
      </c>
      <c r="D1053" s="8">
        <v>2190517.0</v>
      </c>
      <c r="E1053" s="9" t="s">
        <v>804</v>
      </c>
      <c r="F1053" s="9"/>
      <c r="G1053" s="9" t="s">
        <v>805</v>
      </c>
      <c r="H1053" s="9"/>
      <c r="I1053" s="8">
        <v>1958.0</v>
      </c>
      <c r="J1053" s="9" t="s">
        <v>806</v>
      </c>
      <c r="K1053" s="9"/>
      <c r="L1053" s="9"/>
      <c r="M1053" s="9"/>
      <c r="N1053" s="9" t="s">
        <v>45</v>
      </c>
      <c r="O1053" s="9" t="s">
        <v>3167</v>
      </c>
      <c r="P1053" s="10" t="s">
        <v>1298</v>
      </c>
    </row>
    <row r="1054">
      <c r="A1054" s="18" t="s">
        <v>794</v>
      </c>
      <c r="B1054" s="8">
        <v>891.0</v>
      </c>
      <c r="C1054" s="8">
        <v>2276909.0</v>
      </c>
      <c r="D1054" s="8">
        <v>2278346.0</v>
      </c>
      <c r="E1054" s="9" t="s">
        <v>804</v>
      </c>
      <c r="F1054" s="9"/>
      <c r="G1054" s="9" t="s">
        <v>805</v>
      </c>
      <c r="H1054" s="9"/>
      <c r="I1054" s="8">
        <v>1958.0</v>
      </c>
      <c r="J1054" s="9" t="s">
        <v>806</v>
      </c>
      <c r="K1054" s="9"/>
      <c r="L1054" s="9"/>
      <c r="M1054" s="9" t="s">
        <v>3168</v>
      </c>
      <c r="N1054" s="9" t="s">
        <v>35</v>
      </c>
      <c r="O1054" s="9" t="s">
        <v>3169</v>
      </c>
      <c r="P1054" s="9" t="s">
        <v>1296</v>
      </c>
    </row>
    <row r="1055">
      <c r="A1055" s="18" t="s">
        <v>794</v>
      </c>
      <c r="B1055" s="8">
        <v>906.0</v>
      </c>
      <c r="C1055" s="8">
        <v>2351762.0</v>
      </c>
      <c r="D1055" s="8">
        <v>2352697.0</v>
      </c>
      <c r="E1055" s="9" t="s">
        <v>804</v>
      </c>
      <c r="F1055" s="9"/>
      <c r="G1055" s="9" t="s">
        <v>805</v>
      </c>
      <c r="H1055" s="9"/>
      <c r="I1055" s="8">
        <v>1958.0</v>
      </c>
      <c r="J1055" s="9" t="s">
        <v>806</v>
      </c>
      <c r="K1055" s="9"/>
      <c r="L1055" s="9"/>
      <c r="M1055" s="9"/>
      <c r="N1055" s="9" t="s">
        <v>45</v>
      </c>
      <c r="O1055" s="12" t="str">
        <f>Да.</f>
        <v>#NAME?</v>
      </c>
      <c r="P1055" s="9" t="s">
        <v>1300</v>
      </c>
    </row>
    <row r="1056">
      <c r="A1056" s="18" t="s">
        <v>794</v>
      </c>
      <c r="B1056" s="8">
        <v>924.0</v>
      </c>
      <c r="C1056" s="8">
        <v>2456579.0</v>
      </c>
      <c r="D1056" s="8">
        <v>2461616.0</v>
      </c>
      <c r="E1056" s="9" t="s">
        <v>804</v>
      </c>
      <c r="F1056" s="9"/>
      <c r="G1056" s="9" t="s">
        <v>805</v>
      </c>
      <c r="H1056" s="9"/>
      <c r="I1056" s="8">
        <v>1958.0</v>
      </c>
      <c r="J1056" s="9" t="s">
        <v>806</v>
      </c>
      <c r="K1056" s="9"/>
      <c r="L1056" s="9"/>
      <c r="M1056" s="9" t="s">
        <v>3170</v>
      </c>
      <c r="N1056" s="9" t="s">
        <v>35</v>
      </c>
      <c r="O1056" s="9" t="s">
        <v>3171</v>
      </c>
      <c r="P1056" s="9" t="s">
        <v>1296</v>
      </c>
    </row>
    <row r="1057">
      <c r="A1057" s="18" t="s">
        <v>794</v>
      </c>
      <c r="B1057" s="8">
        <v>937.0</v>
      </c>
      <c r="C1057" s="8">
        <v>2553041.0</v>
      </c>
      <c r="D1057" s="8">
        <v>2562063.0</v>
      </c>
      <c r="E1057" s="9" t="s">
        <v>804</v>
      </c>
      <c r="F1057" s="9"/>
      <c r="G1057" s="9" t="s">
        <v>805</v>
      </c>
      <c r="H1057" s="9"/>
      <c r="I1057" s="8">
        <v>1958.0</v>
      </c>
      <c r="J1057" s="9" t="s">
        <v>806</v>
      </c>
      <c r="K1057" s="9"/>
      <c r="L1057" s="9"/>
      <c r="M1057" s="9" t="s">
        <v>3172</v>
      </c>
      <c r="N1057" s="9" t="s">
        <v>35</v>
      </c>
      <c r="O1057" s="9" t="s">
        <v>3173</v>
      </c>
      <c r="P1057" s="9" t="s">
        <v>1296</v>
      </c>
    </row>
    <row r="1058">
      <c r="A1058" s="18" t="s">
        <v>794</v>
      </c>
      <c r="B1058" s="8">
        <v>950.0</v>
      </c>
      <c r="C1058" s="8">
        <v>2627334.0</v>
      </c>
      <c r="D1058" s="8">
        <v>2634366.0</v>
      </c>
      <c r="E1058" s="9" t="s">
        <v>804</v>
      </c>
      <c r="F1058" s="9"/>
      <c r="G1058" s="9" t="s">
        <v>805</v>
      </c>
      <c r="H1058" s="9"/>
      <c r="I1058" s="8">
        <v>1958.0</v>
      </c>
      <c r="J1058" s="9" t="s">
        <v>806</v>
      </c>
      <c r="K1058" s="9"/>
      <c r="L1058" s="9"/>
      <c r="M1058" s="9" t="s">
        <v>3174</v>
      </c>
      <c r="N1058" s="9" t="s">
        <v>35</v>
      </c>
      <c r="O1058" s="9" t="s">
        <v>3175</v>
      </c>
      <c r="P1058" s="9" t="s">
        <v>1296</v>
      </c>
    </row>
    <row r="1059">
      <c r="A1059" s="18" t="s">
        <v>794</v>
      </c>
      <c r="B1059" s="8">
        <v>951.0</v>
      </c>
      <c r="C1059" s="8">
        <v>2634366.0</v>
      </c>
      <c r="D1059" s="8">
        <v>2637694.0</v>
      </c>
      <c r="E1059" s="9" t="s">
        <v>804</v>
      </c>
      <c r="F1059" s="9"/>
      <c r="G1059" s="9" t="s">
        <v>805</v>
      </c>
      <c r="H1059" s="9"/>
      <c r="I1059" s="8">
        <v>1958.0</v>
      </c>
      <c r="J1059" s="9" t="s">
        <v>806</v>
      </c>
      <c r="K1059" s="9"/>
      <c r="L1059" s="9"/>
      <c r="M1059" s="9"/>
      <c r="N1059" s="9" t="s">
        <v>45</v>
      </c>
      <c r="O1059" s="9" t="s">
        <v>3176</v>
      </c>
      <c r="P1059" s="9" t="s">
        <v>1296</v>
      </c>
    </row>
    <row r="1060">
      <c r="A1060" s="18" t="s">
        <v>794</v>
      </c>
      <c r="B1060" s="8">
        <v>954.0</v>
      </c>
      <c r="C1060" s="8">
        <v>2650909.0</v>
      </c>
      <c r="D1060" s="8">
        <v>2657892.0</v>
      </c>
      <c r="E1060" s="9" t="s">
        <v>804</v>
      </c>
      <c r="F1060" s="9"/>
      <c r="G1060" s="9" t="s">
        <v>805</v>
      </c>
      <c r="H1060" s="9"/>
      <c r="I1060" s="8">
        <v>1958.0</v>
      </c>
      <c r="J1060" s="9" t="s">
        <v>806</v>
      </c>
      <c r="K1060" s="9"/>
      <c r="L1060" s="9"/>
      <c r="M1060" s="9" t="s">
        <v>3177</v>
      </c>
      <c r="N1060" s="9" t="s">
        <v>35</v>
      </c>
      <c r="O1060" s="9" t="s">
        <v>3178</v>
      </c>
      <c r="P1060" s="9" t="s">
        <v>1316</v>
      </c>
    </row>
    <row r="1061">
      <c r="A1061" s="18" t="s">
        <v>794</v>
      </c>
      <c r="B1061" s="8">
        <v>989.0</v>
      </c>
      <c r="C1061" s="8">
        <v>2883121.0</v>
      </c>
      <c r="D1061" s="8">
        <v>2887440.0</v>
      </c>
      <c r="E1061" s="9" t="s">
        <v>804</v>
      </c>
      <c r="F1061" s="9"/>
      <c r="G1061" s="9" t="s">
        <v>805</v>
      </c>
      <c r="H1061" s="9"/>
      <c r="I1061" s="8">
        <v>1958.0</v>
      </c>
      <c r="J1061" s="9" t="s">
        <v>806</v>
      </c>
      <c r="K1061" s="9"/>
      <c r="L1061" s="9"/>
      <c r="M1061" s="9" t="s">
        <v>3179</v>
      </c>
      <c r="N1061" s="9" t="s">
        <v>35</v>
      </c>
      <c r="O1061" s="9" t="s">
        <v>3180</v>
      </c>
      <c r="P1061" s="10" t="s">
        <v>1298</v>
      </c>
    </row>
    <row r="1062">
      <c r="A1062" s="18" t="s">
        <v>794</v>
      </c>
      <c r="B1062" s="8">
        <v>989.0</v>
      </c>
      <c r="C1062" s="8">
        <v>2883121.0</v>
      </c>
      <c r="D1062" s="8">
        <v>2887440.0</v>
      </c>
      <c r="E1062" s="9" t="s">
        <v>804</v>
      </c>
      <c r="F1062" s="9"/>
      <c r="G1062" s="9" t="s">
        <v>805</v>
      </c>
      <c r="H1062" s="9"/>
      <c r="I1062" s="8">
        <v>1958.0</v>
      </c>
      <c r="J1062" s="9" t="s">
        <v>806</v>
      </c>
      <c r="K1062" s="9"/>
      <c r="L1062" s="9"/>
      <c r="M1062" s="9" t="s">
        <v>3181</v>
      </c>
      <c r="N1062" s="9" t="s">
        <v>35</v>
      </c>
      <c r="O1062" s="9" t="s">
        <v>3182</v>
      </c>
      <c r="P1062" s="9" t="s">
        <v>1316</v>
      </c>
    </row>
    <row r="1063">
      <c r="A1063" s="18" t="s">
        <v>794</v>
      </c>
      <c r="B1063" s="8">
        <v>991.0</v>
      </c>
      <c r="C1063" s="8">
        <v>2893847.0</v>
      </c>
      <c r="D1063" s="8">
        <v>2896173.0</v>
      </c>
      <c r="E1063" s="9" t="s">
        <v>804</v>
      </c>
      <c r="F1063" s="9"/>
      <c r="G1063" s="9" t="s">
        <v>805</v>
      </c>
      <c r="H1063" s="9"/>
      <c r="I1063" s="8">
        <v>1958.0</v>
      </c>
      <c r="J1063" s="9" t="s">
        <v>806</v>
      </c>
      <c r="K1063" s="9"/>
      <c r="L1063" s="9"/>
      <c r="M1063" s="9" t="s">
        <v>3183</v>
      </c>
      <c r="N1063" s="9" t="s">
        <v>35</v>
      </c>
      <c r="O1063" s="9" t="s">
        <v>3184</v>
      </c>
      <c r="P1063" s="9" t="s">
        <v>1316</v>
      </c>
    </row>
    <row r="1064">
      <c r="A1064" s="18" t="s">
        <v>794</v>
      </c>
      <c r="B1064" s="8">
        <v>992.0</v>
      </c>
      <c r="C1064" s="8">
        <v>2896173.0</v>
      </c>
      <c r="D1064" s="8">
        <v>2907644.0</v>
      </c>
      <c r="E1064" s="9" t="s">
        <v>804</v>
      </c>
      <c r="F1064" s="9"/>
      <c r="G1064" s="9" t="s">
        <v>805</v>
      </c>
      <c r="H1064" s="9"/>
      <c r="I1064" s="8">
        <v>1958.0</v>
      </c>
      <c r="J1064" s="9" t="s">
        <v>806</v>
      </c>
      <c r="K1064" s="9"/>
      <c r="L1064" s="9"/>
      <c r="M1064" s="9" t="s">
        <v>3185</v>
      </c>
      <c r="N1064" s="9" t="s">
        <v>35</v>
      </c>
      <c r="O1064" s="9" t="s">
        <v>3186</v>
      </c>
      <c r="P1064" s="9" t="s">
        <v>1300</v>
      </c>
    </row>
    <row r="1065">
      <c r="A1065" s="18" t="s">
        <v>794</v>
      </c>
      <c r="B1065" s="8">
        <v>992.0</v>
      </c>
      <c r="C1065" s="8">
        <v>2896173.0</v>
      </c>
      <c r="D1065" s="8">
        <v>2907644.0</v>
      </c>
      <c r="E1065" s="9" t="s">
        <v>804</v>
      </c>
      <c r="F1065" s="9"/>
      <c r="G1065" s="9" t="s">
        <v>805</v>
      </c>
      <c r="H1065" s="9"/>
      <c r="I1065" s="8">
        <v>1958.0</v>
      </c>
      <c r="J1065" s="9" t="s">
        <v>806</v>
      </c>
      <c r="K1065" s="9"/>
      <c r="L1065" s="9"/>
      <c r="M1065" s="9" t="s">
        <v>3187</v>
      </c>
      <c r="N1065" s="9" t="s">
        <v>35</v>
      </c>
      <c r="O1065" s="9" t="s">
        <v>3188</v>
      </c>
      <c r="P1065" s="9" t="s">
        <v>1296</v>
      </c>
    </row>
    <row r="1066">
      <c r="A1066" s="18" t="s">
        <v>794</v>
      </c>
      <c r="B1066" s="8">
        <v>992.0</v>
      </c>
      <c r="C1066" s="8">
        <v>2896173.0</v>
      </c>
      <c r="D1066" s="8">
        <v>2907644.0</v>
      </c>
      <c r="E1066" s="9" t="s">
        <v>804</v>
      </c>
      <c r="F1066" s="9"/>
      <c r="G1066" s="9" t="s">
        <v>805</v>
      </c>
      <c r="H1066" s="9"/>
      <c r="I1066" s="8">
        <v>1958.0</v>
      </c>
      <c r="J1066" s="9" t="s">
        <v>806</v>
      </c>
      <c r="K1066" s="9"/>
      <c r="L1066" s="9"/>
      <c r="M1066" s="9" t="s">
        <v>3189</v>
      </c>
      <c r="N1066" s="9" t="s">
        <v>35</v>
      </c>
      <c r="O1066" s="9" t="s">
        <v>3190</v>
      </c>
      <c r="P1066" s="10" t="s">
        <v>1298</v>
      </c>
    </row>
    <row r="1067">
      <c r="A1067" s="18" t="s">
        <v>794</v>
      </c>
      <c r="B1067" s="8">
        <v>1035.0</v>
      </c>
      <c r="C1067" s="8">
        <v>3152830.0</v>
      </c>
      <c r="D1067" s="8">
        <v>3156513.0</v>
      </c>
      <c r="E1067" s="9" t="s">
        <v>804</v>
      </c>
      <c r="F1067" s="9"/>
      <c r="G1067" s="9" t="s">
        <v>805</v>
      </c>
      <c r="H1067" s="9"/>
      <c r="I1067" s="8">
        <v>1958.0</v>
      </c>
      <c r="J1067" s="9" t="s">
        <v>806</v>
      </c>
      <c r="K1067" s="9"/>
      <c r="L1067" s="9"/>
      <c r="M1067" s="9"/>
      <c r="N1067" s="9" t="s">
        <v>45</v>
      </c>
      <c r="O1067" s="9" t="s">
        <v>3191</v>
      </c>
      <c r="P1067" s="9" t="s">
        <v>1300</v>
      </c>
    </row>
    <row r="1068">
      <c r="A1068" s="18" t="s">
        <v>794</v>
      </c>
      <c r="B1068" s="8">
        <v>1060.0</v>
      </c>
      <c r="C1068" s="8">
        <v>3274584.0</v>
      </c>
      <c r="D1068" s="8">
        <v>3280508.0</v>
      </c>
      <c r="E1068" s="9" t="s">
        <v>804</v>
      </c>
      <c r="F1068" s="9"/>
      <c r="G1068" s="9" t="s">
        <v>805</v>
      </c>
      <c r="H1068" s="9"/>
      <c r="I1068" s="8">
        <v>1958.0</v>
      </c>
      <c r="J1068" s="9" t="s">
        <v>806</v>
      </c>
      <c r="K1068" s="9"/>
      <c r="L1068" s="9"/>
      <c r="M1068" s="9" t="s">
        <v>3192</v>
      </c>
      <c r="N1068" s="9" t="s">
        <v>35</v>
      </c>
      <c r="O1068" s="9" t="s">
        <v>3193</v>
      </c>
      <c r="P1068" s="9" t="s">
        <v>1296</v>
      </c>
    </row>
    <row r="1069">
      <c r="A1069" s="18" t="s">
        <v>794</v>
      </c>
      <c r="B1069" s="8">
        <v>1061.0</v>
      </c>
      <c r="C1069" s="8">
        <v>3283854.0</v>
      </c>
      <c r="D1069" s="8">
        <v>3286425.0</v>
      </c>
      <c r="E1069" s="9" t="s">
        <v>804</v>
      </c>
      <c r="F1069" s="9"/>
      <c r="G1069" s="9" t="s">
        <v>805</v>
      </c>
      <c r="H1069" s="9"/>
      <c r="I1069" s="8">
        <v>1958.0</v>
      </c>
      <c r="J1069" s="9" t="s">
        <v>806</v>
      </c>
      <c r="K1069" s="9"/>
      <c r="L1069" s="9"/>
      <c r="M1069" s="9" t="s">
        <v>3194</v>
      </c>
      <c r="N1069" s="9" t="s">
        <v>45</v>
      </c>
      <c r="O1069" s="9" t="s">
        <v>3195</v>
      </c>
      <c r="P1069" s="9" t="s">
        <v>1316</v>
      </c>
    </row>
    <row r="1070">
      <c r="A1070" s="18" t="s">
        <v>794</v>
      </c>
      <c r="B1070" s="8">
        <v>1062.0</v>
      </c>
      <c r="C1070" s="8">
        <v>3286425.0</v>
      </c>
      <c r="D1070" s="8">
        <v>3293619.0</v>
      </c>
      <c r="E1070" s="9" t="s">
        <v>804</v>
      </c>
      <c r="F1070" s="9"/>
      <c r="G1070" s="9" t="s">
        <v>805</v>
      </c>
      <c r="H1070" s="9"/>
      <c r="I1070" s="8">
        <v>1958.0</v>
      </c>
      <c r="J1070" s="9" t="s">
        <v>806</v>
      </c>
      <c r="K1070" s="9"/>
      <c r="L1070" s="9"/>
      <c r="M1070" s="9" t="s">
        <v>3196</v>
      </c>
      <c r="N1070" s="9" t="s">
        <v>35</v>
      </c>
      <c r="O1070" s="9" t="s">
        <v>3197</v>
      </c>
      <c r="P1070" s="9" t="s">
        <v>1316</v>
      </c>
    </row>
    <row r="1071">
      <c r="A1071" s="18" t="s">
        <v>794</v>
      </c>
      <c r="B1071" s="8">
        <v>1062.0</v>
      </c>
      <c r="C1071" s="8">
        <v>3286425.0</v>
      </c>
      <c r="D1071" s="8">
        <v>3293619.0</v>
      </c>
      <c r="E1071" s="9" t="s">
        <v>804</v>
      </c>
      <c r="F1071" s="9"/>
      <c r="G1071" s="9" t="s">
        <v>805</v>
      </c>
      <c r="H1071" s="9"/>
      <c r="I1071" s="8">
        <v>1958.0</v>
      </c>
      <c r="J1071" s="9" t="s">
        <v>806</v>
      </c>
      <c r="K1071" s="9"/>
      <c r="L1071" s="9"/>
      <c r="M1071" s="9" t="s">
        <v>3198</v>
      </c>
      <c r="N1071" s="9" t="s">
        <v>35</v>
      </c>
      <c r="O1071" s="9" t="s">
        <v>3199</v>
      </c>
      <c r="P1071" s="9" t="s">
        <v>1296</v>
      </c>
    </row>
    <row r="1072">
      <c r="A1072" s="18" t="s">
        <v>794</v>
      </c>
      <c r="B1072" s="8">
        <v>1081.0</v>
      </c>
      <c r="C1072" s="8">
        <v>3399072.0</v>
      </c>
      <c r="D1072" s="8">
        <v>3403119.0</v>
      </c>
      <c r="E1072" s="9" t="s">
        <v>804</v>
      </c>
      <c r="F1072" s="9"/>
      <c r="G1072" s="9" t="s">
        <v>805</v>
      </c>
      <c r="H1072" s="9"/>
      <c r="I1072" s="8">
        <v>1958.0</v>
      </c>
      <c r="J1072" s="9" t="s">
        <v>806</v>
      </c>
      <c r="K1072" s="9"/>
      <c r="L1072" s="9"/>
      <c r="M1072" s="9" t="s">
        <v>3200</v>
      </c>
      <c r="N1072" s="9" t="s">
        <v>35</v>
      </c>
      <c r="O1072" s="9" t="s">
        <v>3201</v>
      </c>
      <c r="P1072" s="9" t="s">
        <v>1296</v>
      </c>
    </row>
    <row r="1073">
      <c r="A1073" s="18" t="s">
        <v>794</v>
      </c>
      <c r="B1073" s="8">
        <v>1085.0</v>
      </c>
      <c r="C1073" s="8">
        <v>3422513.0</v>
      </c>
      <c r="D1073" s="8">
        <v>3428900.0</v>
      </c>
      <c r="E1073" s="9" t="s">
        <v>804</v>
      </c>
      <c r="F1073" s="9"/>
      <c r="G1073" s="9" t="s">
        <v>805</v>
      </c>
      <c r="H1073" s="9"/>
      <c r="I1073" s="8">
        <v>1958.0</v>
      </c>
      <c r="J1073" s="9" t="s">
        <v>806</v>
      </c>
      <c r="K1073" s="9"/>
      <c r="L1073" s="9"/>
      <c r="M1073" s="9" t="s">
        <v>3202</v>
      </c>
      <c r="N1073" s="9" t="s">
        <v>35</v>
      </c>
      <c r="O1073" s="9" t="s">
        <v>3203</v>
      </c>
      <c r="P1073" s="9" t="s">
        <v>1296</v>
      </c>
    </row>
    <row r="1074">
      <c r="A1074" s="18" t="s">
        <v>794</v>
      </c>
      <c r="B1074" s="8">
        <v>1097.0</v>
      </c>
      <c r="C1074" s="8">
        <v>3471718.0</v>
      </c>
      <c r="D1074" s="8">
        <v>3480663.0</v>
      </c>
      <c r="E1074" s="9" t="s">
        <v>804</v>
      </c>
      <c r="F1074" s="9"/>
      <c r="G1074" s="9" t="s">
        <v>805</v>
      </c>
      <c r="H1074" s="9"/>
      <c r="I1074" s="8">
        <v>1958.0</v>
      </c>
      <c r="J1074" s="9" t="s">
        <v>806</v>
      </c>
      <c r="K1074" s="9"/>
      <c r="L1074" s="9"/>
      <c r="M1074" s="9" t="s">
        <v>3204</v>
      </c>
      <c r="N1074" s="9" t="s">
        <v>35</v>
      </c>
      <c r="O1074" s="9" t="s">
        <v>3205</v>
      </c>
      <c r="P1074" s="9" t="s">
        <v>1296</v>
      </c>
    </row>
    <row r="1075">
      <c r="A1075" s="18" t="s">
        <v>794</v>
      </c>
      <c r="B1075" s="8">
        <v>1108.0</v>
      </c>
      <c r="C1075" s="8">
        <v>3526883.0</v>
      </c>
      <c r="D1075" s="8">
        <v>3533420.0</v>
      </c>
      <c r="E1075" s="9" t="s">
        <v>804</v>
      </c>
      <c r="F1075" s="9"/>
      <c r="G1075" s="9" t="s">
        <v>805</v>
      </c>
      <c r="H1075" s="9"/>
      <c r="I1075" s="8">
        <v>1958.0</v>
      </c>
      <c r="J1075" s="9" t="s">
        <v>806</v>
      </c>
      <c r="K1075" s="9"/>
      <c r="L1075" s="9"/>
      <c r="M1075" s="9" t="s">
        <v>3206</v>
      </c>
      <c r="N1075" s="9" t="s">
        <v>35</v>
      </c>
      <c r="O1075" s="9" t="s">
        <v>3207</v>
      </c>
      <c r="P1075" s="9" t="s">
        <v>1296</v>
      </c>
    </row>
    <row r="1076">
      <c r="A1076" s="18" t="s">
        <v>794</v>
      </c>
      <c r="B1076" s="8">
        <v>1155.0</v>
      </c>
      <c r="C1076" s="8">
        <v>3962897.0</v>
      </c>
      <c r="D1076" s="8">
        <v>3971886.0</v>
      </c>
      <c r="E1076" s="9" t="s">
        <v>804</v>
      </c>
      <c r="F1076" s="9"/>
      <c r="G1076" s="9" t="s">
        <v>805</v>
      </c>
      <c r="H1076" s="9"/>
      <c r="I1076" s="8">
        <v>1958.0</v>
      </c>
      <c r="J1076" s="9" t="s">
        <v>806</v>
      </c>
      <c r="K1076" s="9"/>
      <c r="L1076" s="9"/>
      <c r="M1076" s="9" t="s">
        <v>3208</v>
      </c>
      <c r="N1076" s="9" t="s">
        <v>35</v>
      </c>
      <c r="O1076" s="9" t="s">
        <v>3209</v>
      </c>
      <c r="P1076" s="9" t="s">
        <v>1296</v>
      </c>
    </row>
    <row r="1077">
      <c r="A1077" s="18" t="s">
        <v>794</v>
      </c>
      <c r="B1077" s="8">
        <v>1166.0</v>
      </c>
      <c r="C1077" s="8">
        <v>4019364.0</v>
      </c>
      <c r="D1077" s="8">
        <v>4022990.0</v>
      </c>
      <c r="E1077" s="9" t="s">
        <v>804</v>
      </c>
      <c r="F1077" s="9"/>
      <c r="G1077" s="9" t="s">
        <v>805</v>
      </c>
      <c r="H1077" s="9"/>
      <c r="I1077" s="8">
        <v>1958.0</v>
      </c>
      <c r="J1077" s="9" t="s">
        <v>806</v>
      </c>
      <c r="K1077" s="9"/>
      <c r="L1077" s="9"/>
      <c r="M1077" s="9" t="s">
        <v>3210</v>
      </c>
      <c r="N1077" s="9" t="s">
        <v>35</v>
      </c>
      <c r="O1077" s="9" t="s">
        <v>3211</v>
      </c>
      <c r="P1077" s="9" t="s">
        <v>1316</v>
      </c>
    </row>
    <row r="1078">
      <c r="A1078" s="18" t="s">
        <v>794</v>
      </c>
      <c r="B1078" s="8">
        <v>1205.0</v>
      </c>
      <c r="C1078" s="8">
        <v>92448.0</v>
      </c>
      <c r="D1078" s="8">
        <v>95932.0</v>
      </c>
      <c r="E1078" s="9" t="s">
        <v>860</v>
      </c>
      <c r="F1078" s="9"/>
      <c r="G1078" s="9" t="s">
        <v>861</v>
      </c>
      <c r="H1078" s="9"/>
      <c r="I1078" s="8">
        <v>1949.0</v>
      </c>
      <c r="J1078" s="9" t="s">
        <v>797</v>
      </c>
      <c r="K1078" s="9"/>
      <c r="L1078" s="9"/>
      <c r="M1078" s="9" t="s">
        <v>3212</v>
      </c>
      <c r="N1078" s="9" t="s">
        <v>35</v>
      </c>
      <c r="O1078" s="9" t="s">
        <v>3213</v>
      </c>
      <c r="P1078" s="9" t="s">
        <v>1296</v>
      </c>
    </row>
    <row r="1079">
      <c r="A1079" s="18" t="s">
        <v>794</v>
      </c>
      <c r="B1079" s="8">
        <v>1206.0</v>
      </c>
      <c r="C1079" s="8">
        <v>95932.0</v>
      </c>
      <c r="D1079" s="8">
        <v>99268.0</v>
      </c>
      <c r="E1079" s="9" t="s">
        <v>860</v>
      </c>
      <c r="F1079" s="9"/>
      <c r="G1079" s="9" t="s">
        <v>861</v>
      </c>
      <c r="H1079" s="9"/>
      <c r="I1079" s="8">
        <v>1949.0</v>
      </c>
      <c r="J1079" s="9" t="s">
        <v>797</v>
      </c>
      <c r="K1079" s="9"/>
      <c r="L1079" s="9"/>
      <c r="M1079" s="9" t="s">
        <v>3214</v>
      </c>
      <c r="N1079" s="9" t="s">
        <v>35</v>
      </c>
      <c r="O1079" s="9" t="s">
        <v>3215</v>
      </c>
      <c r="P1079" s="9" t="s">
        <v>1296</v>
      </c>
    </row>
    <row r="1080">
      <c r="A1080" s="18" t="s">
        <v>794</v>
      </c>
      <c r="B1080" s="8">
        <v>1211.0</v>
      </c>
      <c r="C1080" s="8">
        <v>113102.0</v>
      </c>
      <c r="D1080" s="8">
        <v>117275.0</v>
      </c>
      <c r="E1080" s="9" t="s">
        <v>860</v>
      </c>
      <c r="F1080" s="9"/>
      <c r="G1080" s="9" t="s">
        <v>861</v>
      </c>
      <c r="H1080" s="9"/>
      <c r="I1080" s="8">
        <v>1949.0</v>
      </c>
      <c r="J1080" s="9" t="s">
        <v>797</v>
      </c>
      <c r="K1080" s="9"/>
      <c r="L1080" s="9"/>
      <c r="M1080" s="9" t="s">
        <v>3216</v>
      </c>
      <c r="N1080" s="9" t="s">
        <v>35</v>
      </c>
      <c r="O1080" s="9" t="s">
        <v>3217</v>
      </c>
      <c r="P1080" s="9" t="s">
        <v>1296</v>
      </c>
    </row>
    <row r="1081">
      <c r="A1081" s="18" t="s">
        <v>794</v>
      </c>
      <c r="B1081" s="8">
        <v>1314.0</v>
      </c>
      <c r="C1081" s="8">
        <v>608008.0</v>
      </c>
      <c r="D1081" s="8">
        <v>614263.0</v>
      </c>
      <c r="E1081" s="9" t="s">
        <v>860</v>
      </c>
      <c r="F1081" s="9"/>
      <c r="G1081" s="9" t="s">
        <v>861</v>
      </c>
      <c r="H1081" s="9"/>
      <c r="I1081" s="8">
        <v>1949.0</v>
      </c>
      <c r="J1081" s="9" t="s">
        <v>797</v>
      </c>
      <c r="K1081" s="9"/>
      <c r="L1081" s="9"/>
      <c r="M1081" s="9" t="s">
        <v>3218</v>
      </c>
      <c r="N1081" s="9" t="s">
        <v>35</v>
      </c>
      <c r="O1081" s="9" t="s">
        <v>3219</v>
      </c>
      <c r="P1081" s="9" t="s">
        <v>1300</v>
      </c>
    </row>
    <row r="1082">
      <c r="A1082" s="18" t="s">
        <v>794</v>
      </c>
      <c r="B1082" s="8">
        <v>1349.0</v>
      </c>
      <c r="C1082" s="8">
        <v>766974.0</v>
      </c>
      <c r="D1082" s="8">
        <v>771666.0</v>
      </c>
      <c r="E1082" s="9" t="s">
        <v>860</v>
      </c>
      <c r="F1082" s="9"/>
      <c r="G1082" s="9" t="s">
        <v>861</v>
      </c>
      <c r="H1082" s="9"/>
      <c r="I1082" s="8">
        <v>1949.0</v>
      </c>
      <c r="J1082" s="9" t="s">
        <v>797</v>
      </c>
      <c r="K1082" s="9"/>
      <c r="L1082" s="9"/>
      <c r="M1082" s="9" t="s">
        <v>3220</v>
      </c>
      <c r="N1082" s="9" t="s">
        <v>35</v>
      </c>
      <c r="O1082" s="9" t="s">
        <v>3221</v>
      </c>
      <c r="P1082" s="9" t="s">
        <v>1300</v>
      </c>
    </row>
    <row r="1083">
      <c r="A1083" s="18" t="s">
        <v>794</v>
      </c>
      <c r="B1083" s="8">
        <v>1359.0</v>
      </c>
      <c r="C1083" s="8">
        <v>826385.0</v>
      </c>
      <c r="D1083" s="8">
        <v>832620.0</v>
      </c>
      <c r="E1083" s="9" t="s">
        <v>860</v>
      </c>
      <c r="F1083" s="9"/>
      <c r="G1083" s="9" t="s">
        <v>861</v>
      </c>
      <c r="H1083" s="9"/>
      <c r="I1083" s="8">
        <v>1949.0</v>
      </c>
      <c r="J1083" s="9" t="s">
        <v>797</v>
      </c>
      <c r="K1083" s="9"/>
      <c r="L1083" s="9"/>
      <c r="M1083" s="9" t="s">
        <v>3222</v>
      </c>
      <c r="N1083" s="9" t="s">
        <v>35</v>
      </c>
      <c r="O1083" s="9" t="s">
        <v>3223</v>
      </c>
      <c r="P1083" s="10" t="s">
        <v>1298</v>
      </c>
    </row>
    <row r="1084">
      <c r="A1084" s="18" t="s">
        <v>794</v>
      </c>
      <c r="B1084" s="8">
        <v>1444.0</v>
      </c>
      <c r="C1084" s="8">
        <v>1198782.0</v>
      </c>
      <c r="D1084" s="8">
        <v>1199203.0</v>
      </c>
      <c r="E1084" s="9" t="s">
        <v>860</v>
      </c>
      <c r="F1084" s="9"/>
      <c r="G1084" s="9" t="s">
        <v>861</v>
      </c>
      <c r="H1084" s="9"/>
      <c r="I1084" s="8">
        <v>1949.0</v>
      </c>
      <c r="J1084" s="9" t="s">
        <v>797</v>
      </c>
      <c r="K1084" s="9"/>
      <c r="L1084" s="9"/>
      <c r="M1084" s="9"/>
      <c r="N1084" s="9" t="s">
        <v>45</v>
      </c>
      <c r="O1084" s="9" t="s">
        <v>3224</v>
      </c>
      <c r="P1084" s="9" t="s">
        <v>1296</v>
      </c>
    </row>
    <row r="1085">
      <c r="A1085" s="18" t="s">
        <v>794</v>
      </c>
      <c r="B1085" s="8">
        <v>1533.0</v>
      </c>
      <c r="C1085" s="8">
        <v>286940.0</v>
      </c>
      <c r="D1085" s="8">
        <v>290655.0</v>
      </c>
      <c r="E1085" s="9" t="s">
        <v>864</v>
      </c>
      <c r="F1085" s="9"/>
      <c r="G1085" s="9" t="s">
        <v>865</v>
      </c>
      <c r="H1085" s="9"/>
      <c r="I1085" s="8">
        <v>1949.0</v>
      </c>
      <c r="J1085" s="9" t="s">
        <v>797</v>
      </c>
      <c r="K1085" s="9"/>
      <c r="L1085" s="9"/>
      <c r="M1085" s="9" t="s">
        <v>3225</v>
      </c>
      <c r="N1085" s="9" t="s">
        <v>35</v>
      </c>
      <c r="O1085" s="9" t="s">
        <v>3226</v>
      </c>
      <c r="P1085" s="9" t="s">
        <v>1296</v>
      </c>
    </row>
    <row r="1086">
      <c r="A1086" s="18" t="s">
        <v>794</v>
      </c>
      <c r="B1086" s="8">
        <v>1533.0</v>
      </c>
      <c r="C1086" s="8">
        <v>286940.0</v>
      </c>
      <c r="D1086" s="8">
        <v>290655.0</v>
      </c>
      <c r="E1086" s="9" t="s">
        <v>864</v>
      </c>
      <c r="F1086" s="9"/>
      <c r="G1086" s="9" t="s">
        <v>865</v>
      </c>
      <c r="H1086" s="9"/>
      <c r="I1086" s="8">
        <v>1949.0</v>
      </c>
      <c r="J1086" s="9" t="s">
        <v>797</v>
      </c>
      <c r="K1086" s="9"/>
      <c r="L1086" s="9"/>
      <c r="M1086" s="9" t="s">
        <v>3227</v>
      </c>
      <c r="N1086" s="9" t="s">
        <v>35</v>
      </c>
      <c r="O1086" s="9" t="s">
        <v>3228</v>
      </c>
      <c r="P1086" s="9" t="s">
        <v>1296</v>
      </c>
    </row>
    <row r="1087">
      <c r="A1087" s="18" t="s">
        <v>794</v>
      </c>
      <c r="B1087" s="8">
        <v>1548.0</v>
      </c>
      <c r="C1087" s="8">
        <v>343560.0</v>
      </c>
      <c r="D1087" s="8">
        <v>345020.0</v>
      </c>
      <c r="E1087" s="9" t="s">
        <v>864</v>
      </c>
      <c r="F1087" s="9"/>
      <c r="G1087" s="9" t="s">
        <v>865</v>
      </c>
      <c r="H1087" s="9"/>
      <c r="I1087" s="8">
        <v>1949.0</v>
      </c>
      <c r="J1087" s="9" t="s">
        <v>797</v>
      </c>
      <c r="K1087" s="9"/>
      <c r="L1087" s="9"/>
      <c r="M1087" s="9" t="s">
        <v>3229</v>
      </c>
      <c r="N1087" s="9" t="s">
        <v>35</v>
      </c>
      <c r="O1087" s="9" t="s">
        <v>1668</v>
      </c>
      <c r="P1087" s="9" t="s">
        <v>1296</v>
      </c>
    </row>
    <row r="1088">
      <c r="A1088" s="18" t="s">
        <v>794</v>
      </c>
      <c r="B1088" s="8">
        <v>1663.0</v>
      </c>
      <c r="C1088" s="8">
        <v>853565.0</v>
      </c>
      <c r="D1088" s="8">
        <v>856783.0</v>
      </c>
      <c r="E1088" s="9" t="s">
        <v>864</v>
      </c>
      <c r="F1088" s="9"/>
      <c r="G1088" s="9" t="s">
        <v>865</v>
      </c>
      <c r="H1088" s="9"/>
      <c r="I1088" s="8">
        <v>1949.0</v>
      </c>
      <c r="J1088" s="9" t="s">
        <v>797</v>
      </c>
      <c r="K1088" s="9"/>
      <c r="L1088" s="9"/>
      <c r="M1088" s="9" t="s">
        <v>3230</v>
      </c>
      <c r="N1088" s="9" t="s">
        <v>35</v>
      </c>
      <c r="O1088" s="9" t="s">
        <v>2337</v>
      </c>
      <c r="P1088" s="9" t="s">
        <v>1300</v>
      </c>
    </row>
    <row r="1089">
      <c r="A1089" s="18" t="s">
        <v>794</v>
      </c>
      <c r="B1089" s="8">
        <v>1680.0</v>
      </c>
      <c r="C1089" s="8">
        <v>938913.0</v>
      </c>
      <c r="D1089" s="8">
        <v>944591.0</v>
      </c>
      <c r="E1089" s="9" t="s">
        <v>864</v>
      </c>
      <c r="F1089" s="9"/>
      <c r="G1089" s="9" t="s">
        <v>865</v>
      </c>
      <c r="H1089" s="9"/>
      <c r="I1089" s="8">
        <v>1949.0</v>
      </c>
      <c r="J1089" s="9" t="s">
        <v>797</v>
      </c>
      <c r="K1089" s="9"/>
      <c r="L1089" s="9"/>
      <c r="M1089" s="9"/>
      <c r="N1089" s="9" t="s">
        <v>35</v>
      </c>
      <c r="O1089" s="12" t="str">
        <f>съезжались _xleta.и в... с Варыгина приезжали оттуда.</f>
        <v>#ERROR!</v>
      </c>
      <c r="P1089" s="9" t="s">
        <v>1300</v>
      </c>
    </row>
    <row r="1090">
      <c r="A1090" s="18" t="s">
        <v>794</v>
      </c>
      <c r="B1090" s="8">
        <v>1713.0</v>
      </c>
      <c r="C1090" s="8">
        <v>42500.0</v>
      </c>
      <c r="D1090" s="8">
        <v>44110.0</v>
      </c>
      <c r="E1090" s="9" t="s">
        <v>879</v>
      </c>
      <c r="F1090" s="9"/>
      <c r="G1090" s="9"/>
      <c r="H1090" s="9"/>
      <c r="I1090" s="9"/>
      <c r="J1090" s="9"/>
      <c r="K1090" s="9"/>
      <c r="L1090" s="9"/>
      <c r="M1090" s="9" t="s">
        <v>3231</v>
      </c>
      <c r="N1090" s="9" t="s">
        <v>35</v>
      </c>
      <c r="O1090" s="9" t="s">
        <v>3232</v>
      </c>
      <c r="P1090" s="9" t="s">
        <v>1296</v>
      </c>
    </row>
    <row r="1091">
      <c r="A1091" s="18" t="s">
        <v>794</v>
      </c>
      <c r="B1091" s="8">
        <v>1724.0</v>
      </c>
      <c r="C1091" s="8">
        <v>75065.0</v>
      </c>
      <c r="D1091" s="8">
        <v>79435.0</v>
      </c>
      <c r="E1091" s="9" t="s">
        <v>879</v>
      </c>
      <c r="F1091" s="9"/>
      <c r="G1091" s="9" t="s">
        <v>880</v>
      </c>
      <c r="H1091" s="9"/>
      <c r="I1091" s="8">
        <v>1933.0</v>
      </c>
      <c r="J1091" s="9" t="s">
        <v>881</v>
      </c>
      <c r="K1091" s="9"/>
      <c r="L1091" s="9"/>
      <c r="M1091" s="9" t="s">
        <v>3233</v>
      </c>
      <c r="N1091" s="9" t="s">
        <v>35</v>
      </c>
      <c r="O1091" s="9" t="s">
        <v>3234</v>
      </c>
      <c r="P1091" s="9" t="s">
        <v>1316</v>
      </c>
    </row>
    <row r="1092">
      <c r="A1092" s="18" t="s">
        <v>794</v>
      </c>
      <c r="B1092" s="8">
        <v>1769.0</v>
      </c>
      <c r="C1092" s="8">
        <v>239465.0</v>
      </c>
      <c r="D1092" s="8">
        <v>240835.0</v>
      </c>
      <c r="E1092" s="9" t="s">
        <v>879</v>
      </c>
      <c r="F1092" s="9"/>
      <c r="G1092" s="9" t="s">
        <v>880</v>
      </c>
      <c r="H1092" s="9"/>
      <c r="I1092" s="8">
        <v>1933.0</v>
      </c>
      <c r="J1092" s="9" t="s">
        <v>881</v>
      </c>
      <c r="K1092" s="9"/>
      <c r="L1092" s="9"/>
      <c r="M1092" s="9"/>
      <c r="N1092" s="9" t="s">
        <v>45</v>
      </c>
      <c r="O1092" s="9" t="s">
        <v>3235</v>
      </c>
      <c r="P1092" s="9" t="s">
        <v>1296</v>
      </c>
    </row>
    <row r="1093">
      <c r="A1093" s="18" t="s">
        <v>794</v>
      </c>
      <c r="B1093" s="8">
        <v>1780.0</v>
      </c>
      <c r="C1093" s="8">
        <v>276910.0</v>
      </c>
      <c r="D1093" s="8">
        <v>279000.0</v>
      </c>
      <c r="E1093" s="9" t="s">
        <v>879</v>
      </c>
      <c r="F1093" s="9"/>
      <c r="G1093" s="9" t="s">
        <v>880</v>
      </c>
      <c r="H1093" s="9"/>
      <c r="I1093" s="8">
        <v>1933.0</v>
      </c>
      <c r="J1093" s="9" t="s">
        <v>881</v>
      </c>
      <c r="K1093" s="9"/>
      <c r="L1093" s="9"/>
      <c r="M1093" s="9" t="s">
        <v>3236</v>
      </c>
      <c r="N1093" s="9" t="s">
        <v>35</v>
      </c>
      <c r="O1093" s="9" t="s">
        <v>3237</v>
      </c>
      <c r="P1093" s="9" t="s">
        <v>1296</v>
      </c>
    </row>
    <row r="1094">
      <c r="A1094" s="18" t="s">
        <v>794</v>
      </c>
      <c r="B1094" s="8">
        <v>1796.0</v>
      </c>
      <c r="C1094" s="8">
        <v>317930.0</v>
      </c>
      <c r="D1094" s="8">
        <v>323855.0</v>
      </c>
      <c r="E1094" s="9" t="s">
        <v>879</v>
      </c>
      <c r="F1094" s="9"/>
      <c r="G1094" s="9" t="s">
        <v>880</v>
      </c>
      <c r="H1094" s="9"/>
      <c r="I1094" s="8">
        <v>1933.0</v>
      </c>
      <c r="J1094" s="9" t="s">
        <v>881</v>
      </c>
      <c r="K1094" s="9"/>
      <c r="L1094" s="9"/>
      <c r="M1094" s="9" t="s">
        <v>3238</v>
      </c>
      <c r="N1094" s="9" t="s">
        <v>35</v>
      </c>
      <c r="O1094" s="9" t="s">
        <v>3239</v>
      </c>
      <c r="P1094" s="9" t="s">
        <v>1316</v>
      </c>
    </row>
    <row r="1095">
      <c r="A1095" s="18" t="s">
        <v>794</v>
      </c>
      <c r="B1095" s="8">
        <v>1796.0</v>
      </c>
      <c r="C1095" s="8">
        <v>317930.0</v>
      </c>
      <c r="D1095" s="8">
        <v>323855.0</v>
      </c>
      <c r="E1095" s="9" t="s">
        <v>879</v>
      </c>
      <c r="F1095" s="9"/>
      <c r="G1095" s="9" t="s">
        <v>880</v>
      </c>
      <c r="H1095" s="9"/>
      <c r="I1095" s="8">
        <v>1933.0</v>
      </c>
      <c r="J1095" s="9" t="s">
        <v>881</v>
      </c>
      <c r="K1095" s="9"/>
      <c r="L1095" s="9"/>
      <c r="M1095" s="9" t="s">
        <v>3240</v>
      </c>
      <c r="N1095" s="9" t="s">
        <v>35</v>
      </c>
      <c r="O1095" s="9" t="s">
        <v>3241</v>
      </c>
      <c r="P1095" s="9" t="s">
        <v>1296</v>
      </c>
    </row>
    <row r="1096">
      <c r="A1096" s="18" t="s">
        <v>794</v>
      </c>
      <c r="B1096" s="8">
        <v>1817.0</v>
      </c>
      <c r="C1096" s="8">
        <v>376800.0</v>
      </c>
      <c r="D1096" s="8">
        <v>378660.0</v>
      </c>
      <c r="E1096" s="9" t="s">
        <v>879</v>
      </c>
      <c r="F1096" s="9"/>
      <c r="G1096" s="9" t="s">
        <v>880</v>
      </c>
      <c r="H1096" s="9"/>
      <c r="I1096" s="8">
        <v>1933.0</v>
      </c>
      <c r="J1096" s="9" t="s">
        <v>881</v>
      </c>
      <c r="K1096" s="9"/>
      <c r="L1096" s="9"/>
      <c r="M1096" s="9" t="s">
        <v>2171</v>
      </c>
      <c r="N1096" s="9" t="s">
        <v>35</v>
      </c>
      <c r="O1096" s="9" t="s">
        <v>3242</v>
      </c>
      <c r="P1096" s="9" t="s">
        <v>1296</v>
      </c>
    </row>
    <row r="1097">
      <c r="A1097" s="18" t="s">
        <v>794</v>
      </c>
      <c r="B1097" s="8">
        <v>1836.0</v>
      </c>
      <c r="C1097" s="8">
        <v>448800.0</v>
      </c>
      <c r="D1097" s="8">
        <v>453670.0</v>
      </c>
      <c r="E1097" s="9" t="s">
        <v>879</v>
      </c>
      <c r="F1097" s="9"/>
      <c r="G1097" s="9" t="s">
        <v>880</v>
      </c>
      <c r="H1097" s="9"/>
      <c r="I1097" s="8">
        <v>1933.0</v>
      </c>
      <c r="J1097" s="9" t="s">
        <v>881</v>
      </c>
      <c r="K1097" s="9"/>
      <c r="L1097" s="9"/>
      <c r="M1097" s="9" t="s">
        <v>3243</v>
      </c>
      <c r="N1097" s="9" t="s">
        <v>35</v>
      </c>
      <c r="O1097" s="9" t="s">
        <v>3244</v>
      </c>
      <c r="P1097" s="9" t="s">
        <v>1300</v>
      </c>
    </row>
    <row r="1098">
      <c r="A1098" s="18" t="s">
        <v>794</v>
      </c>
      <c r="B1098" s="8">
        <v>1836.0</v>
      </c>
      <c r="C1098" s="8">
        <v>448800.0</v>
      </c>
      <c r="D1098" s="8">
        <v>453670.0</v>
      </c>
      <c r="E1098" s="9" t="s">
        <v>879</v>
      </c>
      <c r="F1098" s="9"/>
      <c r="G1098" s="9" t="s">
        <v>880</v>
      </c>
      <c r="H1098" s="9"/>
      <c r="I1098" s="8">
        <v>1933.0</v>
      </c>
      <c r="J1098" s="9" t="s">
        <v>881</v>
      </c>
      <c r="K1098" s="9"/>
      <c r="L1098" s="9"/>
      <c r="M1098" s="9" t="s">
        <v>3245</v>
      </c>
      <c r="N1098" s="9" t="s">
        <v>35</v>
      </c>
      <c r="O1098" s="9" t="s">
        <v>3246</v>
      </c>
      <c r="P1098" s="9" t="s">
        <v>1300</v>
      </c>
    </row>
    <row r="1099">
      <c r="A1099" s="18" t="s">
        <v>794</v>
      </c>
      <c r="B1099" s="8">
        <v>1836.0</v>
      </c>
      <c r="C1099" s="8">
        <v>448800.0</v>
      </c>
      <c r="D1099" s="8">
        <v>453670.0</v>
      </c>
      <c r="E1099" s="9" t="s">
        <v>879</v>
      </c>
      <c r="F1099" s="9"/>
      <c r="G1099" s="9" t="s">
        <v>880</v>
      </c>
      <c r="H1099" s="9"/>
      <c r="I1099" s="8">
        <v>1933.0</v>
      </c>
      <c r="J1099" s="9" t="s">
        <v>881</v>
      </c>
      <c r="K1099" s="9"/>
      <c r="L1099" s="9"/>
      <c r="M1099" s="9" t="s">
        <v>3247</v>
      </c>
      <c r="N1099" s="9" t="s">
        <v>35</v>
      </c>
      <c r="O1099" s="9" t="s">
        <v>3248</v>
      </c>
      <c r="P1099" s="10" t="s">
        <v>1298</v>
      </c>
    </row>
    <row r="1100">
      <c r="A1100" s="18" t="s">
        <v>794</v>
      </c>
      <c r="B1100" s="8">
        <v>1844.0</v>
      </c>
      <c r="C1100" s="8">
        <v>473385.0</v>
      </c>
      <c r="D1100" s="8">
        <v>478610.0</v>
      </c>
      <c r="E1100" s="9" t="s">
        <v>879</v>
      </c>
      <c r="F1100" s="9"/>
      <c r="G1100" s="9" t="s">
        <v>880</v>
      </c>
      <c r="H1100" s="9"/>
      <c r="I1100" s="8">
        <v>1933.0</v>
      </c>
      <c r="J1100" s="9" t="s">
        <v>881</v>
      </c>
      <c r="K1100" s="9"/>
      <c r="L1100" s="9"/>
      <c r="M1100" s="9" t="s">
        <v>3249</v>
      </c>
      <c r="N1100" s="9" t="s">
        <v>35</v>
      </c>
      <c r="O1100" s="9" t="s">
        <v>3250</v>
      </c>
      <c r="P1100" s="9" t="s">
        <v>1296</v>
      </c>
    </row>
    <row r="1101">
      <c r="A1101" s="18" t="s">
        <v>794</v>
      </c>
      <c r="B1101" s="8">
        <v>1852.0</v>
      </c>
      <c r="C1101" s="8">
        <v>503425.0</v>
      </c>
      <c r="D1101" s="8">
        <v>507415.0</v>
      </c>
      <c r="E1101" s="9" t="s">
        <v>879</v>
      </c>
      <c r="F1101" s="9"/>
      <c r="G1101" s="9" t="s">
        <v>880</v>
      </c>
      <c r="H1101" s="9"/>
      <c r="I1101" s="8">
        <v>1933.0</v>
      </c>
      <c r="J1101" s="9" t="s">
        <v>881</v>
      </c>
      <c r="K1101" s="9"/>
      <c r="L1101" s="9"/>
      <c r="M1101" s="9" t="s">
        <v>3251</v>
      </c>
      <c r="N1101" s="9" t="s">
        <v>35</v>
      </c>
      <c r="O1101" s="9" t="s">
        <v>3252</v>
      </c>
      <c r="P1101" s="10" t="s">
        <v>1298</v>
      </c>
    </row>
    <row r="1102">
      <c r="A1102" s="18" t="s">
        <v>794</v>
      </c>
      <c r="B1102" s="8">
        <v>1854.0</v>
      </c>
      <c r="C1102" s="8">
        <v>511030.0</v>
      </c>
      <c r="D1102" s="8">
        <v>512210.0</v>
      </c>
      <c r="E1102" s="9" t="s">
        <v>879</v>
      </c>
      <c r="F1102" s="9"/>
      <c r="G1102" s="9" t="s">
        <v>880</v>
      </c>
      <c r="H1102" s="9"/>
      <c r="I1102" s="8">
        <v>1933.0</v>
      </c>
      <c r="J1102" s="9" t="s">
        <v>881</v>
      </c>
      <c r="K1102" s="9"/>
      <c r="L1102" s="9"/>
      <c r="M1102" s="9" t="s">
        <v>3253</v>
      </c>
      <c r="N1102" s="9" t="s">
        <v>35</v>
      </c>
      <c r="O1102" s="9" t="s">
        <v>3254</v>
      </c>
      <c r="P1102" s="10" t="s">
        <v>1298</v>
      </c>
    </row>
    <row r="1103">
      <c r="A1103" s="18" t="s">
        <v>794</v>
      </c>
      <c r="B1103" s="8">
        <v>1894.0</v>
      </c>
      <c r="C1103" s="8">
        <v>615010.0</v>
      </c>
      <c r="D1103" s="8">
        <v>622300.0</v>
      </c>
      <c r="E1103" s="9" t="s">
        <v>879</v>
      </c>
      <c r="F1103" s="9"/>
      <c r="G1103" s="9"/>
      <c r="H1103" s="9"/>
      <c r="I1103" s="9"/>
      <c r="J1103" s="9"/>
      <c r="K1103" s="9"/>
      <c r="L1103" s="9"/>
      <c r="M1103" s="9" t="s">
        <v>3255</v>
      </c>
      <c r="N1103" s="9" t="s">
        <v>35</v>
      </c>
      <c r="O1103" s="9" t="s">
        <v>3256</v>
      </c>
      <c r="P1103" s="10" t="s">
        <v>1298</v>
      </c>
    </row>
    <row r="1104">
      <c r="A1104" s="18" t="s">
        <v>794</v>
      </c>
      <c r="B1104" s="8">
        <v>1957.0</v>
      </c>
      <c r="C1104" s="8">
        <v>774725.0</v>
      </c>
      <c r="D1104" s="8">
        <v>776175.0</v>
      </c>
      <c r="E1104" s="9" t="s">
        <v>879</v>
      </c>
      <c r="F1104" s="9"/>
      <c r="G1104" s="9"/>
      <c r="H1104" s="9"/>
      <c r="I1104" s="9"/>
      <c r="J1104" s="9"/>
      <c r="K1104" s="9"/>
      <c r="L1104" s="9"/>
      <c r="M1104" s="9" t="s">
        <v>3257</v>
      </c>
      <c r="N1104" s="9" t="s">
        <v>35</v>
      </c>
      <c r="O1104" s="9" t="s">
        <v>3258</v>
      </c>
      <c r="P1104" s="9" t="s">
        <v>1296</v>
      </c>
    </row>
    <row r="1105">
      <c r="A1105" s="18" t="s">
        <v>794</v>
      </c>
      <c r="B1105" s="8">
        <v>1992.0</v>
      </c>
      <c r="C1105" s="8">
        <v>865190.0</v>
      </c>
      <c r="D1105" s="8">
        <v>870680.0</v>
      </c>
      <c r="E1105" s="9" t="s">
        <v>879</v>
      </c>
      <c r="F1105" s="9"/>
      <c r="G1105" s="9" t="s">
        <v>880</v>
      </c>
      <c r="H1105" s="9"/>
      <c r="I1105" s="8">
        <v>1933.0</v>
      </c>
      <c r="J1105" s="9" t="s">
        <v>881</v>
      </c>
      <c r="K1105" s="9"/>
      <c r="L1105" s="9"/>
      <c r="M1105" s="9" t="s">
        <v>3259</v>
      </c>
      <c r="N1105" s="9" t="s">
        <v>35</v>
      </c>
      <c r="O1105" s="9" t="s">
        <v>3260</v>
      </c>
      <c r="P1105" s="9" t="s">
        <v>1300</v>
      </c>
    </row>
    <row r="1106">
      <c r="A1106" s="18" t="s">
        <v>794</v>
      </c>
      <c r="B1106" s="8">
        <v>2007.0</v>
      </c>
      <c r="C1106" s="8">
        <v>921100.0</v>
      </c>
      <c r="D1106" s="8">
        <v>922630.0</v>
      </c>
      <c r="E1106" s="9" t="s">
        <v>879</v>
      </c>
      <c r="F1106" s="9"/>
      <c r="G1106" s="9" t="s">
        <v>880</v>
      </c>
      <c r="H1106" s="9"/>
      <c r="I1106" s="8">
        <v>1933.0</v>
      </c>
      <c r="J1106" s="9" t="s">
        <v>881</v>
      </c>
      <c r="K1106" s="9"/>
      <c r="L1106" s="9"/>
      <c r="M1106" s="9" t="s">
        <v>3261</v>
      </c>
      <c r="N1106" s="9" t="s">
        <v>35</v>
      </c>
      <c r="O1106" s="12" t="str">
        <f>в дровнях.</f>
        <v>#ERROR!</v>
      </c>
      <c r="P1106" s="9" t="s">
        <v>1300</v>
      </c>
    </row>
    <row r="1107">
      <c r="A1107" s="18" t="s">
        <v>794</v>
      </c>
      <c r="B1107" s="8">
        <v>2021.0</v>
      </c>
      <c r="C1107" s="8">
        <v>957175.0</v>
      </c>
      <c r="D1107" s="8">
        <v>957605.0</v>
      </c>
      <c r="E1107" s="9" t="s">
        <v>879</v>
      </c>
      <c r="F1107" s="9"/>
      <c r="G1107" s="9" t="s">
        <v>880</v>
      </c>
      <c r="H1107" s="9"/>
      <c r="I1107" s="8">
        <v>1933.0</v>
      </c>
      <c r="J1107" s="9" t="s">
        <v>881</v>
      </c>
      <c r="K1107" s="9"/>
      <c r="L1107" s="9"/>
      <c r="M1107" s="9" t="s">
        <v>3262</v>
      </c>
      <c r="N1107" s="9" t="s">
        <v>35</v>
      </c>
      <c r="O1107" s="9" t="s">
        <v>3263</v>
      </c>
      <c r="P1107" s="9" t="s">
        <v>1300</v>
      </c>
    </row>
    <row r="1108">
      <c r="A1108" s="18" t="s">
        <v>794</v>
      </c>
      <c r="B1108" s="8">
        <v>2023.0</v>
      </c>
      <c r="C1108" s="8">
        <v>963595.0</v>
      </c>
      <c r="D1108" s="8">
        <v>965725.0</v>
      </c>
      <c r="E1108" s="9" t="s">
        <v>879</v>
      </c>
      <c r="F1108" s="9"/>
      <c r="G1108" s="9" t="s">
        <v>880</v>
      </c>
      <c r="H1108" s="9"/>
      <c r="I1108" s="8">
        <v>1933.0</v>
      </c>
      <c r="J1108" s="9" t="s">
        <v>881</v>
      </c>
      <c r="K1108" s="9"/>
      <c r="L1108" s="9"/>
      <c r="M1108" s="9" t="s">
        <v>3264</v>
      </c>
      <c r="N1108" s="9" t="s">
        <v>35</v>
      </c>
      <c r="O1108" s="9" t="s">
        <v>3265</v>
      </c>
      <c r="P1108" s="9" t="s">
        <v>1296</v>
      </c>
    </row>
    <row r="1109">
      <c r="A1109" s="18" t="s">
        <v>794</v>
      </c>
      <c r="B1109" s="8">
        <v>2027.0</v>
      </c>
      <c r="C1109" s="8">
        <v>975015.0</v>
      </c>
      <c r="D1109" s="8">
        <v>977035.0</v>
      </c>
      <c r="E1109" s="9" t="s">
        <v>879</v>
      </c>
      <c r="F1109" s="9"/>
      <c r="G1109" s="9" t="s">
        <v>880</v>
      </c>
      <c r="H1109" s="9"/>
      <c r="I1109" s="8">
        <v>1933.0</v>
      </c>
      <c r="J1109" s="9" t="s">
        <v>881</v>
      </c>
      <c r="K1109" s="9"/>
      <c r="L1109" s="9"/>
      <c r="M1109" s="9"/>
      <c r="N1109" s="9" t="s">
        <v>35</v>
      </c>
      <c r="O1109" s="9" t="s">
        <v>3266</v>
      </c>
      <c r="P1109" s="9" t="s">
        <v>1296</v>
      </c>
    </row>
    <row r="1110">
      <c r="A1110" s="18" t="s">
        <v>794</v>
      </c>
      <c r="B1110" s="8">
        <v>2049.0</v>
      </c>
      <c r="C1110" s="8">
        <v>1044985.0</v>
      </c>
      <c r="D1110" s="8">
        <v>1049155.0</v>
      </c>
      <c r="E1110" s="9" t="s">
        <v>879</v>
      </c>
      <c r="F1110" s="9"/>
      <c r="G1110" s="9" t="s">
        <v>880</v>
      </c>
      <c r="H1110" s="9"/>
      <c r="I1110" s="8">
        <v>1933.0</v>
      </c>
      <c r="J1110" s="9" t="s">
        <v>881</v>
      </c>
      <c r="K1110" s="9"/>
      <c r="L1110" s="9"/>
      <c r="M1110" s="9" t="s">
        <v>410</v>
      </c>
      <c r="N1110" s="9" t="s">
        <v>35</v>
      </c>
      <c r="O1110" s="12" t="str">
        <f>сами какие деньги получают?</f>
        <v>#ERROR!</v>
      </c>
      <c r="P1110" s="9" t="s">
        <v>1300</v>
      </c>
    </row>
    <row r="1111">
      <c r="A1111" s="18" t="s">
        <v>794</v>
      </c>
      <c r="B1111" s="8">
        <v>2056.0</v>
      </c>
      <c r="C1111" s="8">
        <v>1065010.0</v>
      </c>
      <c r="D1111" s="8">
        <v>1066850.0</v>
      </c>
      <c r="E1111" s="9" t="s">
        <v>879</v>
      </c>
      <c r="F1111" s="9"/>
      <c r="G1111" s="9" t="s">
        <v>880</v>
      </c>
      <c r="H1111" s="9"/>
      <c r="I1111" s="8">
        <v>1933.0</v>
      </c>
      <c r="J1111" s="9" t="s">
        <v>881</v>
      </c>
      <c r="K1111" s="9"/>
      <c r="L1111" s="9"/>
      <c r="M1111" s="9" t="s">
        <v>3267</v>
      </c>
      <c r="N1111" s="9" t="s">
        <v>35</v>
      </c>
      <c r="O1111" s="9" t="s">
        <v>3268</v>
      </c>
      <c r="P1111" s="9" t="s">
        <v>1296</v>
      </c>
    </row>
    <row r="1112">
      <c r="A1112" s="18" t="s">
        <v>794</v>
      </c>
      <c r="B1112" s="8">
        <v>2067.0</v>
      </c>
      <c r="C1112" s="8">
        <v>1093770.0</v>
      </c>
      <c r="D1112" s="8">
        <v>1096120.0</v>
      </c>
      <c r="E1112" s="9" t="s">
        <v>879</v>
      </c>
      <c r="F1112" s="9"/>
      <c r="G1112" s="9" t="s">
        <v>880</v>
      </c>
      <c r="H1112" s="9"/>
      <c r="I1112" s="8">
        <v>1933.0</v>
      </c>
      <c r="J1112" s="9" t="s">
        <v>881</v>
      </c>
      <c r="K1112" s="9"/>
      <c r="L1112" s="9"/>
      <c r="M1112" s="9" t="s">
        <v>3269</v>
      </c>
      <c r="N1112" s="9" t="s">
        <v>35</v>
      </c>
      <c r="O1112" s="9" t="s">
        <v>3270</v>
      </c>
      <c r="P1112" s="9" t="s">
        <v>1296</v>
      </c>
    </row>
    <row r="1113">
      <c r="A1113" s="18" t="s">
        <v>794</v>
      </c>
      <c r="B1113" s="8">
        <v>2072.0</v>
      </c>
      <c r="C1113" s="8">
        <v>1110810.0</v>
      </c>
      <c r="D1113" s="8">
        <v>1112720.0</v>
      </c>
      <c r="E1113" s="9" t="s">
        <v>879</v>
      </c>
      <c r="F1113" s="9"/>
      <c r="G1113" s="9" t="s">
        <v>880</v>
      </c>
      <c r="H1113" s="9"/>
      <c r="I1113" s="8">
        <v>1933.0</v>
      </c>
      <c r="J1113" s="9" t="s">
        <v>881</v>
      </c>
      <c r="K1113" s="9"/>
      <c r="L1113" s="9"/>
      <c r="M1113" s="9" t="s">
        <v>3271</v>
      </c>
      <c r="N1113" s="9" t="s">
        <v>35</v>
      </c>
      <c r="O1113" s="9" t="s">
        <v>2758</v>
      </c>
      <c r="P1113" s="9" t="s">
        <v>1296</v>
      </c>
    </row>
    <row r="1114">
      <c r="A1114" s="18" t="s">
        <v>794</v>
      </c>
      <c r="B1114" s="8">
        <v>2077.0</v>
      </c>
      <c r="C1114" s="8">
        <v>1124975.0</v>
      </c>
      <c r="D1114" s="8">
        <v>1130205.0</v>
      </c>
      <c r="E1114" s="9" t="s">
        <v>879</v>
      </c>
      <c r="F1114" s="9"/>
      <c r="G1114" s="9" t="s">
        <v>880</v>
      </c>
      <c r="H1114" s="9"/>
      <c r="I1114" s="8">
        <v>1933.0</v>
      </c>
      <c r="J1114" s="9" t="s">
        <v>881</v>
      </c>
      <c r="K1114" s="9"/>
      <c r="L1114" s="9"/>
      <c r="M1114" s="9" t="s">
        <v>3272</v>
      </c>
      <c r="N1114" s="9" t="s">
        <v>35</v>
      </c>
      <c r="O1114" s="9" t="s">
        <v>3273</v>
      </c>
      <c r="P1114" s="9" t="s">
        <v>1296</v>
      </c>
    </row>
    <row r="1115">
      <c r="A1115" s="18" t="s">
        <v>794</v>
      </c>
      <c r="B1115" s="8">
        <v>2082.0</v>
      </c>
      <c r="C1115" s="8">
        <v>1140795.0</v>
      </c>
      <c r="D1115" s="8">
        <v>1142235.0</v>
      </c>
      <c r="E1115" s="9" t="s">
        <v>879</v>
      </c>
      <c r="F1115" s="9"/>
      <c r="G1115" s="9" t="s">
        <v>880</v>
      </c>
      <c r="H1115" s="9"/>
      <c r="I1115" s="8">
        <v>1933.0</v>
      </c>
      <c r="J1115" s="9" t="s">
        <v>881</v>
      </c>
      <c r="K1115" s="9"/>
      <c r="L1115" s="9"/>
      <c r="M1115" s="9" t="s">
        <v>3274</v>
      </c>
      <c r="N1115" s="9" t="s">
        <v>35</v>
      </c>
      <c r="O1115" s="9"/>
      <c r="P1115" s="9" t="s">
        <v>1300</v>
      </c>
    </row>
    <row r="1116">
      <c r="A1116" s="18" t="s">
        <v>794</v>
      </c>
      <c r="B1116" s="8">
        <v>2087.0</v>
      </c>
      <c r="C1116" s="8">
        <v>1151515.0</v>
      </c>
      <c r="D1116" s="8">
        <v>1151755.0</v>
      </c>
      <c r="E1116" s="9" t="s">
        <v>879</v>
      </c>
      <c r="F1116" s="9"/>
      <c r="G1116" s="9" t="s">
        <v>880</v>
      </c>
      <c r="H1116" s="9"/>
      <c r="I1116" s="8">
        <v>1933.0</v>
      </c>
      <c r="J1116" s="9" t="s">
        <v>881</v>
      </c>
      <c r="K1116" s="9"/>
      <c r="L1116" s="9"/>
      <c r="M1116" s="9"/>
      <c r="N1116" s="9" t="s">
        <v>35</v>
      </c>
      <c r="O1116" s="9" t="s">
        <v>3275</v>
      </c>
      <c r="P1116" s="9" t="s">
        <v>1300</v>
      </c>
    </row>
    <row r="1117">
      <c r="A1117" s="18" t="s">
        <v>794</v>
      </c>
      <c r="B1117" s="8">
        <v>2088.0</v>
      </c>
      <c r="C1117" s="8">
        <v>1151955.0</v>
      </c>
      <c r="D1117" s="8">
        <v>1155490.0</v>
      </c>
      <c r="E1117" s="9" t="s">
        <v>879</v>
      </c>
      <c r="F1117" s="9"/>
      <c r="G1117" s="9" t="s">
        <v>880</v>
      </c>
      <c r="H1117" s="9"/>
      <c r="I1117" s="8">
        <v>1933.0</v>
      </c>
      <c r="J1117" s="9" t="s">
        <v>881</v>
      </c>
      <c r="K1117" s="9"/>
      <c r="L1117" s="9"/>
      <c r="M1117" s="9" t="s">
        <v>3276</v>
      </c>
      <c r="N1117" s="9" t="s">
        <v>35</v>
      </c>
      <c r="O1117" s="9" t="s">
        <v>3277</v>
      </c>
      <c r="P1117" s="9" t="s">
        <v>1296</v>
      </c>
    </row>
    <row r="1118">
      <c r="A1118" s="18" t="s">
        <v>794</v>
      </c>
      <c r="B1118" s="8">
        <v>2088.0</v>
      </c>
      <c r="C1118" s="8">
        <v>1151955.0</v>
      </c>
      <c r="D1118" s="8">
        <v>1155490.0</v>
      </c>
      <c r="E1118" s="9" t="s">
        <v>879</v>
      </c>
      <c r="F1118" s="9"/>
      <c r="G1118" s="9" t="s">
        <v>880</v>
      </c>
      <c r="H1118" s="9"/>
      <c r="I1118" s="8">
        <v>1933.0</v>
      </c>
      <c r="J1118" s="9" t="s">
        <v>881</v>
      </c>
      <c r="K1118" s="9"/>
      <c r="L1118" s="9"/>
      <c r="M1118" s="9" t="s">
        <v>3278</v>
      </c>
      <c r="N1118" s="9" t="s">
        <v>35</v>
      </c>
      <c r="O1118" s="9" t="s">
        <v>3279</v>
      </c>
      <c r="P1118" s="9" t="s">
        <v>3280</v>
      </c>
    </row>
    <row r="1119">
      <c r="A1119" s="18" t="s">
        <v>794</v>
      </c>
      <c r="B1119" s="8">
        <v>2108.0</v>
      </c>
      <c r="C1119" s="8">
        <v>1215235.0</v>
      </c>
      <c r="D1119" s="8">
        <v>1217695.0</v>
      </c>
      <c r="E1119" s="9" t="s">
        <v>879</v>
      </c>
      <c r="F1119" s="9"/>
      <c r="G1119" s="9" t="s">
        <v>880</v>
      </c>
      <c r="H1119" s="9"/>
      <c r="I1119" s="8">
        <v>1933.0</v>
      </c>
      <c r="J1119" s="9" t="s">
        <v>881</v>
      </c>
      <c r="K1119" s="9"/>
      <c r="L1119" s="9"/>
      <c r="M1119" s="9" t="s">
        <v>3281</v>
      </c>
      <c r="N1119" s="9" t="s">
        <v>35</v>
      </c>
      <c r="O1119" s="9" t="s">
        <v>3282</v>
      </c>
      <c r="P1119" s="9" t="s">
        <v>1296</v>
      </c>
    </row>
    <row r="1120">
      <c r="A1120" s="18" t="s">
        <v>794</v>
      </c>
      <c r="B1120" s="8">
        <v>2119.0</v>
      </c>
      <c r="C1120" s="8">
        <v>1251340.0</v>
      </c>
      <c r="D1120" s="8">
        <v>1255130.0</v>
      </c>
      <c r="E1120" s="9" t="s">
        <v>879</v>
      </c>
      <c r="F1120" s="9"/>
      <c r="G1120" s="9" t="s">
        <v>880</v>
      </c>
      <c r="H1120" s="9"/>
      <c r="I1120" s="8">
        <v>1933.0</v>
      </c>
      <c r="J1120" s="9" t="s">
        <v>881</v>
      </c>
      <c r="K1120" s="9"/>
      <c r="L1120" s="9"/>
      <c r="M1120" s="9" t="s">
        <v>3283</v>
      </c>
      <c r="N1120" s="9" t="s">
        <v>35</v>
      </c>
      <c r="O1120" s="9" t="s">
        <v>3284</v>
      </c>
      <c r="P1120" s="9" t="s">
        <v>3280</v>
      </c>
    </row>
    <row r="1121">
      <c r="A1121" s="18" t="s">
        <v>794</v>
      </c>
      <c r="B1121" s="8">
        <v>2119.0</v>
      </c>
      <c r="C1121" s="8">
        <v>1251340.0</v>
      </c>
      <c r="D1121" s="8">
        <v>1255130.0</v>
      </c>
      <c r="E1121" s="9" t="s">
        <v>879</v>
      </c>
      <c r="F1121" s="9"/>
      <c r="G1121" s="9" t="s">
        <v>880</v>
      </c>
      <c r="H1121" s="9"/>
      <c r="I1121" s="8">
        <v>1933.0</v>
      </c>
      <c r="J1121" s="9" t="s">
        <v>881</v>
      </c>
      <c r="K1121" s="9"/>
      <c r="L1121" s="9"/>
      <c r="M1121" s="9" t="s">
        <v>3285</v>
      </c>
      <c r="N1121" s="9" t="s">
        <v>35</v>
      </c>
      <c r="O1121" s="9" t="s">
        <v>3286</v>
      </c>
      <c r="P1121" s="9" t="s">
        <v>3280</v>
      </c>
    </row>
    <row r="1122">
      <c r="A1122" s="18" t="s">
        <v>794</v>
      </c>
      <c r="B1122" s="8">
        <v>2123.0</v>
      </c>
      <c r="C1122" s="8">
        <v>1266080.0</v>
      </c>
      <c r="D1122" s="8">
        <v>1269600.0</v>
      </c>
      <c r="E1122" s="9" t="s">
        <v>879</v>
      </c>
      <c r="F1122" s="9"/>
      <c r="G1122" s="9" t="s">
        <v>880</v>
      </c>
      <c r="H1122" s="9"/>
      <c r="I1122" s="8">
        <v>1933.0</v>
      </c>
      <c r="J1122" s="9" t="s">
        <v>881</v>
      </c>
      <c r="K1122" s="9"/>
      <c r="L1122" s="9"/>
      <c r="M1122" s="9" t="s">
        <v>3287</v>
      </c>
      <c r="N1122" s="9" t="s">
        <v>35</v>
      </c>
      <c r="O1122" s="9" t="s">
        <v>3288</v>
      </c>
      <c r="P1122" s="10" t="s">
        <v>1298</v>
      </c>
    </row>
    <row r="1123">
      <c r="A1123" s="18" t="s">
        <v>794</v>
      </c>
      <c r="B1123" s="8">
        <v>2142.0</v>
      </c>
      <c r="C1123" s="8">
        <v>1323955.0</v>
      </c>
      <c r="D1123" s="8">
        <v>1325565.0</v>
      </c>
      <c r="E1123" s="9" t="s">
        <v>879</v>
      </c>
      <c r="F1123" s="9"/>
      <c r="G1123" s="9" t="s">
        <v>880</v>
      </c>
      <c r="H1123" s="9"/>
      <c r="I1123" s="8">
        <v>1933.0</v>
      </c>
      <c r="J1123" s="9" t="s">
        <v>881</v>
      </c>
      <c r="K1123" s="9"/>
      <c r="L1123" s="9"/>
      <c r="M1123" s="9"/>
      <c r="N1123" s="9" t="s">
        <v>35</v>
      </c>
      <c r="O1123" s="12" t="str">
        <f>чтоб скидывала-нет...</f>
        <v>#ERROR!</v>
      </c>
      <c r="P1123" s="9" t="s">
        <v>1300</v>
      </c>
    </row>
    <row r="1124">
      <c r="A1124" s="18" t="s">
        <v>794</v>
      </c>
      <c r="B1124" s="8">
        <v>2207.0</v>
      </c>
      <c r="C1124" s="8">
        <v>1520270.0</v>
      </c>
      <c r="D1124" s="8">
        <v>1522450.0</v>
      </c>
      <c r="E1124" s="9" t="s">
        <v>879</v>
      </c>
      <c r="F1124" s="9"/>
      <c r="G1124" s="9" t="s">
        <v>880</v>
      </c>
      <c r="H1124" s="9"/>
      <c r="I1124" s="8">
        <v>1933.0</v>
      </c>
      <c r="J1124" s="9" t="s">
        <v>881</v>
      </c>
      <c r="K1124" s="9"/>
      <c r="L1124" s="9"/>
      <c r="M1124" s="9" t="s">
        <v>3251</v>
      </c>
      <c r="N1124" s="9" t="s">
        <v>35</v>
      </c>
      <c r="O1124" s="12" t="str">
        <f>_xleta.не каждый _xleta.день праздники.</f>
        <v>#ERROR!</v>
      </c>
      <c r="P1124" s="9" t="s">
        <v>1300</v>
      </c>
    </row>
    <row r="1125">
      <c r="A1125" s="18" t="s">
        <v>794</v>
      </c>
      <c r="B1125" s="8">
        <v>2228.0</v>
      </c>
      <c r="C1125" s="8">
        <v>1589190.0</v>
      </c>
      <c r="D1125" s="8">
        <v>1590590.0</v>
      </c>
      <c r="E1125" s="9" t="s">
        <v>879</v>
      </c>
      <c r="F1125" s="9"/>
      <c r="G1125" s="9" t="s">
        <v>880</v>
      </c>
      <c r="H1125" s="9"/>
      <c r="I1125" s="8">
        <v>1933.0</v>
      </c>
      <c r="J1125" s="9" t="s">
        <v>881</v>
      </c>
      <c r="K1125" s="9"/>
      <c r="L1125" s="9"/>
      <c r="M1125" s="9" t="s">
        <v>3289</v>
      </c>
      <c r="N1125" s="9" t="s">
        <v>35</v>
      </c>
      <c r="O1125" s="9" t="s">
        <v>3290</v>
      </c>
      <c r="P1125" s="9" t="s">
        <v>1296</v>
      </c>
    </row>
    <row r="1126">
      <c r="A1126" s="18" t="s">
        <v>794</v>
      </c>
      <c r="B1126" s="8">
        <v>2286.0</v>
      </c>
      <c r="C1126" s="8">
        <v>1793300.0</v>
      </c>
      <c r="D1126" s="8">
        <v>1795950.0</v>
      </c>
      <c r="E1126" s="9" t="s">
        <v>879</v>
      </c>
      <c r="F1126" s="9"/>
      <c r="G1126" s="9" t="s">
        <v>880</v>
      </c>
      <c r="H1126" s="9"/>
      <c r="I1126" s="8">
        <v>1933.0</v>
      </c>
      <c r="J1126" s="9" t="s">
        <v>881</v>
      </c>
      <c r="K1126" s="9"/>
      <c r="L1126" s="9"/>
      <c r="M1126" s="9" t="s">
        <v>3291</v>
      </c>
      <c r="N1126" s="9" t="s">
        <v>35</v>
      </c>
      <c r="O1126" s="9" t="s">
        <v>3292</v>
      </c>
      <c r="P1126" s="10" t="s">
        <v>1298</v>
      </c>
    </row>
    <row r="1127">
      <c r="A1127" s="18" t="s">
        <v>794</v>
      </c>
      <c r="B1127" s="8">
        <v>2312.0</v>
      </c>
      <c r="C1127" s="8">
        <v>1863515.0</v>
      </c>
      <c r="D1127" s="8">
        <v>1865470.0</v>
      </c>
      <c r="E1127" s="9" t="s">
        <v>879</v>
      </c>
      <c r="F1127" s="9"/>
      <c r="G1127" s="9" t="s">
        <v>880</v>
      </c>
      <c r="H1127" s="9"/>
      <c r="I1127" s="8">
        <v>1933.0</v>
      </c>
      <c r="J1127" s="9" t="s">
        <v>881</v>
      </c>
      <c r="K1127" s="9"/>
      <c r="L1127" s="9"/>
      <c r="M1127" s="9"/>
      <c r="N1127" s="9" t="s">
        <v>35</v>
      </c>
      <c r="O1127" s="9" t="s">
        <v>3293</v>
      </c>
      <c r="P1127" s="9" t="s">
        <v>1296</v>
      </c>
    </row>
    <row r="1128">
      <c r="A1128" s="18" t="s">
        <v>794</v>
      </c>
      <c r="B1128" s="8">
        <v>2317.0</v>
      </c>
      <c r="C1128" s="8">
        <v>1879260.0</v>
      </c>
      <c r="D1128" s="8">
        <v>1880250.0</v>
      </c>
      <c r="E1128" s="9" t="s">
        <v>879</v>
      </c>
      <c r="F1128" s="9"/>
      <c r="G1128" s="9" t="s">
        <v>880</v>
      </c>
      <c r="H1128" s="9"/>
      <c r="I1128" s="8">
        <v>1933.0</v>
      </c>
      <c r="J1128" s="9" t="s">
        <v>881</v>
      </c>
      <c r="K1128" s="9"/>
      <c r="L1128" s="9"/>
      <c r="M1128" s="9"/>
      <c r="N1128" s="9" t="s">
        <v>35</v>
      </c>
      <c r="O1128" s="9" t="s">
        <v>3294</v>
      </c>
      <c r="P1128" s="9" t="s">
        <v>1296</v>
      </c>
    </row>
    <row r="1129">
      <c r="A1129" s="18" t="s">
        <v>794</v>
      </c>
      <c r="B1129" s="8">
        <v>2322.0</v>
      </c>
      <c r="C1129" s="8">
        <v>1888500.0</v>
      </c>
      <c r="D1129" s="8">
        <v>1889860.0</v>
      </c>
      <c r="E1129" s="9" t="s">
        <v>879</v>
      </c>
      <c r="F1129" s="9"/>
      <c r="G1129" s="9" t="s">
        <v>880</v>
      </c>
      <c r="H1129" s="9"/>
      <c r="I1129" s="8">
        <v>1933.0</v>
      </c>
      <c r="J1129" s="9" t="s">
        <v>881</v>
      </c>
      <c r="K1129" s="9"/>
      <c r="L1129" s="9"/>
      <c r="M1129" s="9" t="s">
        <v>3295</v>
      </c>
      <c r="N1129" s="9" t="s">
        <v>35</v>
      </c>
      <c r="O1129" s="9" t="s">
        <v>3296</v>
      </c>
      <c r="P1129" s="9" t="s">
        <v>1296</v>
      </c>
    </row>
    <row r="1130">
      <c r="A1130" s="18" t="s">
        <v>794</v>
      </c>
      <c r="B1130" s="8">
        <v>2334.0</v>
      </c>
      <c r="C1130" s="8">
        <v>1917760.0</v>
      </c>
      <c r="D1130" s="8">
        <v>1919450.0</v>
      </c>
      <c r="E1130" s="9" t="s">
        <v>879</v>
      </c>
      <c r="F1130" s="9"/>
      <c r="G1130" s="9" t="s">
        <v>880</v>
      </c>
      <c r="H1130" s="9"/>
      <c r="I1130" s="8">
        <v>1933.0</v>
      </c>
      <c r="J1130" s="9" t="s">
        <v>881</v>
      </c>
      <c r="K1130" s="9"/>
      <c r="L1130" s="9"/>
      <c r="M1130" s="9" t="s">
        <v>3297</v>
      </c>
      <c r="N1130" s="9" t="s">
        <v>35</v>
      </c>
      <c r="O1130" s="9" t="s">
        <v>3298</v>
      </c>
      <c r="P1130" s="9" t="s">
        <v>1316</v>
      </c>
    </row>
    <row r="1131">
      <c r="A1131" s="18" t="s">
        <v>794</v>
      </c>
      <c r="B1131" s="8">
        <v>2337.0</v>
      </c>
      <c r="C1131" s="8">
        <v>1922320.0</v>
      </c>
      <c r="D1131" s="8">
        <v>1924670.0</v>
      </c>
      <c r="E1131" s="9" t="s">
        <v>879</v>
      </c>
      <c r="F1131" s="9"/>
      <c r="G1131" s="9" t="s">
        <v>880</v>
      </c>
      <c r="H1131" s="9"/>
      <c r="I1131" s="8">
        <v>1933.0</v>
      </c>
      <c r="J1131" s="9" t="s">
        <v>881</v>
      </c>
      <c r="K1131" s="9"/>
      <c r="L1131" s="9"/>
      <c r="M1131" s="9" t="s">
        <v>3299</v>
      </c>
      <c r="N1131" s="9" t="s">
        <v>35</v>
      </c>
      <c r="O1131" s="9" t="s">
        <v>3300</v>
      </c>
      <c r="P1131" s="9" t="s">
        <v>1300</v>
      </c>
    </row>
    <row r="1132">
      <c r="A1132" s="18" t="s">
        <v>794</v>
      </c>
      <c r="B1132" s="8">
        <v>2341.0</v>
      </c>
      <c r="C1132" s="8">
        <v>1937990.0</v>
      </c>
      <c r="D1132" s="8">
        <v>1940470.0</v>
      </c>
      <c r="E1132" s="9" t="s">
        <v>879</v>
      </c>
      <c r="F1132" s="9"/>
      <c r="G1132" s="9" t="s">
        <v>880</v>
      </c>
      <c r="H1132" s="9"/>
      <c r="I1132" s="8">
        <v>1933.0</v>
      </c>
      <c r="J1132" s="9" t="s">
        <v>881</v>
      </c>
      <c r="K1132" s="9"/>
      <c r="L1132" s="9"/>
      <c r="M1132" s="9" t="s">
        <v>3301</v>
      </c>
      <c r="N1132" s="9" t="s">
        <v>35</v>
      </c>
      <c r="O1132" s="9" t="s">
        <v>3302</v>
      </c>
      <c r="P1132" s="9" t="s">
        <v>1388</v>
      </c>
    </row>
    <row r="1133">
      <c r="A1133" s="18" t="s">
        <v>794</v>
      </c>
      <c r="B1133" s="8">
        <v>2375.0</v>
      </c>
      <c r="C1133" s="8">
        <v>2056600.0</v>
      </c>
      <c r="D1133" s="8">
        <v>2060895.0</v>
      </c>
      <c r="E1133" s="9" t="s">
        <v>879</v>
      </c>
      <c r="F1133" s="9"/>
      <c r="G1133" s="9" t="s">
        <v>880</v>
      </c>
      <c r="H1133" s="9"/>
      <c r="I1133" s="8">
        <v>1933.0</v>
      </c>
      <c r="J1133" s="9" t="s">
        <v>881</v>
      </c>
      <c r="K1133" s="9"/>
      <c r="L1133" s="9"/>
      <c r="M1133" s="9" t="s">
        <v>3303</v>
      </c>
      <c r="N1133" s="9" t="s">
        <v>35</v>
      </c>
      <c r="O1133" s="9" t="s">
        <v>3304</v>
      </c>
      <c r="P1133" s="9" t="s">
        <v>1300</v>
      </c>
    </row>
    <row r="1134">
      <c r="A1134" s="18" t="s">
        <v>794</v>
      </c>
      <c r="B1134" s="8">
        <v>2395.0</v>
      </c>
      <c r="C1134" s="8">
        <v>2113300.0</v>
      </c>
      <c r="D1134" s="8">
        <v>2115150.0</v>
      </c>
      <c r="E1134" s="9" t="s">
        <v>879</v>
      </c>
      <c r="F1134" s="9"/>
      <c r="G1134" s="9" t="s">
        <v>880</v>
      </c>
      <c r="H1134" s="9"/>
      <c r="I1134" s="8">
        <v>1933.0</v>
      </c>
      <c r="J1134" s="9" t="s">
        <v>881</v>
      </c>
      <c r="K1134" s="9"/>
      <c r="L1134" s="9"/>
      <c r="M1134" s="9" t="s">
        <v>3305</v>
      </c>
      <c r="N1134" s="9" t="s">
        <v>35</v>
      </c>
      <c r="O1134" s="9" t="s">
        <v>2413</v>
      </c>
      <c r="P1134" s="9" t="s">
        <v>1300</v>
      </c>
    </row>
    <row r="1135">
      <c r="A1135" s="18" t="s">
        <v>794</v>
      </c>
      <c r="B1135" s="8">
        <v>2404.0</v>
      </c>
      <c r="C1135" s="8">
        <v>2134830.0</v>
      </c>
      <c r="D1135" s="8">
        <v>2137820.0</v>
      </c>
      <c r="E1135" s="9" t="s">
        <v>879</v>
      </c>
      <c r="F1135" s="9"/>
      <c r="G1135" s="9" t="s">
        <v>880</v>
      </c>
      <c r="H1135" s="9"/>
      <c r="I1135" s="8">
        <v>1933.0</v>
      </c>
      <c r="J1135" s="9" t="s">
        <v>881</v>
      </c>
      <c r="K1135" s="9"/>
      <c r="L1135" s="9"/>
      <c r="M1135" s="9" t="s">
        <v>3306</v>
      </c>
      <c r="N1135" s="9" t="s">
        <v>35</v>
      </c>
      <c r="O1135" s="9" t="s">
        <v>3307</v>
      </c>
      <c r="P1135" s="9" t="s">
        <v>1296</v>
      </c>
    </row>
    <row r="1136">
      <c r="A1136" s="18" t="s">
        <v>794</v>
      </c>
      <c r="B1136" s="8">
        <v>2410.0</v>
      </c>
      <c r="C1136" s="8">
        <v>2155000.0</v>
      </c>
      <c r="D1136" s="8">
        <v>2157210.0</v>
      </c>
      <c r="E1136" s="9" t="s">
        <v>879</v>
      </c>
      <c r="F1136" s="9"/>
      <c r="G1136" s="9"/>
      <c r="H1136" s="9"/>
      <c r="I1136" s="9"/>
      <c r="J1136" s="9"/>
      <c r="K1136" s="9"/>
      <c r="L1136" s="9"/>
      <c r="M1136" s="9" t="s">
        <v>3308</v>
      </c>
      <c r="N1136" s="9" t="s">
        <v>35</v>
      </c>
      <c r="O1136" s="9" t="s">
        <v>3309</v>
      </c>
      <c r="P1136" s="9" t="s">
        <v>1296</v>
      </c>
    </row>
    <row r="1137">
      <c r="A1137" s="18" t="s">
        <v>794</v>
      </c>
      <c r="B1137" s="8">
        <v>2416.0</v>
      </c>
      <c r="C1137" s="8">
        <v>2172085.0</v>
      </c>
      <c r="D1137" s="8">
        <v>2176185.0</v>
      </c>
      <c r="E1137" s="9" t="s">
        <v>879</v>
      </c>
      <c r="F1137" s="9"/>
      <c r="G1137" s="9" t="s">
        <v>880</v>
      </c>
      <c r="H1137" s="9"/>
      <c r="I1137" s="8">
        <v>1933.0</v>
      </c>
      <c r="J1137" s="9" t="s">
        <v>881</v>
      </c>
      <c r="K1137" s="9"/>
      <c r="L1137" s="9"/>
      <c r="M1137" s="9" t="s">
        <v>3310</v>
      </c>
      <c r="N1137" s="9" t="s">
        <v>35</v>
      </c>
      <c r="O1137" s="9" t="s">
        <v>3311</v>
      </c>
      <c r="P1137" s="9" t="s">
        <v>1300</v>
      </c>
    </row>
    <row r="1138">
      <c r="A1138" s="18" t="s">
        <v>794</v>
      </c>
      <c r="B1138" s="8">
        <v>2438.0</v>
      </c>
      <c r="C1138" s="8">
        <v>2226100.0</v>
      </c>
      <c r="D1138" s="8">
        <v>2230680.0</v>
      </c>
      <c r="E1138" s="9" t="s">
        <v>879</v>
      </c>
      <c r="F1138" s="9"/>
      <c r="G1138" s="9"/>
      <c r="H1138" s="9"/>
      <c r="I1138" s="9"/>
      <c r="J1138" s="9"/>
      <c r="K1138" s="9"/>
      <c r="L1138" s="9"/>
      <c r="M1138" s="9" t="s">
        <v>3312</v>
      </c>
      <c r="N1138" s="9" t="s">
        <v>35</v>
      </c>
      <c r="O1138" s="9" t="s">
        <v>3313</v>
      </c>
      <c r="P1138" s="9" t="s">
        <v>1300</v>
      </c>
    </row>
    <row r="1139">
      <c r="A1139" s="18" t="s">
        <v>794</v>
      </c>
      <c r="B1139" s="8">
        <v>2438.0</v>
      </c>
      <c r="C1139" s="8">
        <v>2226100.0</v>
      </c>
      <c r="D1139" s="8">
        <v>2230680.0</v>
      </c>
      <c r="E1139" s="9" t="s">
        <v>879</v>
      </c>
      <c r="F1139" s="9"/>
      <c r="G1139" s="9"/>
      <c r="H1139" s="9"/>
      <c r="I1139" s="9"/>
      <c r="J1139" s="9"/>
      <c r="K1139" s="9"/>
      <c r="L1139" s="9"/>
      <c r="M1139" s="9" t="s">
        <v>3314</v>
      </c>
      <c r="N1139" s="9" t="s">
        <v>35</v>
      </c>
      <c r="O1139" s="9" t="s">
        <v>3315</v>
      </c>
      <c r="P1139" s="10" t="s">
        <v>1298</v>
      </c>
    </row>
    <row r="1140">
      <c r="A1140" s="18" t="s">
        <v>794</v>
      </c>
      <c r="B1140" s="8">
        <v>2458.0</v>
      </c>
      <c r="C1140" s="8">
        <v>2286990.0</v>
      </c>
      <c r="D1140" s="8">
        <v>2292690.0</v>
      </c>
      <c r="E1140" s="9" t="s">
        <v>879</v>
      </c>
      <c r="F1140" s="9"/>
      <c r="G1140" s="9" t="s">
        <v>880</v>
      </c>
      <c r="H1140" s="9"/>
      <c r="I1140" s="8">
        <v>1933.0</v>
      </c>
      <c r="J1140" s="9" t="s">
        <v>881</v>
      </c>
      <c r="K1140" s="9"/>
      <c r="L1140" s="9"/>
      <c r="M1140" s="9" t="s">
        <v>3316</v>
      </c>
      <c r="N1140" s="9" t="s">
        <v>35</v>
      </c>
      <c r="O1140" s="9" t="s">
        <v>3317</v>
      </c>
      <c r="P1140" s="10" t="s">
        <v>1298</v>
      </c>
    </row>
    <row r="1141">
      <c r="A1141" s="18" t="s">
        <v>794</v>
      </c>
      <c r="B1141" s="8">
        <v>2461.0</v>
      </c>
      <c r="C1141" s="8">
        <v>2301190.0</v>
      </c>
      <c r="D1141" s="8">
        <v>2304120.0</v>
      </c>
      <c r="E1141" s="9" t="s">
        <v>879</v>
      </c>
      <c r="F1141" s="9"/>
      <c r="G1141" s="9" t="s">
        <v>880</v>
      </c>
      <c r="H1141" s="9"/>
      <c r="I1141" s="8">
        <v>1933.0</v>
      </c>
      <c r="J1141" s="9" t="s">
        <v>881</v>
      </c>
      <c r="K1141" s="9"/>
      <c r="L1141" s="9"/>
      <c r="M1141" s="9" t="s">
        <v>3318</v>
      </c>
      <c r="N1141" s="9" t="s">
        <v>35</v>
      </c>
      <c r="O1141" s="9" t="s">
        <v>3319</v>
      </c>
      <c r="P1141" s="9" t="s">
        <v>1947</v>
      </c>
    </row>
    <row r="1142">
      <c r="A1142" s="18" t="s">
        <v>794</v>
      </c>
      <c r="B1142" s="8">
        <v>2474.0</v>
      </c>
      <c r="C1142" s="8">
        <v>2332755.0</v>
      </c>
      <c r="D1142" s="8">
        <v>2335095.0</v>
      </c>
      <c r="E1142" s="9" t="s">
        <v>879</v>
      </c>
      <c r="F1142" s="9"/>
      <c r="G1142" s="9"/>
      <c r="H1142" s="9"/>
      <c r="I1142" s="9"/>
      <c r="J1142" s="9"/>
      <c r="K1142" s="9"/>
      <c r="L1142" s="9"/>
      <c r="M1142" s="9" t="s">
        <v>3320</v>
      </c>
      <c r="N1142" s="9" t="s">
        <v>35</v>
      </c>
      <c r="O1142" s="9" t="s">
        <v>3321</v>
      </c>
      <c r="P1142" s="9" t="s">
        <v>1296</v>
      </c>
    </row>
    <row r="1143">
      <c r="A1143" s="18" t="s">
        <v>794</v>
      </c>
      <c r="B1143" s="8">
        <v>2510.0</v>
      </c>
      <c r="C1143" s="8">
        <v>2453390.0</v>
      </c>
      <c r="D1143" s="8">
        <v>2459000.0</v>
      </c>
      <c r="E1143" s="9" t="s">
        <v>879</v>
      </c>
      <c r="F1143" s="9"/>
      <c r="G1143" s="9" t="s">
        <v>880</v>
      </c>
      <c r="H1143" s="9"/>
      <c r="I1143" s="8">
        <v>1933.0</v>
      </c>
      <c r="J1143" s="9" t="s">
        <v>881</v>
      </c>
      <c r="K1143" s="9"/>
      <c r="L1143" s="9"/>
      <c r="M1143" s="9" t="s">
        <v>3322</v>
      </c>
      <c r="N1143" s="9" t="s">
        <v>35</v>
      </c>
      <c r="O1143" s="9" t="s">
        <v>3323</v>
      </c>
      <c r="P1143" s="9" t="s">
        <v>1296</v>
      </c>
    </row>
    <row r="1144">
      <c r="A1144" s="18" t="s">
        <v>794</v>
      </c>
      <c r="B1144" s="8">
        <v>2578.0</v>
      </c>
      <c r="C1144" s="8">
        <v>2705855.0</v>
      </c>
      <c r="D1144" s="8">
        <v>2707995.0</v>
      </c>
      <c r="E1144" s="9" t="s">
        <v>879</v>
      </c>
      <c r="F1144" s="9"/>
      <c r="G1144" s="9" t="s">
        <v>880</v>
      </c>
      <c r="H1144" s="9"/>
      <c r="I1144" s="8">
        <v>1933.0</v>
      </c>
      <c r="J1144" s="9" t="s">
        <v>881</v>
      </c>
      <c r="K1144" s="9"/>
      <c r="L1144" s="9"/>
      <c r="M1144" s="9" t="s">
        <v>3324</v>
      </c>
      <c r="N1144" s="9" t="s">
        <v>35</v>
      </c>
      <c r="O1144" s="9" t="s">
        <v>3325</v>
      </c>
      <c r="P1144" s="9" t="s">
        <v>1300</v>
      </c>
    </row>
    <row r="1145">
      <c r="A1145" s="18" t="s">
        <v>794</v>
      </c>
      <c r="B1145" s="8">
        <v>2620.0</v>
      </c>
      <c r="C1145" s="8">
        <v>2852695.0</v>
      </c>
      <c r="D1145" s="8">
        <v>2857915.0</v>
      </c>
      <c r="E1145" s="9" t="s">
        <v>879</v>
      </c>
      <c r="F1145" s="9"/>
      <c r="G1145" s="9" t="s">
        <v>880</v>
      </c>
      <c r="H1145" s="9"/>
      <c r="I1145" s="8">
        <v>1933.0</v>
      </c>
      <c r="J1145" s="9" t="s">
        <v>881</v>
      </c>
      <c r="K1145" s="9"/>
      <c r="L1145" s="9"/>
      <c r="M1145" s="9" t="s">
        <v>3326</v>
      </c>
      <c r="N1145" s="9" t="s">
        <v>35</v>
      </c>
      <c r="O1145" s="9" t="s">
        <v>3327</v>
      </c>
      <c r="P1145" s="9" t="s">
        <v>1296</v>
      </c>
    </row>
    <row r="1146">
      <c r="A1146" s="18" t="s">
        <v>794</v>
      </c>
      <c r="B1146" s="8">
        <v>2633.0</v>
      </c>
      <c r="C1146" s="8">
        <v>2905910.0</v>
      </c>
      <c r="D1146" s="8">
        <v>2908610.0</v>
      </c>
      <c r="E1146" s="9" t="s">
        <v>879</v>
      </c>
      <c r="F1146" s="9"/>
      <c r="G1146" s="9" t="s">
        <v>880</v>
      </c>
      <c r="H1146" s="9"/>
      <c r="I1146" s="8">
        <v>1933.0</v>
      </c>
      <c r="J1146" s="9" t="s">
        <v>881</v>
      </c>
      <c r="K1146" s="9"/>
      <c r="L1146" s="9"/>
      <c r="M1146" s="9" t="s">
        <v>3328</v>
      </c>
      <c r="N1146" s="9" t="s">
        <v>35</v>
      </c>
      <c r="O1146" s="9" t="s">
        <v>1587</v>
      </c>
      <c r="P1146" s="9" t="s">
        <v>1296</v>
      </c>
    </row>
    <row r="1147">
      <c r="A1147" s="18" t="s">
        <v>794</v>
      </c>
      <c r="B1147" s="8">
        <v>2659.0</v>
      </c>
      <c r="C1147" s="8">
        <v>2999385.0</v>
      </c>
      <c r="D1147" s="8">
        <v>3000225.0</v>
      </c>
      <c r="E1147" s="9" t="s">
        <v>879</v>
      </c>
      <c r="F1147" s="9"/>
      <c r="G1147" s="9" t="s">
        <v>880</v>
      </c>
      <c r="H1147" s="9"/>
      <c r="I1147" s="8">
        <v>1933.0</v>
      </c>
      <c r="J1147" s="9" t="s">
        <v>881</v>
      </c>
      <c r="K1147" s="9"/>
      <c r="L1147" s="9"/>
      <c r="M1147" s="9" t="s">
        <v>3329</v>
      </c>
      <c r="N1147" s="9" t="s">
        <v>35</v>
      </c>
      <c r="O1147" s="9"/>
      <c r="P1147" s="9" t="s">
        <v>1300</v>
      </c>
    </row>
    <row r="1148">
      <c r="A1148" s="18" t="s">
        <v>794</v>
      </c>
      <c r="B1148" s="8">
        <v>2661.0</v>
      </c>
      <c r="C1148" s="8">
        <v>3003150.0</v>
      </c>
      <c r="D1148" s="8">
        <v>3004060.0</v>
      </c>
      <c r="E1148" s="9" t="s">
        <v>879</v>
      </c>
      <c r="F1148" s="9"/>
      <c r="G1148" s="9" t="s">
        <v>880</v>
      </c>
      <c r="H1148" s="9"/>
      <c r="I1148" s="8">
        <v>1933.0</v>
      </c>
      <c r="J1148" s="9" t="s">
        <v>881</v>
      </c>
      <c r="K1148" s="9"/>
      <c r="L1148" s="9"/>
      <c r="M1148" s="9"/>
      <c r="N1148" s="9" t="s">
        <v>35</v>
      </c>
      <c r="O1148" s="9" t="s">
        <v>3330</v>
      </c>
      <c r="P1148" s="9" t="s">
        <v>2275</v>
      </c>
    </row>
    <row r="1149">
      <c r="A1149" s="18" t="s">
        <v>794</v>
      </c>
      <c r="B1149" s="8">
        <v>2702.0</v>
      </c>
      <c r="C1149" s="8">
        <v>3095230.0</v>
      </c>
      <c r="D1149" s="8">
        <v>3097770.0</v>
      </c>
      <c r="E1149" s="9" t="s">
        <v>879</v>
      </c>
      <c r="F1149" s="9"/>
      <c r="G1149" s="9"/>
      <c r="H1149" s="9"/>
      <c r="I1149" s="9"/>
      <c r="J1149" s="9"/>
      <c r="K1149" s="9"/>
      <c r="L1149" s="9"/>
      <c r="M1149" s="9" t="s">
        <v>3331</v>
      </c>
      <c r="N1149" s="9" t="s">
        <v>35</v>
      </c>
      <c r="O1149" s="9" t="s">
        <v>1587</v>
      </c>
      <c r="P1149" s="9" t="s">
        <v>1296</v>
      </c>
    </row>
    <row r="1150">
      <c r="A1150" s="18" t="s">
        <v>794</v>
      </c>
      <c r="B1150" s="8">
        <v>2740.0</v>
      </c>
      <c r="C1150" s="8">
        <v>157389.0</v>
      </c>
      <c r="D1150" s="8">
        <v>159857.0</v>
      </c>
      <c r="E1150" s="9" t="s">
        <v>907</v>
      </c>
      <c r="F1150" s="9"/>
      <c r="G1150" s="9" t="s">
        <v>908</v>
      </c>
      <c r="H1150" s="9"/>
      <c r="I1150" s="8">
        <v>1972.0</v>
      </c>
      <c r="J1150" s="9" t="s">
        <v>346</v>
      </c>
      <c r="K1150" s="9"/>
      <c r="L1150" s="9"/>
      <c r="M1150" s="9" t="s">
        <v>3332</v>
      </c>
      <c r="N1150" s="9" t="s">
        <v>35</v>
      </c>
      <c r="O1150" s="9" t="s">
        <v>3333</v>
      </c>
      <c r="P1150" s="9" t="s">
        <v>1296</v>
      </c>
    </row>
    <row r="1151">
      <c r="A1151" s="18" t="s">
        <v>794</v>
      </c>
      <c r="B1151" s="8">
        <v>2773.0</v>
      </c>
      <c r="C1151" s="8">
        <v>306615.0</v>
      </c>
      <c r="D1151" s="8">
        <v>312336.0</v>
      </c>
      <c r="E1151" s="9" t="s">
        <v>907</v>
      </c>
      <c r="F1151" s="9"/>
      <c r="G1151" s="9" t="s">
        <v>908</v>
      </c>
      <c r="H1151" s="9"/>
      <c r="I1151" s="8">
        <v>1972.0</v>
      </c>
      <c r="J1151" s="9" t="s">
        <v>346</v>
      </c>
      <c r="K1151" s="9"/>
      <c r="L1151" s="9"/>
      <c r="M1151" s="9" t="s">
        <v>3334</v>
      </c>
      <c r="N1151" s="9" t="s">
        <v>35</v>
      </c>
      <c r="O1151" s="9" t="s">
        <v>3335</v>
      </c>
      <c r="P1151" s="9" t="s">
        <v>1296</v>
      </c>
    </row>
    <row r="1152">
      <c r="A1152" s="18" t="s">
        <v>794</v>
      </c>
      <c r="B1152" s="8">
        <v>2810.0</v>
      </c>
      <c r="C1152" s="8">
        <v>483375.0</v>
      </c>
      <c r="D1152" s="8">
        <v>487752.0</v>
      </c>
      <c r="E1152" s="9" t="s">
        <v>907</v>
      </c>
      <c r="F1152" s="9"/>
      <c r="G1152" s="9" t="s">
        <v>908</v>
      </c>
      <c r="H1152" s="9"/>
      <c r="I1152" s="8">
        <v>1972.0</v>
      </c>
      <c r="J1152" s="9" t="s">
        <v>346</v>
      </c>
      <c r="K1152" s="9"/>
      <c r="L1152" s="9"/>
      <c r="M1152" s="9" t="s">
        <v>3336</v>
      </c>
      <c r="N1152" s="9" t="s">
        <v>35</v>
      </c>
      <c r="O1152" s="9" t="s">
        <v>2528</v>
      </c>
      <c r="P1152" s="9" t="s">
        <v>1296</v>
      </c>
    </row>
    <row r="1153">
      <c r="A1153" s="18" t="s">
        <v>794</v>
      </c>
      <c r="B1153" s="8">
        <v>2830.0</v>
      </c>
      <c r="C1153" s="8">
        <v>566653.0</v>
      </c>
      <c r="D1153" s="8">
        <v>573278.0</v>
      </c>
      <c r="E1153" s="9" t="s">
        <v>907</v>
      </c>
      <c r="F1153" s="9"/>
      <c r="G1153" s="9" t="s">
        <v>908</v>
      </c>
      <c r="H1153" s="9"/>
      <c r="I1153" s="8">
        <v>1972.0</v>
      </c>
      <c r="J1153" s="9" t="s">
        <v>346</v>
      </c>
      <c r="K1153" s="9"/>
      <c r="L1153" s="9"/>
      <c r="M1153" s="9" t="s">
        <v>3337</v>
      </c>
      <c r="N1153" s="9" t="s">
        <v>35</v>
      </c>
      <c r="O1153" s="9" t="s">
        <v>3338</v>
      </c>
      <c r="P1153" s="9" t="s">
        <v>1296</v>
      </c>
    </row>
    <row r="1154">
      <c r="A1154" s="18" t="s">
        <v>794</v>
      </c>
      <c r="B1154" s="8">
        <v>2851.0</v>
      </c>
      <c r="C1154" s="8">
        <v>672798.0</v>
      </c>
      <c r="D1154" s="8">
        <v>677329.0</v>
      </c>
      <c r="E1154" s="9" t="s">
        <v>907</v>
      </c>
      <c r="F1154" s="9"/>
      <c r="G1154" s="9" t="s">
        <v>908</v>
      </c>
      <c r="H1154" s="9"/>
      <c r="I1154" s="8">
        <v>1972.0</v>
      </c>
      <c r="J1154" s="9" t="s">
        <v>346</v>
      </c>
      <c r="K1154" s="9"/>
      <c r="L1154" s="9"/>
      <c r="M1154" s="9" t="s">
        <v>3339</v>
      </c>
      <c r="N1154" s="9" t="s">
        <v>35</v>
      </c>
      <c r="O1154" s="9" t="s">
        <v>3340</v>
      </c>
      <c r="P1154" s="9" t="s">
        <v>1388</v>
      </c>
    </row>
    <row r="1155">
      <c r="A1155" s="18" t="s">
        <v>794</v>
      </c>
      <c r="B1155" s="8">
        <v>2885.0</v>
      </c>
      <c r="C1155" s="8">
        <v>841756.0</v>
      </c>
      <c r="D1155" s="8">
        <v>847308.0</v>
      </c>
      <c r="E1155" s="9" t="s">
        <v>907</v>
      </c>
      <c r="F1155" s="9"/>
      <c r="G1155" s="9" t="s">
        <v>908</v>
      </c>
      <c r="H1155" s="9"/>
      <c r="I1155" s="8">
        <v>1972.0</v>
      </c>
      <c r="J1155" s="9" t="s">
        <v>346</v>
      </c>
      <c r="K1155" s="9"/>
      <c r="L1155" s="9"/>
      <c r="M1155" s="9" t="s">
        <v>3341</v>
      </c>
      <c r="N1155" s="9" t="s">
        <v>35</v>
      </c>
      <c r="O1155" s="9" t="s">
        <v>3342</v>
      </c>
      <c r="P1155" s="9" t="s">
        <v>1316</v>
      </c>
    </row>
    <row r="1156">
      <c r="A1156" s="18" t="s">
        <v>794</v>
      </c>
      <c r="B1156" s="8">
        <v>2885.0</v>
      </c>
      <c r="C1156" s="8">
        <v>841756.0</v>
      </c>
      <c r="D1156" s="8">
        <v>847308.0</v>
      </c>
      <c r="E1156" s="9" t="s">
        <v>907</v>
      </c>
      <c r="F1156" s="9"/>
      <c r="G1156" s="9" t="s">
        <v>908</v>
      </c>
      <c r="H1156" s="9"/>
      <c r="I1156" s="8">
        <v>1972.0</v>
      </c>
      <c r="J1156" s="9" t="s">
        <v>346</v>
      </c>
      <c r="K1156" s="9"/>
      <c r="L1156" s="9"/>
      <c r="M1156" s="9" t="s">
        <v>3343</v>
      </c>
      <c r="N1156" s="9" t="s">
        <v>35</v>
      </c>
      <c r="O1156" s="9" t="s">
        <v>3344</v>
      </c>
      <c r="P1156" s="9" t="s">
        <v>1316</v>
      </c>
    </row>
    <row r="1157">
      <c r="A1157" s="18" t="s">
        <v>794</v>
      </c>
      <c r="B1157" s="8">
        <v>2885.0</v>
      </c>
      <c r="C1157" s="8">
        <v>841756.0</v>
      </c>
      <c r="D1157" s="8">
        <v>847308.0</v>
      </c>
      <c r="E1157" s="9" t="s">
        <v>907</v>
      </c>
      <c r="F1157" s="9"/>
      <c r="G1157" s="9" t="s">
        <v>908</v>
      </c>
      <c r="H1157" s="9"/>
      <c r="I1157" s="8">
        <v>1972.0</v>
      </c>
      <c r="J1157" s="9" t="s">
        <v>346</v>
      </c>
      <c r="K1157" s="9"/>
      <c r="L1157" s="9"/>
      <c r="M1157" s="9" t="s">
        <v>3345</v>
      </c>
      <c r="N1157" s="9" t="s">
        <v>35</v>
      </c>
      <c r="O1157" s="9" t="s">
        <v>3346</v>
      </c>
      <c r="P1157" s="9" t="s">
        <v>1316</v>
      </c>
    </row>
    <row r="1158">
      <c r="A1158" s="18" t="s">
        <v>794</v>
      </c>
      <c r="B1158" s="8">
        <v>2904.0</v>
      </c>
      <c r="C1158" s="8">
        <v>910985.0</v>
      </c>
      <c r="D1158" s="8">
        <v>917900.0</v>
      </c>
      <c r="E1158" s="9" t="s">
        <v>907</v>
      </c>
      <c r="F1158" s="9"/>
      <c r="G1158" s="9" t="s">
        <v>908</v>
      </c>
      <c r="H1158" s="9"/>
      <c r="I1158" s="8">
        <v>1972.0</v>
      </c>
      <c r="J1158" s="9" t="s">
        <v>346</v>
      </c>
      <c r="K1158" s="9"/>
      <c r="L1158" s="9"/>
      <c r="M1158" s="9" t="s">
        <v>3347</v>
      </c>
      <c r="N1158" s="9" t="s">
        <v>35</v>
      </c>
      <c r="O1158" s="9" t="s">
        <v>3348</v>
      </c>
      <c r="P1158" s="9" t="s">
        <v>1316</v>
      </c>
    </row>
    <row r="1159">
      <c r="A1159" s="18" t="s">
        <v>794</v>
      </c>
      <c r="B1159" s="8">
        <v>2940.0</v>
      </c>
      <c r="C1159" s="8">
        <v>1075832.0</v>
      </c>
      <c r="D1159" s="8">
        <v>1079549.0</v>
      </c>
      <c r="E1159" s="9" t="s">
        <v>907</v>
      </c>
      <c r="F1159" s="9"/>
      <c r="G1159" s="9" t="s">
        <v>908</v>
      </c>
      <c r="H1159" s="9"/>
      <c r="I1159" s="8">
        <v>1972.0</v>
      </c>
      <c r="J1159" s="9" t="s">
        <v>346</v>
      </c>
      <c r="K1159" s="9"/>
      <c r="L1159" s="9"/>
      <c r="M1159" s="9" t="s">
        <v>3349</v>
      </c>
      <c r="N1159" s="9" t="s">
        <v>35</v>
      </c>
      <c r="O1159" s="9" t="s">
        <v>3350</v>
      </c>
      <c r="P1159" s="9" t="s">
        <v>1296</v>
      </c>
    </row>
    <row r="1160">
      <c r="A1160" s="18" t="s">
        <v>794</v>
      </c>
      <c r="B1160" s="8">
        <v>2969.0</v>
      </c>
      <c r="C1160" s="8">
        <v>1235651.0</v>
      </c>
      <c r="D1160" s="8">
        <v>1240976.0</v>
      </c>
      <c r="E1160" s="9" t="s">
        <v>907</v>
      </c>
      <c r="F1160" s="9"/>
      <c r="G1160" s="9" t="s">
        <v>908</v>
      </c>
      <c r="H1160" s="9"/>
      <c r="I1160" s="8">
        <v>1972.0</v>
      </c>
      <c r="J1160" s="9" t="s">
        <v>346</v>
      </c>
      <c r="K1160" s="9"/>
      <c r="L1160" s="9"/>
      <c r="M1160" s="9" t="s">
        <v>3351</v>
      </c>
      <c r="N1160" s="9" t="s">
        <v>35</v>
      </c>
      <c r="O1160" s="9" t="s">
        <v>3352</v>
      </c>
      <c r="P1160" s="9" t="s">
        <v>1296</v>
      </c>
    </row>
    <row r="1161">
      <c r="A1161" s="18" t="s">
        <v>794</v>
      </c>
      <c r="B1161" s="8">
        <v>2970.0</v>
      </c>
      <c r="C1161" s="8">
        <v>1240976.0</v>
      </c>
      <c r="D1161" s="8">
        <v>1246049.0</v>
      </c>
      <c r="E1161" s="9" t="s">
        <v>907</v>
      </c>
      <c r="F1161" s="9"/>
      <c r="G1161" s="9" t="s">
        <v>908</v>
      </c>
      <c r="H1161" s="9"/>
      <c r="I1161" s="8">
        <v>1972.0</v>
      </c>
      <c r="J1161" s="9" t="s">
        <v>346</v>
      </c>
      <c r="K1161" s="9"/>
      <c r="L1161" s="9"/>
      <c r="M1161" s="9" t="s">
        <v>3353</v>
      </c>
      <c r="N1161" s="9" t="s">
        <v>35</v>
      </c>
      <c r="O1161" s="9" t="s">
        <v>3354</v>
      </c>
      <c r="P1161" s="9" t="s">
        <v>1296</v>
      </c>
    </row>
    <row r="1162">
      <c r="A1162" s="18" t="s">
        <v>794</v>
      </c>
      <c r="B1162" s="8">
        <v>2978.0</v>
      </c>
      <c r="C1162" s="8">
        <v>1271002.0</v>
      </c>
      <c r="D1162" s="8">
        <v>1278138.0</v>
      </c>
      <c r="E1162" s="9" t="s">
        <v>907</v>
      </c>
      <c r="F1162" s="9"/>
      <c r="G1162" s="9" t="s">
        <v>908</v>
      </c>
      <c r="H1162" s="9"/>
      <c r="I1162" s="8">
        <v>1972.0</v>
      </c>
      <c r="J1162" s="9" t="s">
        <v>346</v>
      </c>
      <c r="K1162" s="9"/>
      <c r="L1162" s="9"/>
      <c r="M1162" s="9" t="s">
        <v>3355</v>
      </c>
      <c r="N1162" s="9" t="s">
        <v>35</v>
      </c>
      <c r="O1162" s="9" t="s">
        <v>3356</v>
      </c>
      <c r="P1162" s="9" t="s">
        <v>1296</v>
      </c>
    </row>
    <row r="1163">
      <c r="A1163" s="18" t="s">
        <v>794</v>
      </c>
      <c r="B1163" s="8">
        <v>2978.0</v>
      </c>
      <c r="C1163" s="8">
        <v>1271002.0</v>
      </c>
      <c r="D1163" s="8">
        <v>1278138.0</v>
      </c>
      <c r="E1163" s="9" t="s">
        <v>907</v>
      </c>
      <c r="F1163" s="9"/>
      <c r="G1163" s="9" t="s">
        <v>908</v>
      </c>
      <c r="H1163" s="9"/>
      <c r="I1163" s="8">
        <v>1972.0</v>
      </c>
      <c r="J1163" s="9" t="s">
        <v>346</v>
      </c>
      <c r="K1163" s="9"/>
      <c r="L1163" s="9"/>
      <c r="M1163" s="9" t="s">
        <v>3357</v>
      </c>
      <c r="N1163" s="9" t="s">
        <v>35</v>
      </c>
      <c r="O1163" s="9" t="s">
        <v>3358</v>
      </c>
      <c r="P1163" s="9" t="s">
        <v>1296</v>
      </c>
    </row>
    <row r="1164">
      <c r="A1164" s="18" t="s">
        <v>794</v>
      </c>
      <c r="B1164" s="8">
        <v>3002.0</v>
      </c>
      <c r="C1164" s="8">
        <v>1380130.0</v>
      </c>
      <c r="D1164" s="8">
        <v>1390192.0</v>
      </c>
      <c r="E1164" s="9" t="s">
        <v>907</v>
      </c>
      <c r="F1164" s="9"/>
      <c r="G1164" s="9" t="s">
        <v>908</v>
      </c>
      <c r="H1164" s="9"/>
      <c r="I1164" s="8">
        <v>1972.0</v>
      </c>
      <c r="J1164" s="9" t="s">
        <v>346</v>
      </c>
      <c r="K1164" s="9"/>
      <c r="L1164" s="9"/>
      <c r="M1164" s="9" t="s">
        <v>3359</v>
      </c>
      <c r="N1164" s="9" t="s">
        <v>35</v>
      </c>
      <c r="O1164" s="9" t="s">
        <v>3360</v>
      </c>
      <c r="P1164" s="10" t="s">
        <v>1298</v>
      </c>
    </row>
    <row r="1165">
      <c r="A1165" s="18" t="s">
        <v>794</v>
      </c>
      <c r="B1165" s="8">
        <v>3048.0</v>
      </c>
      <c r="C1165" s="8">
        <v>1586530.0</v>
      </c>
      <c r="D1165" s="8">
        <v>1594786.0</v>
      </c>
      <c r="E1165" s="9" t="s">
        <v>907</v>
      </c>
      <c r="F1165" s="9"/>
      <c r="G1165" s="9" t="s">
        <v>908</v>
      </c>
      <c r="H1165" s="9"/>
      <c r="I1165" s="8">
        <v>1972.0</v>
      </c>
      <c r="J1165" s="9" t="s">
        <v>346</v>
      </c>
      <c r="K1165" s="9"/>
      <c r="L1165" s="9"/>
      <c r="M1165" s="9" t="s">
        <v>3361</v>
      </c>
      <c r="N1165" s="9" t="s">
        <v>35</v>
      </c>
      <c r="O1165" s="9" t="s">
        <v>3362</v>
      </c>
      <c r="P1165" s="9" t="s">
        <v>1296</v>
      </c>
    </row>
    <row r="1166">
      <c r="A1166" s="18" t="s">
        <v>794</v>
      </c>
      <c r="B1166" s="8">
        <v>3051.0</v>
      </c>
      <c r="C1166" s="8">
        <v>1608660.0</v>
      </c>
      <c r="D1166" s="8">
        <v>1616731.0</v>
      </c>
      <c r="E1166" s="9" t="s">
        <v>907</v>
      </c>
      <c r="F1166" s="9"/>
      <c r="G1166" s="9" t="s">
        <v>908</v>
      </c>
      <c r="H1166" s="9"/>
      <c r="I1166" s="8">
        <v>1972.0</v>
      </c>
      <c r="J1166" s="9" t="s">
        <v>346</v>
      </c>
      <c r="K1166" s="9"/>
      <c r="L1166" s="9"/>
      <c r="M1166" s="9" t="s">
        <v>3363</v>
      </c>
      <c r="N1166" s="9" t="s">
        <v>35</v>
      </c>
      <c r="O1166" s="9" t="s">
        <v>3364</v>
      </c>
      <c r="P1166" s="9" t="s">
        <v>1296</v>
      </c>
    </row>
    <row r="1167">
      <c r="A1167" s="18" t="s">
        <v>794</v>
      </c>
      <c r="B1167" s="8">
        <v>3071.0</v>
      </c>
      <c r="C1167" s="8">
        <v>1696063.0</v>
      </c>
      <c r="D1167" s="8">
        <v>1699472.0</v>
      </c>
      <c r="E1167" s="9" t="s">
        <v>907</v>
      </c>
      <c r="F1167" s="9"/>
      <c r="G1167" s="9" t="s">
        <v>908</v>
      </c>
      <c r="H1167" s="9"/>
      <c r="I1167" s="8">
        <v>1972.0</v>
      </c>
      <c r="J1167" s="9" t="s">
        <v>346</v>
      </c>
      <c r="K1167" s="9"/>
      <c r="L1167" s="9"/>
      <c r="M1167" s="9" t="s">
        <v>3365</v>
      </c>
      <c r="N1167" s="9" t="s">
        <v>35</v>
      </c>
      <c r="O1167" s="9" t="s">
        <v>3366</v>
      </c>
      <c r="P1167" s="9" t="s">
        <v>1316</v>
      </c>
    </row>
    <row r="1168">
      <c r="A1168" s="18" t="s">
        <v>794</v>
      </c>
      <c r="B1168" s="8">
        <v>3102.0</v>
      </c>
      <c r="C1168" s="8">
        <v>1837302.0</v>
      </c>
      <c r="D1168" s="8">
        <v>1841157.0</v>
      </c>
      <c r="E1168" s="9" t="s">
        <v>907</v>
      </c>
      <c r="F1168" s="9"/>
      <c r="G1168" s="9" t="s">
        <v>908</v>
      </c>
      <c r="H1168" s="9"/>
      <c r="I1168" s="8">
        <v>1972.0</v>
      </c>
      <c r="J1168" s="9" t="s">
        <v>346</v>
      </c>
      <c r="K1168" s="9"/>
      <c r="L1168" s="9"/>
      <c r="M1168" s="9" t="s">
        <v>3367</v>
      </c>
      <c r="N1168" s="9" t="s">
        <v>35</v>
      </c>
      <c r="O1168" s="9" t="s">
        <v>3368</v>
      </c>
      <c r="P1168" s="9" t="s">
        <v>1296</v>
      </c>
    </row>
    <row r="1169">
      <c r="A1169" s="18" t="s">
        <v>794</v>
      </c>
      <c r="B1169" s="8">
        <v>3111.0</v>
      </c>
      <c r="C1169" s="8">
        <v>1892693.0</v>
      </c>
      <c r="D1169" s="8">
        <v>1895198.0</v>
      </c>
      <c r="E1169" s="9" t="s">
        <v>907</v>
      </c>
      <c r="F1169" s="9"/>
      <c r="G1169" s="9" t="s">
        <v>908</v>
      </c>
      <c r="H1169" s="9"/>
      <c r="I1169" s="8">
        <v>1972.0</v>
      </c>
      <c r="J1169" s="9" t="s">
        <v>346</v>
      </c>
      <c r="K1169" s="9"/>
      <c r="L1169" s="9"/>
      <c r="M1169" s="9" t="s">
        <v>3369</v>
      </c>
      <c r="N1169" s="9" t="s">
        <v>35</v>
      </c>
      <c r="O1169" s="9" t="s">
        <v>3370</v>
      </c>
      <c r="P1169" s="10" t="s">
        <v>1298</v>
      </c>
    </row>
    <row r="1170">
      <c r="A1170" s="18" t="s">
        <v>794</v>
      </c>
      <c r="B1170" s="8">
        <v>3111.0</v>
      </c>
      <c r="C1170" s="8">
        <v>1892693.0</v>
      </c>
      <c r="D1170" s="8">
        <v>1895198.0</v>
      </c>
      <c r="E1170" s="9" t="s">
        <v>907</v>
      </c>
      <c r="F1170" s="9"/>
      <c r="G1170" s="9" t="s">
        <v>908</v>
      </c>
      <c r="H1170" s="9"/>
      <c r="I1170" s="8">
        <v>1972.0</v>
      </c>
      <c r="J1170" s="9" t="s">
        <v>346</v>
      </c>
      <c r="K1170" s="9"/>
      <c r="L1170" s="9"/>
      <c r="M1170" s="9" t="s">
        <v>3371</v>
      </c>
      <c r="N1170" s="9" t="s">
        <v>35</v>
      </c>
      <c r="O1170" s="9" t="s">
        <v>3372</v>
      </c>
      <c r="P1170" s="10" t="s">
        <v>1298</v>
      </c>
    </row>
    <row r="1171">
      <c r="A1171" s="18" t="s">
        <v>794</v>
      </c>
      <c r="B1171" s="8">
        <v>3120.0</v>
      </c>
      <c r="C1171" s="8">
        <v>1923134.0</v>
      </c>
      <c r="D1171" s="8">
        <v>1924359.0</v>
      </c>
      <c r="E1171" s="9" t="s">
        <v>907</v>
      </c>
      <c r="F1171" s="9"/>
      <c r="G1171" s="9" t="s">
        <v>908</v>
      </c>
      <c r="H1171" s="9"/>
      <c r="I1171" s="8">
        <v>1972.0</v>
      </c>
      <c r="J1171" s="9" t="s">
        <v>346</v>
      </c>
      <c r="K1171" s="9"/>
      <c r="L1171" s="9"/>
      <c r="M1171" s="9" t="s">
        <v>3373</v>
      </c>
      <c r="N1171" s="9" t="s">
        <v>35</v>
      </c>
      <c r="O1171" s="9" t="s">
        <v>3374</v>
      </c>
      <c r="P1171" s="9" t="s">
        <v>1296</v>
      </c>
    </row>
    <row r="1172">
      <c r="A1172" s="18" t="s">
        <v>794</v>
      </c>
      <c r="B1172" s="8">
        <v>3122.0</v>
      </c>
      <c r="C1172" s="8">
        <v>1935273.0</v>
      </c>
      <c r="D1172" s="8">
        <v>1942890.0</v>
      </c>
      <c r="E1172" s="9" t="s">
        <v>907</v>
      </c>
      <c r="F1172" s="9"/>
      <c r="G1172" s="9" t="s">
        <v>908</v>
      </c>
      <c r="H1172" s="9"/>
      <c r="I1172" s="8">
        <v>1972.0</v>
      </c>
      <c r="J1172" s="9" t="s">
        <v>346</v>
      </c>
      <c r="K1172" s="9"/>
      <c r="L1172" s="9"/>
      <c r="M1172" s="9" t="s">
        <v>3113</v>
      </c>
      <c r="N1172" s="9" t="s">
        <v>35</v>
      </c>
      <c r="O1172" s="9" t="s">
        <v>3375</v>
      </c>
      <c r="P1172" s="9" t="s">
        <v>1296</v>
      </c>
    </row>
    <row r="1173">
      <c r="A1173" s="18" t="s">
        <v>794</v>
      </c>
      <c r="B1173" s="8">
        <v>3122.0</v>
      </c>
      <c r="C1173" s="8">
        <v>1935273.0</v>
      </c>
      <c r="D1173" s="8">
        <v>1942890.0</v>
      </c>
      <c r="E1173" s="9" t="s">
        <v>907</v>
      </c>
      <c r="F1173" s="9"/>
      <c r="G1173" s="9" t="s">
        <v>908</v>
      </c>
      <c r="H1173" s="9"/>
      <c r="I1173" s="8">
        <v>1972.0</v>
      </c>
      <c r="J1173" s="9" t="s">
        <v>346</v>
      </c>
      <c r="K1173" s="9"/>
      <c r="L1173" s="9"/>
      <c r="M1173" s="9" t="s">
        <v>3376</v>
      </c>
      <c r="N1173" s="9" t="s">
        <v>35</v>
      </c>
      <c r="O1173" s="9" t="s">
        <v>3377</v>
      </c>
      <c r="P1173" s="9" t="s">
        <v>1296</v>
      </c>
    </row>
    <row r="1174">
      <c r="A1174" s="18" t="s">
        <v>794</v>
      </c>
      <c r="B1174" s="8">
        <v>3122.0</v>
      </c>
      <c r="C1174" s="8">
        <v>1935273.0</v>
      </c>
      <c r="D1174" s="8">
        <v>1942890.0</v>
      </c>
      <c r="E1174" s="9" t="s">
        <v>907</v>
      </c>
      <c r="F1174" s="9"/>
      <c r="G1174" s="9" t="s">
        <v>908</v>
      </c>
      <c r="H1174" s="9"/>
      <c r="I1174" s="8">
        <v>1972.0</v>
      </c>
      <c r="J1174" s="9" t="s">
        <v>346</v>
      </c>
      <c r="K1174" s="9"/>
      <c r="L1174" s="9"/>
      <c r="M1174" s="9" t="s">
        <v>3378</v>
      </c>
      <c r="N1174" s="9" t="s">
        <v>35</v>
      </c>
      <c r="O1174" s="9" t="s">
        <v>3379</v>
      </c>
      <c r="P1174" s="9" t="s">
        <v>1296</v>
      </c>
    </row>
    <row r="1175">
      <c r="A1175" s="18" t="s">
        <v>794</v>
      </c>
      <c r="B1175" s="8">
        <v>3151.0</v>
      </c>
      <c r="C1175" s="8">
        <v>2045791.0</v>
      </c>
      <c r="D1175" s="8">
        <v>2048418.0</v>
      </c>
      <c r="E1175" s="9" t="s">
        <v>907</v>
      </c>
      <c r="F1175" s="9"/>
      <c r="G1175" s="9" t="s">
        <v>908</v>
      </c>
      <c r="H1175" s="9"/>
      <c r="I1175" s="8">
        <v>1972.0</v>
      </c>
      <c r="J1175" s="9" t="s">
        <v>346</v>
      </c>
      <c r="K1175" s="9"/>
      <c r="L1175" s="9"/>
      <c r="M1175" s="9" t="s">
        <v>3380</v>
      </c>
      <c r="N1175" s="9" t="s">
        <v>35</v>
      </c>
      <c r="O1175" s="9" t="s">
        <v>3381</v>
      </c>
      <c r="P1175" s="9" t="s">
        <v>1296</v>
      </c>
    </row>
    <row r="1176">
      <c r="A1176" s="18" t="s">
        <v>794</v>
      </c>
      <c r="B1176" s="8">
        <v>3152.0</v>
      </c>
      <c r="C1176" s="8">
        <v>2050278.0</v>
      </c>
      <c r="D1176" s="8">
        <v>2055195.0</v>
      </c>
      <c r="E1176" s="9" t="s">
        <v>907</v>
      </c>
      <c r="F1176" s="9"/>
      <c r="G1176" s="9" t="s">
        <v>908</v>
      </c>
      <c r="H1176" s="9"/>
      <c r="I1176" s="8">
        <v>1972.0</v>
      </c>
      <c r="J1176" s="9" t="s">
        <v>346</v>
      </c>
      <c r="K1176" s="9"/>
      <c r="L1176" s="9"/>
      <c r="M1176" s="9" t="s">
        <v>3382</v>
      </c>
      <c r="N1176" s="9" t="s">
        <v>35</v>
      </c>
      <c r="O1176" s="9" t="s">
        <v>3383</v>
      </c>
      <c r="P1176" s="9" t="s">
        <v>1296</v>
      </c>
    </row>
    <row r="1177">
      <c r="A1177" s="18" t="s">
        <v>794</v>
      </c>
      <c r="B1177" s="8">
        <v>3161.0</v>
      </c>
      <c r="C1177" s="8">
        <v>2095084.0</v>
      </c>
      <c r="D1177" s="8">
        <v>2096225.0</v>
      </c>
      <c r="E1177" s="9" t="s">
        <v>907</v>
      </c>
      <c r="F1177" s="9"/>
      <c r="G1177" s="9" t="s">
        <v>908</v>
      </c>
      <c r="H1177" s="9"/>
      <c r="I1177" s="8">
        <v>1972.0</v>
      </c>
      <c r="J1177" s="9" t="s">
        <v>346</v>
      </c>
      <c r="K1177" s="9"/>
      <c r="L1177" s="9"/>
      <c r="M1177" s="9" t="s">
        <v>1259</v>
      </c>
      <c r="N1177" s="9" t="s">
        <v>35</v>
      </c>
      <c r="O1177" s="9" t="s">
        <v>3384</v>
      </c>
      <c r="P1177" s="9" t="s">
        <v>1296</v>
      </c>
    </row>
    <row r="1178">
      <c r="A1178" s="18" t="s">
        <v>794</v>
      </c>
      <c r="B1178" s="8">
        <v>3181.0</v>
      </c>
      <c r="C1178" s="8">
        <v>2177502.0</v>
      </c>
      <c r="D1178" s="8">
        <v>2179896.0</v>
      </c>
      <c r="E1178" s="9" t="s">
        <v>907</v>
      </c>
      <c r="F1178" s="9"/>
      <c r="G1178" s="9" t="s">
        <v>908</v>
      </c>
      <c r="H1178" s="9"/>
      <c r="I1178" s="8">
        <v>1972.0</v>
      </c>
      <c r="J1178" s="9" t="s">
        <v>346</v>
      </c>
      <c r="K1178" s="9"/>
      <c r="L1178" s="9"/>
      <c r="M1178" s="9" t="s">
        <v>3385</v>
      </c>
      <c r="N1178" s="9" t="s">
        <v>35</v>
      </c>
      <c r="O1178" s="9" t="s">
        <v>3386</v>
      </c>
      <c r="P1178" s="10" t="s">
        <v>1298</v>
      </c>
    </row>
    <row r="1179">
      <c r="A1179" s="18" t="s">
        <v>794</v>
      </c>
      <c r="B1179" s="8">
        <v>3186.0</v>
      </c>
      <c r="C1179" s="8">
        <v>2192722.0</v>
      </c>
      <c r="D1179" s="8">
        <v>2195153.0</v>
      </c>
      <c r="E1179" s="9" t="s">
        <v>907</v>
      </c>
      <c r="F1179" s="9"/>
      <c r="G1179" s="9" t="s">
        <v>908</v>
      </c>
      <c r="H1179" s="9"/>
      <c r="I1179" s="8">
        <v>1972.0</v>
      </c>
      <c r="J1179" s="9" t="s">
        <v>346</v>
      </c>
      <c r="K1179" s="9"/>
      <c r="L1179" s="9"/>
      <c r="M1179" s="9" t="s">
        <v>1254</v>
      </c>
      <c r="N1179" s="9" t="s">
        <v>35</v>
      </c>
      <c r="O1179" s="9" t="s">
        <v>3387</v>
      </c>
      <c r="P1179" s="10" t="s">
        <v>1298</v>
      </c>
    </row>
    <row r="1180">
      <c r="A1180" s="18" t="s">
        <v>794</v>
      </c>
      <c r="B1180" s="8">
        <v>3200.0</v>
      </c>
      <c r="C1180" s="8">
        <v>2249882.0</v>
      </c>
      <c r="D1180" s="8">
        <v>2256130.0</v>
      </c>
      <c r="E1180" s="9" t="s">
        <v>907</v>
      </c>
      <c r="F1180" s="9"/>
      <c r="G1180" s="9" t="s">
        <v>908</v>
      </c>
      <c r="H1180" s="9"/>
      <c r="I1180" s="8">
        <v>1972.0</v>
      </c>
      <c r="J1180" s="9" t="s">
        <v>346</v>
      </c>
      <c r="K1180" s="9"/>
      <c r="L1180" s="9"/>
      <c r="M1180" s="9" t="s">
        <v>3388</v>
      </c>
      <c r="N1180" s="9" t="s">
        <v>35</v>
      </c>
      <c r="O1180" s="9" t="s">
        <v>3389</v>
      </c>
      <c r="P1180" s="10" t="s">
        <v>1298</v>
      </c>
    </row>
    <row r="1181">
      <c r="A1181" s="18" t="s">
        <v>794</v>
      </c>
      <c r="B1181" s="8">
        <v>3291.0</v>
      </c>
      <c r="C1181" s="8">
        <v>257791.0</v>
      </c>
      <c r="D1181" s="8">
        <v>267755.0</v>
      </c>
      <c r="E1181" s="9" t="s">
        <v>944</v>
      </c>
      <c r="F1181" s="9"/>
      <c r="G1181" s="9" t="s">
        <v>945</v>
      </c>
      <c r="H1181" s="9"/>
      <c r="I1181" s="8">
        <v>1973.0</v>
      </c>
      <c r="J1181" s="9" t="s">
        <v>946</v>
      </c>
      <c r="K1181" s="9"/>
      <c r="L1181" s="9"/>
      <c r="M1181" s="9" t="s">
        <v>3390</v>
      </c>
      <c r="N1181" s="9" t="s">
        <v>35</v>
      </c>
      <c r="O1181" s="9" t="s">
        <v>3391</v>
      </c>
      <c r="P1181" s="9" t="s">
        <v>1300</v>
      </c>
    </row>
    <row r="1182">
      <c r="A1182" s="18" t="s">
        <v>794</v>
      </c>
      <c r="B1182" s="8">
        <v>3292.0</v>
      </c>
      <c r="C1182" s="8">
        <v>268824.0</v>
      </c>
      <c r="D1182" s="8">
        <v>272856.0</v>
      </c>
      <c r="E1182" s="9" t="s">
        <v>944</v>
      </c>
      <c r="F1182" s="9"/>
      <c r="G1182" s="9" t="s">
        <v>945</v>
      </c>
      <c r="H1182" s="9"/>
      <c r="I1182" s="8">
        <v>1973.0</v>
      </c>
      <c r="J1182" s="9" t="s">
        <v>946</v>
      </c>
      <c r="K1182" s="9"/>
      <c r="L1182" s="9"/>
      <c r="M1182" s="9" t="s">
        <v>285</v>
      </c>
      <c r="N1182" s="9" t="s">
        <v>35</v>
      </c>
      <c r="O1182" s="9" t="s">
        <v>3392</v>
      </c>
      <c r="P1182" s="9" t="s">
        <v>3148</v>
      </c>
    </row>
    <row r="1183">
      <c r="A1183" s="18" t="s">
        <v>794</v>
      </c>
      <c r="B1183" s="8">
        <v>3325.0</v>
      </c>
      <c r="C1183" s="8">
        <v>469194.0</v>
      </c>
      <c r="D1183" s="8">
        <v>485622.0</v>
      </c>
      <c r="E1183" s="9" t="s">
        <v>944</v>
      </c>
      <c r="F1183" s="9"/>
      <c r="G1183" s="9" t="s">
        <v>945</v>
      </c>
      <c r="H1183" s="9"/>
      <c r="I1183" s="8">
        <v>1973.0</v>
      </c>
      <c r="J1183" s="9" t="s">
        <v>946</v>
      </c>
      <c r="K1183" s="9"/>
      <c r="L1183" s="9"/>
      <c r="M1183" s="9" t="s">
        <v>3393</v>
      </c>
      <c r="N1183" s="9" t="s">
        <v>35</v>
      </c>
      <c r="O1183" s="9" t="s">
        <v>3394</v>
      </c>
      <c r="P1183" s="9" t="s">
        <v>1296</v>
      </c>
    </row>
    <row r="1184">
      <c r="A1184" s="18" t="s">
        <v>794</v>
      </c>
      <c r="B1184" s="8">
        <v>3329.0</v>
      </c>
      <c r="C1184" s="8">
        <v>503215.0</v>
      </c>
      <c r="D1184" s="8">
        <v>511284.0</v>
      </c>
      <c r="E1184" s="9" t="s">
        <v>944</v>
      </c>
      <c r="F1184" s="9"/>
      <c r="G1184" s="9" t="s">
        <v>945</v>
      </c>
      <c r="H1184" s="9"/>
      <c r="I1184" s="8">
        <v>1973.0</v>
      </c>
      <c r="J1184" s="9" t="s">
        <v>946</v>
      </c>
      <c r="K1184" s="9"/>
      <c r="L1184" s="9"/>
      <c r="M1184" s="9" t="s">
        <v>3395</v>
      </c>
      <c r="N1184" s="9" t="s">
        <v>35</v>
      </c>
      <c r="O1184" s="9" t="s">
        <v>3396</v>
      </c>
      <c r="P1184" s="10" t="s">
        <v>1298</v>
      </c>
    </row>
    <row r="1185">
      <c r="A1185" s="18" t="s">
        <v>794</v>
      </c>
      <c r="B1185" s="8">
        <v>3358.0</v>
      </c>
      <c r="C1185" s="8">
        <v>674450.0</v>
      </c>
      <c r="D1185" s="8">
        <v>678495.0</v>
      </c>
      <c r="E1185" s="9" t="s">
        <v>944</v>
      </c>
      <c r="F1185" s="9"/>
      <c r="G1185" s="9" t="s">
        <v>945</v>
      </c>
      <c r="H1185" s="9"/>
      <c r="I1185" s="8">
        <v>1973.0</v>
      </c>
      <c r="J1185" s="9" t="s">
        <v>946</v>
      </c>
      <c r="K1185" s="9"/>
      <c r="L1185" s="9"/>
      <c r="M1185" s="9" t="s">
        <v>3397</v>
      </c>
      <c r="N1185" s="9" t="s">
        <v>35</v>
      </c>
      <c r="O1185" s="9" t="s">
        <v>3398</v>
      </c>
      <c r="P1185" s="9" t="s">
        <v>1296</v>
      </c>
    </row>
    <row r="1186">
      <c r="A1186" s="18" t="s">
        <v>794</v>
      </c>
      <c r="B1186" s="8">
        <v>3362.0</v>
      </c>
      <c r="C1186" s="8">
        <v>691500.0</v>
      </c>
      <c r="D1186" s="8">
        <v>693753.0</v>
      </c>
      <c r="E1186" s="9" t="s">
        <v>944</v>
      </c>
      <c r="F1186" s="9"/>
      <c r="G1186" s="9" t="s">
        <v>945</v>
      </c>
      <c r="H1186" s="9"/>
      <c r="I1186" s="8">
        <v>1973.0</v>
      </c>
      <c r="J1186" s="9" t="s">
        <v>946</v>
      </c>
      <c r="K1186" s="9"/>
      <c r="L1186" s="9"/>
      <c r="M1186" s="9" t="s">
        <v>3399</v>
      </c>
      <c r="N1186" s="9" t="s">
        <v>35</v>
      </c>
      <c r="O1186" s="9" t="s">
        <v>3400</v>
      </c>
      <c r="P1186" s="9" t="s">
        <v>1296</v>
      </c>
    </row>
    <row r="1187">
      <c r="A1187" s="18" t="s">
        <v>794</v>
      </c>
      <c r="B1187" s="8">
        <v>3364.0</v>
      </c>
      <c r="C1187" s="8">
        <v>704019.0</v>
      </c>
      <c r="D1187" s="8">
        <v>712039.0</v>
      </c>
      <c r="E1187" s="9" t="s">
        <v>944</v>
      </c>
      <c r="F1187" s="9"/>
      <c r="G1187" s="9" t="s">
        <v>945</v>
      </c>
      <c r="H1187" s="9"/>
      <c r="I1187" s="8">
        <v>1973.0</v>
      </c>
      <c r="J1187" s="9" t="s">
        <v>946</v>
      </c>
      <c r="K1187" s="9"/>
      <c r="L1187" s="9"/>
      <c r="M1187" s="9" t="s">
        <v>3401</v>
      </c>
      <c r="N1187" s="9" t="s">
        <v>35</v>
      </c>
      <c r="O1187" s="9" t="s">
        <v>3402</v>
      </c>
      <c r="P1187" s="9" t="s">
        <v>3148</v>
      </c>
    </row>
    <row r="1188">
      <c r="A1188" s="18" t="s">
        <v>794</v>
      </c>
      <c r="B1188" s="8">
        <v>3366.0</v>
      </c>
      <c r="C1188" s="8">
        <v>721032.0</v>
      </c>
      <c r="D1188" s="8">
        <v>725921.0</v>
      </c>
      <c r="E1188" s="9" t="s">
        <v>944</v>
      </c>
      <c r="F1188" s="9"/>
      <c r="G1188" s="9" t="s">
        <v>945</v>
      </c>
      <c r="H1188" s="9"/>
      <c r="I1188" s="8">
        <v>1973.0</v>
      </c>
      <c r="J1188" s="9" t="s">
        <v>946</v>
      </c>
      <c r="K1188" s="9"/>
      <c r="L1188" s="9"/>
      <c r="M1188" s="9" t="s">
        <v>3403</v>
      </c>
      <c r="N1188" s="9" t="s">
        <v>35</v>
      </c>
      <c r="O1188" s="9" t="s">
        <v>3404</v>
      </c>
      <c r="P1188" s="10" t="s">
        <v>1298</v>
      </c>
    </row>
    <row r="1189">
      <c r="A1189" s="18" t="s">
        <v>794</v>
      </c>
      <c r="B1189" s="8">
        <v>3367.0</v>
      </c>
      <c r="C1189" s="8">
        <v>725976.0</v>
      </c>
      <c r="D1189" s="8">
        <v>734110.0</v>
      </c>
      <c r="E1189" s="9" t="s">
        <v>944</v>
      </c>
      <c r="F1189" s="9"/>
      <c r="G1189" s="9" t="s">
        <v>945</v>
      </c>
      <c r="H1189" s="9"/>
      <c r="I1189" s="8">
        <v>1973.0</v>
      </c>
      <c r="J1189" s="9" t="s">
        <v>946</v>
      </c>
      <c r="K1189" s="9"/>
      <c r="L1189" s="9"/>
      <c r="M1189" s="9" t="s">
        <v>3405</v>
      </c>
      <c r="N1189" s="9" t="s">
        <v>45</v>
      </c>
      <c r="O1189" s="9" t="s">
        <v>3406</v>
      </c>
      <c r="P1189" s="9" t="s">
        <v>3148</v>
      </c>
    </row>
    <row r="1190">
      <c r="A1190" s="18" t="s">
        <v>794</v>
      </c>
      <c r="B1190" s="8">
        <v>3386.0</v>
      </c>
      <c r="C1190" s="8">
        <v>841525.0</v>
      </c>
      <c r="D1190" s="8">
        <v>846503.0</v>
      </c>
      <c r="E1190" s="9" t="s">
        <v>944</v>
      </c>
      <c r="F1190" s="9"/>
      <c r="G1190" s="9" t="s">
        <v>945</v>
      </c>
      <c r="H1190" s="9"/>
      <c r="I1190" s="8">
        <v>1973.0</v>
      </c>
      <c r="J1190" s="9" t="s">
        <v>946</v>
      </c>
      <c r="K1190" s="9"/>
      <c r="L1190" s="9"/>
      <c r="M1190" s="9" t="s">
        <v>3407</v>
      </c>
      <c r="N1190" s="9" t="s">
        <v>35</v>
      </c>
      <c r="O1190" s="9" t="s">
        <v>3408</v>
      </c>
      <c r="P1190" s="9" t="s">
        <v>1296</v>
      </c>
    </row>
    <row r="1191">
      <c r="A1191" s="18" t="s">
        <v>794</v>
      </c>
      <c r="B1191" s="8">
        <v>3386.0</v>
      </c>
      <c r="C1191" s="8">
        <v>841525.0</v>
      </c>
      <c r="D1191" s="8">
        <v>846503.0</v>
      </c>
      <c r="E1191" s="9" t="s">
        <v>944</v>
      </c>
      <c r="F1191" s="9"/>
      <c r="G1191" s="9" t="s">
        <v>945</v>
      </c>
      <c r="H1191" s="9"/>
      <c r="I1191" s="8">
        <v>1973.0</v>
      </c>
      <c r="J1191" s="9" t="s">
        <v>946</v>
      </c>
      <c r="K1191" s="9"/>
      <c r="L1191" s="9"/>
      <c r="M1191" s="9" t="s">
        <v>3409</v>
      </c>
      <c r="N1191" s="9" t="s">
        <v>35</v>
      </c>
      <c r="O1191" s="9" t="s">
        <v>3410</v>
      </c>
      <c r="P1191" s="9" t="s">
        <v>1296</v>
      </c>
    </row>
    <row r="1192">
      <c r="A1192" s="18" t="s">
        <v>794</v>
      </c>
      <c r="B1192" s="8">
        <v>3405.0</v>
      </c>
      <c r="C1192" s="8">
        <v>967610.0</v>
      </c>
      <c r="D1192" s="8">
        <v>984922.0</v>
      </c>
      <c r="E1192" s="9" t="s">
        <v>944</v>
      </c>
      <c r="F1192" s="9"/>
      <c r="G1192" s="9" t="s">
        <v>945</v>
      </c>
      <c r="H1192" s="9"/>
      <c r="I1192" s="8">
        <v>1973.0</v>
      </c>
      <c r="J1192" s="9" t="s">
        <v>946</v>
      </c>
      <c r="K1192" s="9"/>
      <c r="L1192" s="9"/>
      <c r="M1192" s="9" t="s">
        <v>3411</v>
      </c>
      <c r="N1192" s="9" t="s">
        <v>35</v>
      </c>
      <c r="O1192" s="9" t="s">
        <v>3412</v>
      </c>
      <c r="P1192" s="10" t="s">
        <v>1298</v>
      </c>
    </row>
    <row r="1193">
      <c r="A1193" s="18" t="s">
        <v>794</v>
      </c>
      <c r="B1193" s="8">
        <v>3410.0</v>
      </c>
      <c r="C1193" s="8">
        <v>1014066.0</v>
      </c>
      <c r="D1193" s="8">
        <v>1024499.0</v>
      </c>
      <c r="E1193" s="9" t="s">
        <v>944</v>
      </c>
      <c r="F1193" s="9"/>
      <c r="G1193" s="9" t="s">
        <v>945</v>
      </c>
      <c r="H1193" s="9"/>
      <c r="I1193" s="8">
        <v>1973.0</v>
      </c>
      <c r="J1193" s="9" t="s">
        <v>946</v>
      </c>
      <c r="K1193" s="9"/>
      <c r="L1193" s="9"/>
      <c r="M1193" s="9" t="s">
        <v>3413</v>
      </c>
      <c r="N1193" s="9" t="s">
        <v>35</v>
      </c>
      <c r="O1193" s="9" t="s">
        <v>3414</v>
      </c>
      <c r="P1193" s="9" t="s">
        <v>1316</v>
      </c>
    </row>
    <row r="1194">
      <c r="A1194" s="18" t="s">
        <v>794</v>
      </c>
      <c r="B1194" s="8">
        <v>3491.0</v>
      </c>
      <c r="C1194" s="8">
        <v>1567745.0</v>
      </c>
      <c r="D1194" s="8">
        <v>1585533.0</v>
      </c>
      <c r="E1194" s="9" t="s">
        <v>944</v>
      </c>
      <c r="F1194" s="9"/>
      <c r="G1194" s="9" t="s">
        <v>945</v>
      </c>
      <c r="H1194" s="9"/>
      <c r="I1194" s="8">
        <v>1973.0</v>
      </c>
      <c r="J1194" s="9" t="s">
        <v>946</v>
      </c>
      <c r="K1194" s="9"/>
      <c r="L1194" s="9"/>
      <c r="M1194" s="9" t="s">
        <v>3415</v>
      </c>
      <c r="N1194" s="9" t="s">
        <v>35</v>
      </c>
      <c r="O1194" s="9" t="s">
        <v>3416</v>
      </c>
      <c r="P1194" s="9" t="s">
        <v>1296</v>
      </c>
    </row>
    <row r="1195">
      <c r="A1195" s="18" t="s">
        <v>794</v>
      </c>
      <c r="B1195" s="8">
        <v>3497.0</v>
      </c>
      <c r="C1195" s="8">
        <v>1620735.0</v>
      </c>
      <c r="D1195" s="8">
        <v>1625657.0</v>
      </c>
      <c r="E1195" s="9" t="s">
        <v>944</v>
      </c>
      <c r="F1195" s="9"/>
      <c r="G1195" s="9" t="s">
        <v>945</v>
      </c>
      <c r="H1195" s="9"/>
      <c r="I1195" s="8">
        <v>1973.0</v>
      </c>
      <c r="J1195" s="9" t="s">
        <v>946</v>
      </c>
      <c r="K1195" s="9"/>
      <c r="L1195" s="9"/>
      <c r="M1195" s="9" t="s">
        <v>3417</v>
      </c>
      <c r="N1195" s="9" t="s">
        <v>35</v>
      </c>
      <c r="O1195" s="9" t="s">
        <v>3418</v>
      </c>
      <c r="P1195" s="9" t="s">
        <v>1296</v>
      </c>
    </row>
    <row r="1196">
      <c r="A1196" s="18" t="s">
        <v>794</v>
      </c>
      <c r="B1196" s="8">
        <v>3498.0</v>
      </c>
      <c r="C1196" s="8">
        <v>1627592.0</v>
      </c>
      <c r="D1196" s="8">
        <v>1632903.0</v>
      </c>
      <c r="E1196" s="9" t="s">
        <v>944</v>
      </c>
      <c r="F1196" s="9"/>
      <c r="G1196" s="9" t="s">
        <v>945</v>
      </c>
      <c r="H1196" s="9"/>
      <c r="I1196" s="8">
        <v>1973.0</v>
      </c>
      <c r="J1196" s="9" t="s">
        <v>946</v>
      </c>
      <c r="K1196" s="9"/>
      <c r="L1196" s="9"/>
      <c r="M1196" s="9" t="s">
        <v>3419</v>
      </c>
      <c r="N1196" s="9" t="s">
        <v>35</v>
      </c>
      <c r="O1196" s="9" t="s">
        <v>3420</v>
      </c>
      <c r="P1196" s="9" t="s">
        <v>1300</v>
      </c>
    </row>
    <row r="1197">
      <c r="A1197" s="18" t="s">
        <v>794</v>
      </c>
      <c r="B1197" s="8">
        <v>3507.0</v>
      </c>
      <c r="C1197" s="8">
        <v>1709132.0</v>
      </c>
      <c r="D1197" s="8">
        <v>1717443.0</v>
      </c>
      <c r="E1197" s="9" t="s">
        <v>944</v>
      </c>
      <c r="F1197" s="9"/>
      <c r="G1197" s="9" t="s">
        <v>945</v>
      </c>
      <c r="H1197" s="9"/>
      <c r="I1197" s="8">
        <v>1973.0</v>
      </c>
      <c r="J1197" s="9" t="s">
        <v>946</v>
      </c>
      <c r="K1197" s="9"/>
      <c r="L1197" s="9"/>
      <c r="M1197" s="9" t="s">
        <v>3421</v>
      </c>
      <c r="N1197" s="9" t="s">
        <v>35</v>
      </c>
      <c r="O1197" s="9" t="s">
        <v>3422</v>
      </c>
      <c r="P1197" s="9" t="s">
        <v>1296</v>
      </c>
    </row>
    <row r="1198">
      <c r="A1198" s="18" t="s">
        <v>794</v>
      </c>
      <c r="B1198" s="8">
        <v>3513.0</v>
      </c>
      <c r="C1198" s="8">
        <v>1746474.0</v>
      </c>
      <c r="D1198" s="8">
        <v>1751468.0</v>
      </c>
      <c r="E1198" s="9" t="s">
        <v>944</v>
      </c>
      <c r="F1198" s="9"/>
      <c r="G1198" s="9" t="s">
        <v>945</v>
      </c>
      <c r="H1198" s="9"/>
      <c r="I1198" s="8">
        <v>1973.0</v>
      </c>
      <c r="J1198" s="9" t="s">
        <v>946</v>
      </c>
      <c r="K1198" s="9"/>
      <c r="L1198" s="9"/>
      <c r="M1198" s="9" t="s">
        <v>3423</v>
      </c>
      <c r="N1198" s="9" t="s">
        <v>35</v>
      </c>
      <c r="O1198" s="9" t="s">
        <v>3424</v>
      </c>
      <c r="P1198" s="9" t="s">
        <v>1296</v>
      </c>
    </row>
    <row r="1199">
      <c r="A1199" s="18" t="s">
        <v>794</v>
      </c>
      <c r="B1199" s="8">
        <v>3531.0</v>
      </c>
      <c r="C1199" s="8">
        <v>1879565.0</v>
      </c>
      <c r="D1199" s="8">
        <v>1886165.0</v>
      </c>
      <c r="E1199" s="9" t="s">
        <v>944</v>
      </c>
      <c r="F1199" s="9"/>
      <c r="G1199" s="9" t="s">
        <v>945</v>
      </c>
      <c r="H1199" s="9"/>
      <c r="I1199" s="8">
        <v>1973.0</v>
      </c>
      <c r="J1199" s="9" t="s">
        <v>946</v>
      </c>
      <c r="K1199" s="9"/>
      <c r="L1199" s="9"/>
      <c r="M1199" s="9" t="s">
        <v>3425</v>
      </c>
      <c r="N1199" s="9" t="s">
        <v>35</v>
      </c>
      <c r="O1199" s="9" t="s">
        <v>3426</v>
      </c>
      <c r="P1199" s="9" t="s">
        <v>1296</v>
      </c>
    </row>
    <row r="1200">
      <c r="A1200" s="18" t="s">
        <v>794</v>
      </c>
      <c r="B1200" s="8">
        <v>3542.0</v>
      </c>
      <c r="C1200" s="8">
        <v>1966544.0</v>
      </c>
      <c r="D1200" s="8">
        <v>1976561.0</v>
      </c>
      <c r="E1200" s="9" t="s">
        <v>944</v>
      </c>
      <c r="F1200" s="9"/>
      <c r="G1200" s="9" t="s">
        <v>945</v>
      </c>
      <c r="H1200" s="9"/>
      <c r="I1200" s="8">
        <v>1973.0</v>
      </c>
      <c r="J1200" s="9" t="s">
        <v>946</v>
      </c>
      <c r="K1200" s="9"/>
      <c r="L1200" s="9"/>
      <c r="M1200" s="9" t="s">
        <v>3427</v>
      </c>
      <c r="N1200" s="9" t="s">
        <v>35</v>
      </c>
      <c r="O1200" s="9" t="s">
        <v>3428</v>
      </c>
      <c r="P1200" s="10" t="s">
        <v>1298</v>
      </c>
    </row>
    <row r="1201">
      <c r="A1201" s="18" t="s">
        <v>794</v>
      </c>
      <c r="B1201" s="8">
        <v>3543.0</v>
      </c>
      <c r="C1201" s="8">
        <v>1976633.0</v>
      </c>
      <c r="D1201" s="8">
        <v>1991244.0</v>
      </c>
      <c r="E1201" s="9" t="s">
        <v>944</v>
      </c>
      <c r="F1201" s="9"/>
      <c r="G1201" s="9" t="s">
        <v>945</v>
      </c>
      <c r="H1201" s="9"/>
      <c r="I1201" s="8">
        <v>1973.0</v>
      </c>
      <c r="J1201" s="9" t="s">
        <v>946</v>
      </c>
      <c r="K1201" s="9"/>
      <c r="L1201" s="9"/>
      <c r="M1201" s="9" t="s">
        <v>3429</v>
      </c>
      <c r="N1201" s="9" t="s">
        <v>35</v>
      </c>
      <c r="O1201" s="9" t="s">
        <v>3430</v>
      </c>
      <c r="P1201" s="10" t="s">
        <v>1298</v>
      </c>
    </row>
    <row r="1202">
      <c r="A1202" s="18" t="s">
        <v>794</v>
      </c>
      <c r="B1202" s="8">
        <v>3555.0</v>
      </c>
      <c r="C1202" s="8">
        <v>2070788.0</v>
      </c>
      <c r="D1202" s="8">
        <v>2081110.0</v>
      </c>
      <c r="E1202" s="9" t="s">
        <v>944</v>
      </c>
      <c r="F1202" s="9"/>
      <c r="G1202" s="9" t="s">
        <v>945</v>
      </c>
      <c r="H1202" s="9"/>
      <c r="I1202" s="8">
        <v>1973.0</v>
      </c>
      <c r="J1202" s="9" t="s">
        <v>946</v>
      </c>
      <c r="K1202" s="9"/>
      <c r="L1202" s="9"/>
      <c r="M1202" s="9" t="s">
        <v>3431</v>
      </c>
      <c r="N1202" s="9" t="s">
        <v>35</v>
      </c>
      <c r="O1202" s="9" t="s">
        <v>3432</v>
      </c>
      <c r="P1202" s="9" t="s">
        <v>1296</v>
      </c>
    </row>
    <row r="1203">
      <c r="A1203" s="18" t="s">
        <v>794</v>
      </c>
      <c r="B1203" s="8">
        <v>3557.0</v>
      </c>
      <c r="C1203" s="8">
        <v>2094344.0</v>
      </c>
      <c r="D1203" s="8">
        <v>2101377.0</v>
      </c>
      <c r="E1203" s="9" t="s">
        <v>944</v>
      </c>
      <c r="F1203" s="9"/>
      <c r="G1203" s="9" t="s">
        <v>945</v>
      </c>
      <c r="H1203" s="9"/>
      <c r="I1203" s="8">
        <v>1973.0</v>
      </c>
      <c r="J1203" s="9" t="s">
        <v>946</v>
      </c>
      <c r="K1203" s="9"/>
      <c r="L1203" s="9"/>
      <c r="M1203" s="9" t="s">
        <v>3433</v>
      </c>
      <c r="N1203" s="9" t="s">
        <v>35</v>
      </c>
      <c r="O1203" s="9" t="s">
        <v>3434</v>
      </c>
      <c r="P1203" s="10" t="s">
        <v>1298</v>
      </c>
    </row>
    <row r="1204">
      <c r="A1204" s="18" t="s">
        <v>794</v>
      </c>
      <c r="B1204" s="8">
        <v>3572.0</v>
      </c>
      <c r="C1204" s="8">
        <v>2211144.0</v>
      </c>
      <c r="D1204" s="8">
        <v>2226237.0</v>
      </c>
      <c r="E1204" s="9" t="s">
        <v>944</v>
      </c>
      <c r="F1204" s="9"/>
      <c r="G1204" s="9" t="s">
        <v>945</v>
      </c>
      <c r="H1204" s="9"/>
      <c r="I1204" s="8">
        <v>1973.0</v>
      </c>
      <c r="J1204" s="9" t="s">
        <v>946</v>
      </c>
      <c r="K1204" s="9"/>
      <c r="L1204" s="9"/>
      <c r="M1204" s="9" t="s">
        <v>3435</v>
      </c>
      <c r="N1204" s="9" t="s">
        <v>35</v>
      </c>
      <c r="O1204" s="9" t="s">
        <v>3436</v>
      </c>
      <c r="P1204" s="9" t="s">
        <v>1300</v>
      </c>
    </row>
    <row r="1205">
      <c r="A1205" s="18" t="s">
        <v>794</v>
      </c>
      <c r="B1205" s="8">
        <v>3572.0</v>
      </c>
      <c r="C1205" s="8">
        <v>2211144.0</v>
      </c>
      <c r="D1205" s="8">
        <v>2226237.0</v>
      </c>
      <c r="E1205" s="9" t="s">
        <v>944</v>
      </c>
      <c r="F1205" s="9"/>
      <c r="G1205" s="9" t="s">
        <v>945</v>
      </c>
      <c r="H1205" s="9"/>
      <c r="I1205" s="8">
        <v>1973.0</v>
      </c>
      <c r="J1205" s="9" t="s">
        <v>946</v>
      </c>
      <c r="K1205" s="9"/>
      <c r="L1205" s="9"/>
      <c r="M1205" s="9" t="s">
        <v>3437</v>
      </c>
      <c r="N1205" s="9" t="s">
        <v>35</v>
      </c>
      <c r="O1205" s="9" t="s">
        <v>3438</v>
      </c>
      <c r="P1205" s="9" t="s">
        <v>1296</v>
      </c>
    </row>
    <row r="1206">
      <c r="A1206" s="18" t="s">
        <v>794</v>
      </c>
      <c r="B1206" s="8">
        <v>3572.0</v>
      </c>
      <c r="C1206" s="8">
        <v>2211144.0</v>
      </c>
      <c r="D1206" s="8">
        <v>2226237.0</v>
      </c>
      <c r="E1206" s="9" t="s">
        <v>944</v>
      </c>
      <c r="F1206" s="9"/>
      <c r="G1206" s="9" t="s">
        <v>945</v>
      </c>
      <c r="H1206" s="9"/>
      <c r="I1206" s="8">
        <v>1973.0</v>
      </c>
      <c r="J1206" s="9" t="s">
        <v>946</v>
      </c>
      <c r="K1206" s="9"/>
      <c r="L1206" s="9"/>
      <c r="M1206" s="9" t="s">
        <v>3439</v>
      </c>
      <c r="N1206" s="9" t="s">
        <v>35</v>
      </c>
      <c r="O1206" s="9" t="s">
        <v>3440</v>
      </c>
      <c r="P1206" s="9" t="s">
        <v>1296</v>
      </c>
    </row>
    <row r="1207">
      <c r="A1207" s="18" t="s">
        <v>794</v>
      </c>
      <c r="B1207" s="8">
        <v>3572.0</v>
      </c>
      <c r="C1207" s="8">
        <v>2211144.0</v>
      </c>
      <c r="D1207" s="8">
        <v>2226237.0</v>
      </c>
      <c r="E1207" s="9" t="s">
        <v>944</v>
      </c>
      <c r="F1207" s="9"/>
      <c r="G1207" s="9" t="s">
        <v>945</v>
      </c>
      <c r="H1207" s="9"/>
      <c r="I1207" s="8">
        <v>1973.0</v>
      </c>
      <c r="J1207" s="9" t="s">
        <v>946</v>
      </c>
      <c r="K1207" s="9"/>
      <c r="L1207" s="9"/>
      <c r="M1207" s="9" t="s">
        <v>3441</v>
      </c>
      <c r="N1207" s="9" t="s">
        <v>35</v>
      </c>
      <c r="O1207" s="9" t="s">
        <v>3442</v>
      </c>
      <c r="P1207" s="9" t="s">
        <v>1296</v>
      </c>
    </row>
    <row r="1208">
      <c r="A1208" s="18" t="s">
        <v>794</v>
      </c>
      <c r="B1208" s="8">
        <v>3572.0</v>
      </c>
      <c r="C1208" s="8">
        <v>2211144.0</v>
      </c>
      <c r="D1208" s="8">
        <v>2226237.0</v>
      </c>
      <c r="E1208" s="9" t="s">
        <v>944</v>
      </c>
      <c r="F1208" s="9"/>
      <c r="G1208" s="9" t="s">
        <v>945</v>
      </c>
      <c r="H1208" s="9"/>
      <c r="I1208" s="8">
        <v>1973.0</v>
      </c>
      <c r="J1208" s="9" t="s">
        <v>946</v>
      </c>
      <c r="K1208" s="9"/>
      <c r="L1208" s="9"/>
      <c r="M1208" s="9" t="s">
        <v>3443</v>
      </c>
      <c r="N1208" s="9" t="s">
        <v>35</v>
      </c>
      <c r="O1208" s="9" t="s">
        <v>3444</v>
      </c>
      <c r="P1208" s="9" t="s">
        <v>1296</v>
      </c>
    </row>
    <row r="1209">
      <c r="A1209" s="18" t="s">
        <v>794</v>
      </c>
      <c r="B1209" s="8">
        <v>3573.0</v>
      </c>
      <c r="C1209" s="8">
        <v>2226341.0</v>
      </c>
      <c r="D1209" s="8">
        <v>2246594.0</v>
      </c>
      <c r="E1209" s="9" t="s">
        <v>944</v>
      </c>
      <c r="F1209" s="9"/>
      <c r="G1209" s="9" t="s">
        <v>945</v>
      </c>
      <c r="H1209" s="9"/>
      <c r="I1209" s="8">
        <v>1973.0</v>
      </c>
      <c r="J1209" s="9" t="s">
        <v>946</v>
      </c>
      <c r="K1209" s="9"/>
      <c r="L1209" s="9"/>
      <c r="M1209" s="9" t="s">
        <v>3445</v>
      </c>
      <c r="N1209" s="9" t="s">
        <v>35</v>
      </c>
      <c r="O1209" s="9" t="s">
        <v>3446</v>
      </c>
      <c r="P1209" s="9" t="s">
        <v>1296</v>
      </c>
    </row>
    <row r="1210">
      <c r="A1210" s="18" t="s">
        <v>794</v>
      </c>
      <c r="B1210" s="8">
        <v>3575.0</v>
      </c>
      <c r="C1210" s="8">
        <v>2256113.0</v>
      </c>
      <c r="D1210" s="8">
        <v>2262796.0</v>
      </c>
      <c r="E1210" s="9" t="s">
        <v>944</v>
      </c>
      <c r="F1210" s="9"/>
      <c r="G1210" s="9" t="s">
        <v>945</v>
      </c>
      <c r="H1210" s="9"/>
      <c r="I1210" s="8">
        <v>1973.0</v>
      </c>
      <c r="J1210" s="9" t="s">
        <v>946</v>
      </c>
      <c r="K1210" s="9"/>
      <c r="L1210" s="9"/>
      <c r="M1210" s="9" t="s">
        <v>3447</v>
      </c>
      <c r="N1210" s="9" t="s">
        <v>35</v>
      </c>
      <c r="O1210" s="9" t="s">
        <v>3448</v>
      </c>
      <c r="P1210" s="9" t="s">
        <v>1296</v>
      </c>
    </row>
    <row r="1211">
      <c r="A1211" s="18" t="s">
        <v>794</v>
      </c>
      <c r="B1211" s="8">
        <v>3576.0</v>
      </c>
      <c r="C1211" s="8">
        <v>2264022.0</v>
      </c>
      <c r="D1211" s="8">
        <v>2272389.0</v>
      </c>
      <c r="E1211" s="9" t="s">
        <v>944</v>
      </c>
      <c r="F1211" s="9"/>
      <c r="G1211" s="9" t="s">
        <v>945</v>
      </c>
      <c r="H1211" s="9"/>
      <c r="I1211" s="8">
        <v>1973.0</v>
      </c>
      <c r="J1211" s="9" t="s">
        <v>946</v>
      </c>
      <c r="K1211" s="9"/>
      <c r="L1211" s="9"/>
      <c r="M1211" s="9" t="s">
        <v>3449</v>
      </c>
      <c r="N1211" s="9" t="s">
        <v>35</v>
      </c>
      <c r="O1211" s="9" t="s">
        <v>3450</v>
      </c>
      <c r="P1211" s="9" t="s">
        <v>1296</v>
      </c>
    </row>
    <row r="1212">
      <c r="A1212" s="18" t="s">
        <v>794</v>
      </c>
      <c r="B1212" s="8">
        <v>3583.0</v>
      </c>
      <c r="C1212" s="8">
        <v>2325839.0</v>
      </c>
      <c r="D1212" s="8">
        <v>2336875.0</v>
      </c>
      <c r="E1212" s="9" t="s">
        <v>944</v>
      </c>
      <c r="F1212" s="9"/>
      <c r="G1212" s="9" t="s">
        <v>945</v>
      </c>
      <c r="H1212" s="9"/>
      <c r="I1212" s="8">
        <v>1973.0</v>
      </c>
      <c r="J1212" s="9" t="s">
        <v>946</v>
      </c>
      <c r="K1212" s="9"/>
      <c r="L1212" s="9"/>
      <c r="M1212" s="9" t="s">
        <v>3451</v>
      </c>
      <c r="N1212" s="9" t="s">
        <v>35</v>
      </c>
      <c r="O1212" s="9" t="s">
        <v>3452</v>
      </c>
      <c r="P1212" s="9" t="s">
        <v>1296</v>
      </c>
    </row>
    <row r="1213">
      <c r="A1213" s="18" t="s">
        <v>794</v>
      </c>
      <c r="B1213" s="8">
        <v>3637.0</v>
      </c>
      <c r="C1213" s="8">
        <v>2664700.0</v>
      </c>
      <c r="D1213" s="8">
        <v>2675011.0</v>
      </c>
      <c r="E1213" s="9" t="s">
        <v>944</v>
      </c>
      <c r="F1213" s="9"/>
      <c r="G1213" s="9" t="s">
        <v>945</v>
      </c>
      <c r="H1213" s="9"/>
      <c r="I1213" s="8">
        <v>1973.0</v>
      </c>
      <c r="J1213" s="9" t="s">
        <v>946</v>
      </c>
      <c r="K1213" s="9"/>
      <c r="L1213" s="9"/>
      <c r="M1213" s="9" t="s">
        <v>3453</v>
      </c>
      <c r="N1213" s="9" t="s">
        <v>35</v>
      </c>
      <c r="O1213" s="9" t="s">
        <v>3454</v>
      </c>
      <c r="P1213" s="9" t="s">
        <v>1316</v>
      </c>
    </row>
    <row r="1214">
      <c r="A1214" s="18" t="s">
        <v>794</v>
      </c>
      <c r="B1214" s="8">
        <v>3644.0</v>
      </c>
      <c r="C1214" s="8">
        <v>2721555.0</v>
      </c>
      <c r="D1214" s="8">
        <v>2728277.0</v>
      </c>
      <c r="E1214" s="9" t="s">
        <v>944</v>
      </c>
      <c r="F1214" s="9"/>
      <c r="G1214" s="9" t="s">
        <v>945</v>
      </c>
      <c r="H1214" s="9"/>
      <c r="I1214" s="8">
        <v>1973.0</v>
      </c>
      <c r="J1214" s="9" t="s">
        <v>946</v>
      </c>
      <c r="K1214" s="9"/>
      <c r="L1214" s="9"/>
      <c r="M1214" s="9" t="s">
        <v>3455</v>
      </c>
      <c r="N1214" s="9" t="s">
        <v>35</v>
      </c>
      <c r="O1214" s="9" t="s">
        <v>3456</v>
      </c>
      <c r="P1214" s="9" t="s">
        <v>1296</v>
      </c>
    </row>
    <row r="1215">
      <c r="A1215" s="18" t="s">
        <v>794</v>
      </c>
      <c r="B1215" s="8">
        <v>3646.0</v>
      </c>
      <c r="C1215" s="8">
        <v>2742547.0</v>
      </c>
      <c r="D1215" s="8">
        <v>2745536.0</v>
      </c>
      <c r="E1215" s="9" t="s">
        <v>944</v>
      </c>
      <c r="F1215" s="9"/>
      <c r="G1215" s="9" t="s">
        <v>945</v>
      </c>
      <c r="H1215" s="9"/>
      <c r="I1215" s="8">
        <v>1973.0</v>
      </c>
      <c r="J1215" s="9" t="s">
        <v>946</v>
      </c>
      <c r="K1215" s="9"/>
      <c r="L1215" s="9"/>
      <c r="M1215" s="9" t="s">
        <v>3457</v>
      </c>
      <c r="N1215" s="9" t="s">
        <v>35</v>
      </c>
      <c r="O1215" s="9" t="s">
        <v>3458</v>
      </c>
      <c r="P1215" s="9" t="s">
        <v>1296</v>
      </c>
    </row>
    <row r="1216">
      <c r="A1216" s="18" t="s">
        <v>794</v>
      </c>
      <c r="B1216" s="8">
        <v>3650.0</v>
      </c>
      <c r="C1216" s="8">
        <v>2775798.0</v>
      </c>
      <c r="D1216" s="8">
        <v>2779687.0</v>
      </c>
      <c r="E1216" s="9" t="s">
        <v>944</v>
      </c>
      <c r="F1216" s="9"/>
      <c r="G1216" s="9" t="s">
        <v>945</v>
      </c>
      <c r="H1216" s="9"/>
      <c r="I1216" s="8">
        <v>1973.0</v>
      </c>
      <c r="J1216" s="9" t="s">
        <v>946</v>
      </c>
      <c r="K1216" s="9"/>
      <c r="L1216" s="9"/>
      <c r="M1216" s="9" t="s">
        <v>3459</v>
      </c>
      <c r="N1216" s="9" t="s">
        <v>35</v>
      </c>
      <c r="O1216" s="9" t="s">
        <v>3460</v>
      </c>
      <c r="P1216" s="9" t="s">
        <v>1296</v>
      </c>
    </row>
    <row r="1217">
      <c r="A1217" s="18" t="s">
        <v>794</v>
      </c>
      <c r="B1217" s="8">
        <v>3664.0</v>
      </c>
      <c r="C1217" s="8">
        <v>2848059.0</v>
      </c>
      <c r="D1217" s="8">
        <v>2851663.0</v>
      </c>
      <c r="E1217" s="9" t="s">
        <v>944</v>
      </c>
      <c r="F1217" s="9"/>
      <c r="G1217" s="9" t="s">
        <v>945</v>
      </c>
      <c r="H1217" s="9"/>
      <c r="I1217" s="8">
        <v>1973.0</v>
      </c>
      <c r="J1217" s="9" t="s">
        <v>946</v>
      </c>
      <c r="K1217" s="9"/>
      <c r="L1217" s="9"/>
      <c r="M1217" s="9" t="s">
        <v>3461</v>
      </c>
      <c r="N1217" s="9" t="s">
        <v>35</v>
      </c>
      <c r="O1217" s="9" t="s">
        <v>3462</v>
      </c>
      <c r="P1217" s="9" t="s">
        <v>1296</v>
      </c>
    </row>
    <row r="1218">
      <c r="A1218" s="18" t="s">
        <v>794</v>
      </c>
      <c r="B1218" s="8">
        <v>3687.0</v>
      </c>
      <c r="C1218" s="8">
        <v>110259.0</v>
      </c>
      <c r="D1218" s="8">
        <v>114631.0</v>
      </c>
      <c r="E1218" s="9" t="s">
        <v>966</v>
      </c>
      <c r="F1218" s="9"/>
      <c r="G1218" s="9" t="s">
        <v>967</v>
      </c>
      <c r="H1218" s="9"/>
      <c r="I1218" s="8">
        <v>1955.0</v>
      </c>
      <c r="J1218" s="9" t="s">
        <v>881</v>
      </c>
      <c r="K1218" s="9"/>
      <c r="L1218" s="9"/>
      <c r="M1218" s="9" t="s">
        <v>3463</v>
      </c>
      <c r="N1218" s="9" t="s">
        <v>35</v>
      </c>
      <c r="O1218" s="9" t="s">
        <v>3464</v>
      </c>
      <c r="P1218" s="9" t="s">
        <v>1296</v>
      </c>
    </row>
    <row r="1219">
      <c r="A1219" s="18" t="s">
        <v>794</v>
      </c>
      <c r="B1219" s="8">
        <v>3692.0</v>
      </c>
      <c r="C1219" s="8">
        <v>137198.0</v>
      </c>
      <c r="D1219" s="8">
        <v>141979.0</v>
      </c>
      <c r="E1219" s="9" t="s">
        <v>966</v>
      </c>
      <c r="F1219" s="9"/>
      <c r="G1219" s="9" t="s">
        <v>967</v>
      </c>
      <c r="H1219" s="9"/>
      <c r="I1219" s="8">
        <v>1955.0</v>
      </c>
      <c r="J1219" s="9" t="s">
        <v>881</v>
      </c>
      <c r="K1219" s="9"/>
      <c r="L1219" s="9"/>
      <c r="M1219" s="9" t="s">
        <v>3465</v>
      </c>
      <c r="N1219" s="9" t="s">
        <v>35</v>
      </c>
      <c r="O1219" s="9" t="s">
        <v>3466</v>
      </c>
      <c r="P1219" s="10" t="s">
        <v>1298</v>
      </c>
    </row>
    <row r="1220">
      <c r="A1220" s="18" t="s">
        <v>794</v>
      </c>
      <c r="B1220" s="8">
        <v>3692.0</v>
      </c>
      <c r="C1220" s="8">
        <v>137198.0</v>
      </c>
      <c r="D1220" s="8">
        <v>141979.0</v>
      </c>
      <c r="E1220" s="9" t="s">
        <v>966</v>
      </c>
      <c r="F1220" s="9"/>
      <c r="G1220" s="9" t="s">
        <v>967</v>
      </c>
      <c r="H1220" s="9"/>
      <c r="I1220" s="8">
        <v>1955.0</v>
      </c>
      <c r="J1220" s="9" t="s">
        <v>881</v>
      </c>
      <c r="K1220" s="9"/>
      <c r="L1220" s="9"/>
      <c r="M1220" s="9" t="s">
        <v>3467</v>
      </c>
      <c r="N1220" s="9" t="s">
        <v>35</v>
      </c>
      <c r="O1220" s="9" t="s">
        <v>3468</v>
      </c>
      <c r="P1220" s="9" t="s">
        <v>1316</v>
      </c>
    </row>
    <row r="1221">
      <c r="A1221" s="18" t="s">
        <v>794</v>
      </c>
      <c r="B1221" s="8">
        <v>3705.0</v>
      </c>
      <c r="C1221" s="8">
        <v>221778.0</v>
      </c>
      <c r="D1221" s="8">
        <v>228745.0</v>
      </c>
      <c r="E1221" s="9" t="s">
        <v>966</v>
      </c>
      <c r="F1221" s="9"/>
      <c r="G1221" s="9" t="s">
        <v>967</v>
      </c>
      <c r="H1221" s="9"/>
      <c r="I1221" s="8">
        <v>1955.0</v>
      </c>
      <c r="J1221" s="9" t="s">
        <v>881</v>
      </c>
      <c r="K1221" s="9"/>
      <c r="L1221" s="9"/>
      <c r="M1221" s="9" t="s">
        <v>3469</v>
      </c>
      <c r="N1221" s="9" t="s">
        <v>35</v>
      </c>
      <c r="O1221" s="9" t="s">
        <v>3470</v>
      </c>
      <c r="P1221" s="9" t="s">
        <v>1296</v>
      </c>
    </row>
    <row r="1222">
      <c r="A1222" s="18" t="s">
        <v>794</v>
      </c>
      <c r="B1222" s="8">
        <v>3710.0</v>
      </c>
      <c r="C1222" s="8">
        <v>255643.0</v>
      </c>
      <c r="D1222" s="8">
        <v>261100.0</v>
      </c>
      <c r="E1222" s="9" t="s">
        <v>966</v>
      </c>
      <c r="F1222" s="9"/>
      <c r="G1222" s="9" t="s">
        <v>967</v>
      </c>
      <c r="H1222" s="9"/>
      <c r="I1222" s="8">
        <v>1955.0</v>
      </c>
      <c r="J1222" s="9" t="s">
        <v>881</v>
      </c>
      <c r="K1222" s="9"/>
      <c r="L1222" s="9"/>
      <c r="M1222" s="9" t="s">
        <v>3471</v>
      </c>
      <c r="N1222" s="9" t="s">
        <v>35</v>
      </c>
      <c r="O1222" s="9" t="s">
        <v>3472</v>
      </c>
      <c r="P1222" s="9" t="s">
        <v>1296</v>
      </c>
    </row>
    <row r="1223">
      <c r="A1223" s="18" t="s">
        <v>794</v>
      </c>
      <c r="B1223" s="8">
        <v>3734.0</v>
      </c>
      <c r="C1223" s="8">
        <v>416069.0</v>
      </c>
      <c r="D1223" s="8">
        <v>423752.0</v>
      </c>
      <c r="E1223" s="9" t="s">
        <v>966</v>
      </c>
      <c r="F1223" s="9"/>
      <c r="G1223" s="9" t="s">
        <v>967</v>
      </c>
      <c r="H1223" s="9"/>
      <c r="I1223" s="8">
        <v>1955.0</v>
      </c>
      <c r="J1223" s="9" t="s">
        <v>881</v>
      </c>
      <c r="K1223" s="9"/>
      <c r="L1223" s="9"/>
      <c r="M1223" s="9" t="s">
        <v>3473</v>
      </c>
      <c r="N1223" s="9" t="s">
        <v>35</v>
      </c>
      <c r="O1223" s="9" t="s">
        <v>3474</v>
      </c>
      <c r="P1223" s="9" t="s">
        <v>1296</v>
      </c>
    </row>
    <row r="1224">
      <c r="A1224" s="18" t="s">
        <v>794</v>
      </c>
      <c r="B1224" s="8">
        <v>3735.0</v>
      </c>
      <c r="C1224" s="8">
        <v>427192.0</v>
      </c>
      <c r="D1224" s="8">
        <v>429929.0</v>
      </c>
      <c r="E1224" s="9" t="s">
        <v>966</v>
      </c>
      <c r="F1224" s="9"/>
      <c r="G1224" s="9" t="s">
        <v>967</v>
      </c>
      <c r="H1224" s="9"/>
      <c r="I1224" s="8">
        <v>1955.0</v>
      </c>
      <c r="J1224" s="9" t="s">
        <v>881</v>
      </c>
      <c r="K1224" s="9"/>
      <c r="L1224" s="9"/>
      <c r="M1224" s="9" t="s">
        <v>3475</v>
      </c>
      <c r="N1224" s="9" t="s">
        <v>35</v>
      </c>
      <c r="O1224" s="9" t="s">
        <v>3476</v>
      </c>
      <c r="P1224" s="9" t="s">
        <v>1296</v>
      </c>
    </row>
    <row r="1225">
      <c r="A1225" s="18" t="s">
        <v>794</v>
      </c>
      <c r="B1225" s="8">
        <v>3742.0</v>
      </c>
      <c r="C1225" s="8">
        <v>483111.0</v>
      </c>
      <c r="D1225" s="8">
        <v>490502.0</v>
      </c>
      <c r="E1225" s="9" t="s">
        <v>966</v>
      </c>
      <c r="F1225" s="9"/>
      <c r="G1225" s="9" t="s">
        <v>967</v>
      </c>
      <c r="H1225" s="9"/>
      <c r="I1225" s="8">
        <v>1955.0</v>
      </c>
      <c r="J1225" s="9" t="s">
        <v>881</v>
      </c>
      <c r="K1225" s="9"/>
      <c r="L1225" s="9"/>
      <c r="M1225" s="9" t="s">
        <v>3477</v>
      </c>
      <c r="N1225" s="9" t="s">
        <v>35</v>
      </c>
      <c r="O1225" s="9" t="s">
        <v>3478</v>
      </c>
      <c r="P1225" s="9" t="s">
        <v>1300</v>
      </c>
    </row>
    <row r="1226">
      <c r="A1226" s="18" t="s">
        <v>794</v>
      </c>
      <c r="B1226" s="8">
        <v>3748.0</v>
      </c>
      <c r="C1226" s="8">
        <v>527632.0</v>
      </c>
      <c r="D1226" s="8">
        <v>533592.0</v>
      </c>
      <c r="E1226" s="9" t="s">
        <v>966</v>
      </c>
      <c r="F1226" s="9"/>
      <c r="G1226" s="9" t="s">
        <v>967</v>
      </c>
      <c r="H1226" s="9"/>
      <c r="I1226" s="8">
        <v>1955.0</v>
      </c>
      <c r="J1226" s="9" t="s">
        <v>881</v>
      </c>
      <c r="K1226" s="9"/>
      <c r="L1226" s="9"/>
      <c r="M1226" s="9" t="s">
        <v>3479</v>
      </c>
      <c r="N1226" s="9" t="s">
        <v>35</v>
      </c>
      <c r="O1226" s="9" t="s">
        <v>3480</v>
      </c>
      <c r="P1226" s="9" t="s">
        <v>3280</v>
      </c>
    </row>
    <row r="1227">
      <c r="A1227" s="18" t="s">
        <v>794</v>
      </c>
      <c r="B1227" s="8">
        <v>3748.0</v>
      </c>
      <c r="C1227" s="8">
        <v>527632.0</v>
      </c>
      <c r="D1227" s="8">
        <v>533592.0</v>
      </c>
      <c r="E1227" s="9" t="s">
        <v>966</v>
      </c>
      <c r="F1227" s="9"/>
      <c r="G1227" s="9" t="s">
        <v>967</v>
      </c>
      <c r="H1227" s="9"/>
      <c r="I1227" s="8">
        <v>1955.0</v>
      </c>
      <c r="J1227" s="9" t="s">
        <v>881</v>
      </c>
      <c r="K1227" s="9"/>
      <c r="L1227" s="9"/>
      <c r="M1227" s="9" t="s">
        <v>3481</v>
      </c>
      <c r="N1227" s="9" t="s">
        <v>35</v>
      </c>
      <c r="O1227" s="9" t="s">
        <v>3482</v>
      </c>
      <c r="P1227" s="9" t="s">
        <v>1296</v>
      </c>
    </row>
    <row r="1228">
      <c r="A1228" s="18" t="s">
        <v>794</v>
      </c>
      <c r="B1228" s="8">
        <v>3754.0</v>
      </c>
      <c r="C1228" s="8">
        <v>579887.0</v>
      </c>
      <c r="D1228" s="8">
        <v>590455.0</v>
      </c>
      <c r="E1228" s="9" t="s">
        <v>966</v>
      </c>
      <c r="F1228" s="9"/>
      <c r="G1228" s="9" t="s">
        <v>967</v>
      </c>
      <c r="H1228" s="9"/>
      <c r="I1228" s="8">
        <v>1955.0</v>
      </c>
      <c r="J1228" s="9" t="s">
        <v>881</v>
      </c>
      <c r="K1228" s="9"/>
      <c r="L1228" s="9"/>
      <c r="M1228" s="9" t="s">
        <v>3483</v>
      </c>
      <c r="N1228" s="9" t="s">
        <v>35</v>
      </c>
      <c r="O1228" s="9" t="s">
        <v>3484</v>
      </c>
      <c r="P1228" s="10" t="s">
        <v>1298</v>
      </c>
    </row>
    <row r="1229">
      <c r="A1229" s="18" t="s">
        <v>794</v>
      </c>
      <c r="B1229" s="8">
        <v>3768.0</v>
      </c>
      <c r="C1229" s="8">
        <v>682414.0</v>
      </c>
      <c r="D1229" s="8">
        <v>685889.0</v>
      </c>
      <c r="E1229" s="9" t="s">
        <v>966</v>
      </c>
      <c r="F1229" s="9"/>
      <c r="G1229" s="9" t="s">
        <v>967</v>
      </c>
      <c r="H1229" s="9"/>
      <c r="I1229" s="8">
        <v>1955.0</v>
      </c>
      <c r="J1229" s="9" t="s">
        <v>881</v>
      </c>
      <c r="K1229" s="9"/>
      <c r="L1229" s="9"/>
      <c r="M1229" s="9" t="s">
        <v>1259</v>
      </c>
      <c r="N1229" s="9" t="s">
        <v>35</v>
      </c>
      <c r="O1229" s="9" t="s">
        <v>3485</v>
      </c>
      <c r="P1229" s="9" t="s">
        <v>3148</v>
      </c>
    </row>
    <row r="1230">
      <c r="A1230" s="18" t="s">
        <v>794</v>
      </c>
      <c r="B1230" s="8">
        <v>3769.0</v>
      </c>
      <c r="C1230" s="8">
        <v>685920.0</v>
      </c>
      <c r="D1230" s="8">
        <v>690229.0</v>
      </c>
      <c r="E1230" s="9" t="s">
        <v>966</v>
      </c>
      <c r="F1230" s="9"/>
      <c r="G1230" s="9" t="s">
        <v>967</v>
      </c>
      <c r="H1230" s="9"/>
      <c r="I1230" s="8">
        <v>1955.0</v>
      </c>
      <c r="J1230" s="9" t="s">
        <v>881</v>
      </c>
      <c r="K1230" s="9"/>
      <c r="L1230" s="9"/>
      <c r="M1230" s="9" t="s">
        <v>88</v>
      </c>
      <c r="N1230" s="9" t="s">
        <v>35</v>
      </c>
      <c r="O1230" s="9" t="s">
        <v>3486</v>
      </c>
      <c r="P1230" s="9" t="s">
        <v>3148</v>
      </c>
    </row>
    <row r="1231">
      <c r="A1231" s="18" t="s">
        <v>794</v>
      </c>
      <c r="B1231" s="8">
        <v>3769.0</v>
      </c>
      <c r="C1231" s="8">
        <v>685920.0</v>
      </c>
      <c r="D1231" s="8">
        <v>690229.0</v>
      </c>
      <c r="E1231" s="9" t="s">
        <v>966</v>
      </c>
      <c r="F1231" s="9"/>
      <c r="G1231" s="9" t="s">
        <v>967</v>
      </c>
      <c r="H1231" s="9"/>
      <c r="I1231" s="8">
        <v>1955.0</v>
      </c>
      <c r="J1231" s="9" t="s">
        <v>881</v>
      </c>
      <c r="K1231" s="9"/>
      <c r="L1231" s="9"/>
      <c r="M1231" s="9" t="s">
        <v>3487</v>
      </c>
      <c r="N1231" s="9" t="s">
        <v>35</v>
      </c>
      <c r="O1231" s="9" t="s">
        <v>3488</v>
      </c>
      <c r="P1231" s="9" t="s">
        <v>1296</v>
      </c>
    </row>
    <row r="1232">
      <c r="A1232" s="18" t="s">
        <v>794</v>
      </c>
      <c r="B1232" s="8">
        <v>3776.0</v>
      </c>
      <c r="C1232" s="8">
        <v>728895.0</v>
      </c>
      <c r="D1232" s="8">
        <v>734683.0</v>
      </c>
      <c r="E1232" s="9" t="s">
        <v>966</v>
      </c>
      <c r="F1232" s="9"/>
      <c r="G1232" s="9" t="s">
        <v>967</v>
      </c>
      <c r="H1232" s="9"/>
      <c r="I1232" s="8">
        <v>1955.0</v>
      </c>
      <c r="J1232" s="9" t="s">
        <v>881</v>
      </c>
      <c r="K1232" s="9"/>
      <c r="L1232" s="9"/>
      <c r="M1232" s="9" t="s">
        <v>3489</v>
      </c>
      <c r="N1232" s="9" t="s">
        <v>35</v>
      </c>
      <c r="O1232" s="9" t="s">
        <v>3490</v>
      </c>
      <c r="P1232" s="9" t="s">
        <v>1316</v>
      </c>
    </row>
    <row r="1233">
      <c r="A1233" s="18" t="s">
        <v>794</v>
      </c>
      <c r="B1233" s="8">
        <v>3776.0</v>
      </c>
      <c r="C1233" s="8">
        <v>728895.0</v>
      </c>
      <c r="D1233" s="8">
        <v>734683.0</v>
      </c>
      <c r="E1233" s="9" t="s">
        <v>966</v>
      </c>
      <c r="F1233" s="9"/>
      <c r="G1233" s="9" t="s">
        <v>967</v>
      </c>
      <c r="H1233" s="9"/>
      <c r="I1233" s="8">
        <v>1955.0</v>
      </c>
      <c r="J1233" s="9" t="s">
        <v>881</v>
      </c>
      <c r="K1233" s="9"/>
      <c r="L1233" s="9"/>
      <c r="M1233" s="9" t="s">
        <v>3491</v>
      </c>
      <c r="N1233" s="9" t="s">
        <v>45</v>
      </c>
      <c r="O1233" s="9" t="s">
        <v>3492</v>
      </c>
      <c r="P1233" s="9" t="s">
        <v>3148</v>
      </c>
    </row>
    <row r="1234">
      <c r="A1234" s="18" t="s">
        <v>794</v>
      </c>
      <c r="B1234" s="8">
        <v>3801.0</v>
      </c>
      <c r="C1234" s="8">
        <v>1129922.0</v>
      </c>
      <c r="D1234" s="8">
        <v>1137888.0</v>
      </c>
      <c r="E1234" s="9" t="s">
        <v>966</v>
      </c>
      <c r="F1234" s="9"/>
      <c r="G1234" s="9" t="s">
        <v>967</v>
      </c>
      <c r="H1234" s="9"/>
      <c r="I1234" s="8">
        <v>1955.0</v>
      </c>
      <c r="J1234" s="9" t="s">
        <v>881</v>
      </c>
      <c r="K1234" s="9"/>
      <c r="L1234" s="9"/>
      <c r="M1234" s="9" t="s">
        <v>285</v>
      </c>
      <c r="N1234" s="9" t="s">
        <v>35</v>
      </c>
      <c r="O1234" s="9" t="s">
        <v>3493</v>
      </c>
      <c r="P1234" s="9" t="s">
        <v>1296</v>
      </c>
    </row>
    <row r="1235">
      <c r="A1235" s="18" t="s">
        <v>794</v>
      </c>
      <c r="B1235" s="8">
        <v>3810.0</v>
      </c>
      <c r="C1235" s="8">
        <v>1194745.0</v>
      </c>
      <c r="D1235" s="8">
        <v>1203498.0</v>
      </c>
      <c r="E1235" s="9" t="s">
        <v>966</v>
      </c>
      <c r="F1235" s="9"/>
      <c r="G1235" s="9" t="s">
        <v>967</v>
      </c>
      <c r="H1235" s="9"/>
      <c r="I1235" s="8">
        <v>1955.0</v>
      </c>
      <c r="J1235" s="9" t="s">
        <v>881</v>
      </c>
      <c r="K1235" s="9"/>
      <c r="L1235" s="9"/>
      <c r="M1235" s="9" t="s">
        <v>3494</v>
      </c>
      <c r="N1235" s="9" t="s">
        <v>35</v>
      </c>
      <c r="O1235" s="9" t="s">
        <v>3495</v>
      </c>
      <c r="P1235" s="9" t="s">
        <v>2275</v>
      </c>
    </row>
    <row r="1236">
      <c r="A1236" s="18" t="s">
        <v>794</v>
      </c>
      <c r="B1236" s="8">
        <v>3811.0</v>
      </c>
      <c r="C1236" s="8">
        <v>1203544.0</v>
      </c>
      <c r="D1236" s="8">
        <v>1218524.0</v>
      </c>
      <c r="E1236" s="9" t="s">
        <v>966</v>
      </c>
      <c r="F1236" s="9"/>
      <c r="G1236" s="9" t="s">
        <v>967</v>
      </c>
      <c r="H1236" s="9"/>
      <c r="I1236" s="8">
        <v>1955.0</v>
      </c>
      <c r="J1236" s="9" t="s">
        <v>881</v>
      </c>
      <c r="K1236" s="9"/>
      <c r="L1236" s="9"/>
      <c r="M1236" s="9" t="s">
        <v>3496</v>
      </c>
      <c r="N1236" s="9" t="s">
        <v>35</v>
      </c>
      <c r="O1236" s="9" t="s">
        <v>3497</v>
      </c>
      <c r="P1236" s="9" t="s">
        <v>1316</v>
      </c>
    </row>
    <row r="1237">
      <c r="A1237" s="18" t="s">
        <v>794</v>
      </c>
      <c r="B1237" s="8">
        <v>3811.0</v>
      </c>
      <c r="C1237" s="8">
        <v>1203544.0</v>
      </c>
      <c r="D1237" s="8">
        <v>1218524.0</v>
      </c>
      <c r="E1237" s="9" t="s">
        <v>966</v>
      </c>
      <c r="F1237" s="9"/>
      <c r="G1237" s="9" t="s">
        <v>967</v>
      </c>
      <c r="H1237" s="9"/>
      <c r="I1237" s="8">
        <v>1955.0</v>
      </c>
      <c r="J1237" s="9" t="s">
        <v>881</v>
      </c>
      <c r="K1237" s="9"/>
      <c r="L1237" s="9"/>
      <c r="M1237" s="9" t="s">
        <v>3498</v>
      </c>
      <c r="N1237" s="9" t="s">
        <v>35</v>
      </c>
      <c r="O1237" s="9" t="s">
        <v>3499</v>
      </c>
      <c r="P1237" s="9" t="s">
        <v>1316</v>
      </c>
    </row>
    <row r="1238">
      <c r="A1238" s="18" t="s">
        <v>794</v>
      </c>
      <c r="B1238" s="8">
        <v>3816.0</v>
      </c>
      <c r="C1238" s="8">
        <v>1263040.0</v>
      </c>
      <c r="D1238" s="8">
        <v>1274027.0</v>
      </c>
      <c r="E1238" s="9" t="s">
        <v>966</v>
      </c>
      <c r="F1238" s="9"/>
      <c r="G1238" s="9" t="s">
        <v>967</v>
      </c>
      <c r="H1238" s="9"/>
      <c r="I1238" s="8">
        <v>1955.0</v>
      </c>
      <c r="J1238" s="9" t="s">
        <v>881</v>
      </c>
      <c r="K1238" s="9"/>
      <c r="L1238" s="9"/>
      <c r="M1238" s="9" t="s">
        <v>3500</v>
      </c>
      <c r="N1238" s="9" t="s">
        <v>35</v>
      </c>
      <c r="O1238" s="9" t="s">
        <v>3501</v>
      </c>
      <c r="P1238" s="9" t="s">
        <v>1296</v>
      </c>
    </row>
    <row r="1239">
      <c r="A1239" s="18" t="s">
        <v>794</v>
      </c>
      <c r="B1239" s="8">
        <v>3835.0</v>
      </c>
      <c r="C1239" s="8">
        <v>1393195.0</v>
      </c>
      <c r="D1239" s="8">
        <v>1402368.0</v>
      </c>
      <c r="E1239" s="9" t="s">
        <v>966</v>
      </c>
      <c r="F1239" s="9"/>
      <c r="G1239" s="9" t="s">
        <v>967</v>
      </c>
      <c r="H1239" s="9"/>
      <c r="I1239" s="8">
        <v>1955.0</v>
      </c>
      <c r="J1239" s="9" t="s">
        <v>881</v>
      </c>
      <c r="K1239" s="9"/>
      <c r="L1239" s="9"/>
      <c r="M1239" s="9" t="s">
        <v>3502</v>
      </c>
      <c r="N1239" s="9" t="s">
        <v>35</v>
      </c>
      <c r="O1239" s="9" t="s">
        <v>3503</v>
      </c>
      <c r="P1239" s="9" t="s">
        <v>1296</v>
      </c>
    </row>
    <row r="1240">
      <c r="A1240" s="18" t="s">
        <v>794</v>
      </c>
      <c r="B1240" s="8">
        <v>3842.0</v>
      </c>
      <c r="C1240" s="8">
        <v>1441139.0</v>
      </c>
      <c r="D1240" s="8">
        <v>1448559.0</v>
      </c>
      <c r="E1240" s="9" t="s">
        <v>966</v>
      </c>
      <c r="F1240" s="9"/>
      <c r="G1240" s="9" t="s">
        <v>967</v>
      </c>
      <c r="H1240" s="9"/>
      <c r="I1240" s="8">
        <v>1955.0</v>
      </c>
      <c r="J1240" s="9" t="s">
        <v>881</v>
      </c>
      <c r="K1240" s="9"/>
      <c r="L1240" s="9"/>
      <c r="M1240" s="9"/>
      <c r="N1240" s="9" t="s">
        <v>45</v>
      </c>
      <c r="O1240" s="9" t="s">
        <v>3504</v>
      </c>
      <c r="P1240" s="9" t="s">
        <v>1296</v>
      </c>
    </row>
    <row r="1241">
      <c r="A1241" s="18" t="s">
        <v>794</v>
      </c>
      <c r="B1241" s="8">
        <v>3856.0</v>
      </c>
      <c r="C1241" s="8">
        <v>30915.0</v>
      </c>
      <c r="D1241" s="8">
        <v>36595.0</v>
      </c>
      <c r="E1241" s="9" t="s">
        <v>981</v>
      </c>
      <c r="F1241" s="9"/>
      <c r="G1241" s="9" t="s">
        <v>982</v>
      </c>
      <c r="H1241" s="9"/>
      <c r="I1241" s="8">
        <v>1956.0</v>
      </c>
      <c r="J1241" s="9" t="s">
        <v>346</v>
      </c>
      <c r="K1241" s="9"/>
      <c r="L1241" s="9"/>
      <c r="M1241" s="9" t="s">
        <v>3505</v>
      </c>
      <c r="N1241" s="9" t="s">
        <v>35</v>
      </c>
      <c r="O1241" s="9" t="s">
        <v>3506</v>
      </c>
      <c r="P1241" s="9" t="s">
        <v>3148</v>
      </c>
    </row>
    <row r="1242">
      <c r="A1242" s="18" t="s">
        <v>794</v>
      </c>
      <c r="B1242" s="8">
        <v>3872.0</v>
      </c>
      <c r="C1242" s="8">
        <v>82795.0</v>
      </c>
      <c r="D1242" s="8">
        <v>85295.0</v>
      </c>
      <c r="E1242" s="9" t="s">
        <v>981</v>
      </c>
      <c r="F1242" s="9"/>
      <c r="G1242" s="9" t="s">
        <v>982</v>
      </c>
      <c r="H1242" s="9"/>
      <c r="I1242" s="8">
        <v>1956.0</v>
      </c>
      <c r="J1242" s="9" t="s">
        <v>346</v>
      </c>
      <c r="K1242" s="9"/>
      <c r="L1242" s="9"/>
      <c r="M1242" s="9" t="s">
        <v>3507</v>
      </c>
      <c r="N1242" s="9" t="s">
        <v>35</v>
      </c>
      <c r="O1242" s="9" t="s">
        <v>3508</v>
      </c>
      <c r="P1242" s="9" t="s">
        <v>1296</v>
      </c>
    </row>
    <row r="1243">
      <c r="A1243" s="18" t="s">
        <v>794</v>
      </c>
      <c r="B1243" s="8">
        <v>3887.0</v>
      </c>
      <c r="C1243" s="8">
        <v>119005.0</v>
      </c>
      <c r="D1243" s="8">
        <v>123005.0</v>
      </c>
      <c r="E1243" s="9" t="s">
        <v>981</v>
      </c>
      <c r="F1243" s="9"/>
      <c r="G1243" s="9" t="s">
        <v>982</v>
      </c>
      <c r="H1243" s="9"/>
      <c r="I1243" s="8">
        <v>1956.0</v>
      </c>
      <c r="J1243" s="9" t="s">
        <v>346</v>
      </c>
      <c r="K1243" s="9"/>
      <c r="L1243" s="9"/>
      <c r="M1243" s="9" t="s">
        <v>3509</v>
      </c>
      <c r="N1243" s="9" t="s">
        <v>35</v>
      </c>
      <c r="O1243" s="9" t="s">
        <v>3510</v>
      </c>
      <c r="P1243" s="9" t="s">
        <v>1296</v>
      </c>
    </row>
    <row r="1244">
      <c r="A1244" s="18" t="s">
        <v>794</v>
      </c>
      <c r="B1244" s="8">
        <v>3960.0</v>
      </c>
      <c r="C1244" s="8">
        <v>360911.0</v>
      </c>
      <c r="D1244" s="8">
        <v>365278.0</v>
      </c>
      <c r="E1244" s="9" t="s">
        <v>981</v>
      </c>
      <c r="F1244" s="9"/>
      <c r="G1244" s="9" t="s">
        <v>982</v>
      </c>
      <c r="H1244" s="9"/>
      <c r="I1244" s="8">
        <v>1956.0</v>
      </c>
      <c r="J1244" s="9" t="s">
        <v>346</v>
      </c>
      <c r="K1244" s="9"/>
      <c r="L1244" s="9"/>
      <c r="M1244" s="9" t="s">
        <v>3511</v>
      </c>
      <c r="N1244" s="9" t="s">
        <v>35</v>
      </c>
      <c r="O1244" s="9" t="s">
        <v>3512</v>
      </c>
      <c r="P1244" s="9" t="s">
        <v>1300</v>
      </c>
    </row>
    <row r="1245">
      <c r="A1245" s="18" t="s">
        <v>794</v>
      </c>
      <c r="B1245" s="8">
        <v>3998.0</v>
      </c>
      <c r="C1245" s="8">
        <v>513657.0</v>
      </c>
      <c r="D1245" s="8">
        <v>518436.0</v>
      </c>
      <c r="E1245" s="9" t="s">
        <v>981</v>
      </c>
      <c r="F1245" s="9"/>
      <c r="G1245" s="9" t="s">
        <v>982</v>
      </c>
      <c r="H1245" s="9"/>
      <c r="I1245" s="8">
        <v>1956.0</v>
      </c>
      <c r="J1245" s="9" t="s">
        <v>346</v>
      </c>
      <c r="K1245" s="9"/>
      <c r="L1245" s="9"/>
      <c r="M1245" s="9" t="s">
        <v>3513</v>
      </c>
      <c r="N1245" s="9" t="s">
        <v>35</v>
      </c>
      <c r="O1245" s="9" t="s">
        <v>3514</v>
      </c>
      <c r="P1245" s="9" t="s">
        <v>1296</v>
      </c>
    </row>
    <row r="1246">
      <c r="A1246" s="18" t="s">
        <v>794</v>
      </c>
      <c r="B1246" s="8">
        <v>4004.0</v>
      </c>
      <c r="C1246" s="8">
        <v>533024.0</v>
      </c>
      <c r="D1246" s="8">
        <v>536407.0</v>
      </c>
      <c r="E1246" s="9" t="s">
        <v>981</v>
      </c>
      <c r="F1246" s="9"/>
      <c r="G1246" s="9" t="s">
        <v>982</v>
      </c>
      <c r="H1246" s="9"/>
      <c r="I1246" s="8">
        <v>1956.0</v>
      </c>
      <c r="J1246" s="9" t="s">
        <v>346</v>
      </c>
      <c r="K1246" s="9"/>
      <c r="L1246" s="9"/>
      <c r="M1246" s="9" t="s">
        <v>3515</v>
      </c>
      <c r="N1246" s="9" t="s">
        <v>35</v>
      </c>
      <c r="O1246" s="9" t="s">
        <v>3516</v>
      </c>
      <c r="P1246" s="9" t="s">
        <v>1296</v>
      </c>
    </row>
    <row r="1247">
      <c r="A1247" s="18" t="s">
        <v>794</v>
      </c>
      <c r="B1247" s="8">
        <v>4005.0</v>
      </c>
      <c r="C1247" s="8">
        <v>536486.0</v>
      </c>
      <c r="D1247" s="8">
        <v>537677.0</v>
      </c>
      <c r="E1247" s="9" t="s">
        <v>981</v>
      </c>
      <c r="F1247" s="9"/>
      <c r="G1247" s="9" t="s">
        <v>982</v>
      </c>
      <c r="H1247" s="9"/>
      <c r="I1247" s="8">
        <v>1956.0</v>
      </c>
      <c r="J1247" s="9" t="s">
        <v>346</v>
      </c>
      <c r="K1247" s="9"/>
      <c r="L1247" s="9"/>
      <c r="M1247" s="9"/>
      <c r="N1247" s="9" t="s">
        <v>35</v>
      </c>
      <c r="O1247" s="9" t="s">
        <v>3517</v>
      </c>
      <c r="P1247" s="9" t="s">
        <v>1296</v>
      </c>
    </row>
    <row r="1248">
      <c r="A1248" s="18" t="s">
        <v>794</v>
      </c>
      <c r="B1248" s="8">
        <v>4023.0</v>
      </c>
      <c r="C1248" s="8">
        <v>591300.0</v>
      </c>
      <c r="D1248" s="8">
        <v>596524.0</v>
      </c>
      <c r="E1248" s="9" t="s">
        <v>981</v>
      </c>
      <c r="F1248" s="9"/>
      <c r="G1248" s="9" t="s">
        <v>982</v>
      </c>
      <c r="H1248" s="9"/>
      <c r="I1248" s="8">
        <v>1956.0</v>
      </c>
      <c r="J1248" s="9" t="s">
        <v>346</v>
      </c>
      <c r="K1248" s="9"/>
      <c r="L1248" s="9"/>
      <c r="M1248" s="9" t="s">
        <v>3518</v>
      </c>
      <c r="N1248" s="9" t="s">
        <v>35</v>
      </c>
      <c r="O1248" s="9" t="s">
        <v>3519</v>
      </c>
      <c r="P1248" s="9" t="s">
        <v>3148</v>
      </c>
    </row>
    <row r="1249">
      <c r="A1249" s="18" t="s">
        <v>794</v>
      </c>
      <c r="B1249" s="8">
        <v>4024.0</v>
      </c>
      <c r="C1249" s="8">
        <v>597316.0</v>
      </c>
      <c r="D1249" s="8">
        <v>602332.0</v>
      </c>
      <c r="E1249" s="9" t="s">
        <v>981</v>
      </c>
      <c r="F1249" s="9"/>
      <c r="G1249" s="9" t="s">
        <v>982</v>
      </c>
      <c r="H1249" s="9"/>
      <c r="I1249" s="8">
        <v>1956.0</v>
      </c>
      <c r="J1249" s="9" t="s">
        <v>346</v>
      </c>
      <c r="K1249" s="9"/>
      <c r="L1249" s="9"/>
      <c r="M1249" s="9" t="s">
        <v>869</v>
      </c>
      <c r="N1249" s="9" t="s">
        <v>35</v>
      </c>
      <c r="O1249" s="9" t="s">
        <v>3520</v>
      </c>
      <c r="P1249" s="9" t="s">
        <v>3148</v>
      </c>
    </row>
    <row r="1250">
      <c r="A1250" s="18" t="s">
        <v>794</v>
      </c>
      <c r="B1250" s="8">
        <v>4036.0</v>
      </c>
      <c r="C1250" s="8">
        <v>648898.0</v>
      </c>
      <c r="D1250" s="8">
        <v>652605.0</v>
      </c>
      <c r="E1250" s="9" t="s">
        <v>981</v>
      </c>
      <c r="F1250" s="9"/>
      <c r="G1250" s="9" t="s">
        <v>982</v>
      </c>
      <c r="H1250" s="9"/>
      <c r="I1250" s="8">
        <v>1956.0</v>
      </c>
      <c r="J1250" s="9" t="s">
        <v>346</v>
      </c>
      <c r="K1250" s="9"/>
      <c r="L1250" s="9"/>
      <c r="M1250" s="9"/>
      <c r="N1250" s="9" t="s">
        <v>35</v>
      </c>
      <c r="O1250" s="9" t="s">
        <v>3521</v>
      </c>
      <c r="P1250" s="9" t="s">
        <v>1296</v>
      </c>
    </row>
    <row r="1251">
      <c r="A1251" s="18" t="s">
        <v>794</v>
      </c>
      <c r="B1251" s="8">
        <v>4040.0</v>
      </c>
      <c r="C1251" s="8">
        <v>658806.0</v>
      </c>
      <c r="D1251" s="8">
        <v>661039.0</v>
      </c>
      <c r="E1251" s="9" t="s">
        <v>981</v>
      </c>
      <c r="F1251" s="9"/>
      <c r="G1251" s="9" t="s">
        <v>982</v>
      </c>
      <c r="H1251" s="9"/>
      <c r="I1251" s="8">
        <v>1956.0</v>
      </c>
      <c r="J1251" s="9" t="s">
        <v>346</v>
      </c>
      <c r="K1251" s="9"/>
      <c r="L1251" s="9"/>
      <c r="M1251" s="9"/>
      <c r="N1251" s="9" t="s">
        <v>35</v>
      </c>
      <c r="O1251" s="9" t="s">
        <v>3522</v>
      </c>
      <c r="P1251" s="9" t="s">
        <v>1316</v>
      </c>
    </row>
    <row r="1252">
      <c r="A1252" s="18" t="s">
        <v>794</v>
      </c>
      <c r="B1252" s="8">
        <v>4044.0</v>
      </c>
      <c r="C1252" s="8">
        <v>672607.0</v>
      </c>
      <c r="D1252" s="8">
        <v>674224.0</v>
      </c>
      <c r="E1252" s="9" t="s">
        <v>981</v>
      </c>
      <c r="F1252" s="9"/>
      <c r="G1252" s="9" t="s">
        <v>982</v>
      </c>
      <c r="H1252" s="9"/>
      <c r="I1252" s="8">
        <v>1956.0</v>
      </c>
      <c r="J1252" s="9" t="s">
        <v>346</v>
      </c>
      <c r="K1252" s="9"/>
      <c r="L1252" s="9"/>
      <c r="M1252" s="9"/>
      <c r="N1252" s="9" t="s">
        <v>35</v>
      </c>
      <c r="O1252" s="9" t="s">
        <v>3523</v>
      </c>
      <c r="P1252" s="9" t="s">
        <v>1316</v>
      </c>
    </row>
    <row r="1253">
      <c r="A1253" s="18" t="s">
        <v>794</v>
      </c>
      <c r="B1253" s="8">
        <v>4132.0</v>
      </c>
      <c r="C1253" s="8">
        <v>46226.0</v>
      </c>
      <c r="D1253" s="8">
        <v>49471.0</v>
      </c>
      <c r="E1253" s="9" t="s">
        <v>1000</v>
      </c>
      <c r="F1253" s="9"/>
      <c r="G1253" s="9" t="s">
        <v>1001</v>
      </c>
      <c r="H1253" s="9"/>
      <c r="I1253" s="8">
        <v>1932.0</v>
      </c>
      <c r="J1253" s="9" t="s">
        <v>389</v>
      </c>
      <c r="K1253" s="9"/>
      <c r="L1253" s="9"/>
      <c r="M1253" s="9"/>
      <c r="N1253" s="9" t="s">
        <v>35</v>
      </c>
      <c r="O1253" s="9" t="s">
        <v>3524</v>
      </c>
      <c r="P1253" s="9" t="s">
        <v>1947</v>
      </c>
    </row>
    <row r="1254">
      <c r="A1254" s="18" t="s">
        <v>794</v>
      </c>
      <c r="B1254" s="8">
        <v>4154.0</v>
      </c>
      <c r="C1254" s="8">
        <v>176199.0</v>
      </c>
      <c r="D1254" s="8">
        <v>177549.0</v>
      </c>
      <c r="E1254" s="9" t="s">
        <v>1000</v>
      </c>
      <c r="F1254" s="9"/>
      <c r="G1254" s="9" t="s">
        <v>1001</v>
      </c>
      <c r="H1254" s="9"/>
      <c r="I1254" s="8">
        <v>1932.0</v>
      </c>
      <c r="J1254" s="9" t="s">
        <v>389</v>
      </c>
      <c r="K1254" s="9"/>
      <c r="L1254" s="9"/>
      <c r="M1254" s="9"/>
      <c r="N1254" s="9" t="s">
        <v>45</v>
      </c>
      <c r="O1254" s="9" t="s">
        <v>3525</v>
      </c>
      <c r="P1254" s="9" t="s">
        <v>3148</v>
      </c>
    </row>
    <row r="1255">
      <c r="A1255" s="18" t="s">
        <v>794</v>
      </c>
      <c r="B1255" s="8">
        <v>4155.0</v>
      </c>
      <c r="C1255" s="8">
        <v>177549.0</v>
      </c>
      <c r="D1255" s="8">
        <v>184419.0</v>
      </c>
      <c r="E1255" s="9" t="s">
        <v>1000</v>
      </c>
      <c r="F1255" s="9"/>
      <c r="G1255" s="9" t="s">
        <v>1001</v>
      </c>
      <c r="H1255" s="9"/>
      <c r="I1255" s="8">
        <v>1932.0</v>
      </c>
      <c r="J1255" s="9" t="s">
        <v>389</v>
      </c>
      <c r="K1255" s="9"/>
      <c r="L1255" s="9"/>
      <c r="M1255" s="9" t="s">
        <v>3526</v>
      </c>
      <c r="N1255" s="9" t="s">
        <v>35</v>
      </c>
      <c r="O1255" s="9" t="s">
        <v>3527</v>
      </c>
      <c r="P1255" s="9" t="s">
        <v>3148</v>
      </c>
    </row>
    <row r="1256">
      <c r="A1256" s="18" t="s">
        <v>794</v>
      </c>
      <c r="B1256" s="8">
        <v>4155.0</v>
      </c>
      <c r="C1256" s="8">
        <v>177549.0</v>
      </c>
      <c r="D1256" s="8">
        <v>184419.0</v>
      </c>
      <c r="E1256" s="9" t="s">
        <v>1000</v>
      </c>
      <c r="F1256" s="9"/>
      <c r="G1256" s="9" t="s">
        <v>1001</v>
      </c>
      <c r="H1256" s="9"/>
      <c r="I1256" s="8">
        <v>1932.0</v>
      </c>
      <c r="J1256" s="9" t="s">
        <v>389</v>
      </c>
      <c r="K1256" s="9"/>
      <c r="L1256" s="9"/>
      <c r="M1256" s="9" t="s">
        <v>3528</v>
      </c>
      <c r="N1256" s="9" t="s">
        <v>35</v>
      </c>
      <c r="O1256" s="9" t="s">
        <v>3529</v>
      </c>
      <c r="P1256" s="9" t="s">
        <v>1296</v>
      </c>
    </row>
    <row r="1257">
      <c r="A1257" s="18" t="s">
        <v>794</v>
      </c>
      <c r="B1257" s="8">
        <v>4159.0</v>
      </c>
      <c r="C1257" s="8">
        <v>199053.0</v>
      </c>
      <c r="D1257" s="8">
        <v>204126.0</v>
      </c>
      <c r="E1257" s="9" t="s">
        <v>1000</v>
      </c>
      <c r="F1257" s="9"/>
      <c r="G1257" s="9" t="s">
        <v>1001</v>
      </c>
      <c r="H1257" s="9"/>
      <c r="I1257" s="8">
        <v>1932.0</v>
      </c>
      <c r="J1257" s="9" t="s">
        <v>389</v>
      </c>
      <c r="K1257" s="9"/>
      <c r="L1257" s="9"/>
      <c r="M1257" s="9" t="s">
        <v>3530</v>
      </c>
      <c r="N1257" s="9" t="s">
        <v>35</v>
      </c>
      <c r="O1257" s="9" t="s">
        <v>3531</v>
      </c>
      <c r="P1257" s="9" t="s">
        <v>1296</v>
      </c>
    </row>
    <row r="1258">
      <c r="A1258" s="18" t="s">
        <v>794</v>
      </c>
      <c r="B1258" s="8">
        <v>4162.0</v>
      </c>
      <c r="C1258" s="8">
        <v>208691.0</v>
      </c>
      <c r="D1258" s="8">
        <v>212351.0</v>
      </c>
      <c r="E1258" s="9" t="s">
        <v>1000</v>
      </c>
      <c r="F1258" s="9"/>
      <c r="G1258" s="9" t="s">
        <v>1001</v>
      </c>
      <c r="H1258" s="9"/>
      <c r="I1258" s="8">
        <v>1932.0</v>
      </c>
      <c r="J1258" s="9" t="s">
        <v>389</v>
      </c>
      <c r="K1258" s="9"/>
      <c r="L1258" s="9"/>
      <c r="M1258" s="9" t="s">
        <v>3532</v>
      </c>
      <c r="N1258" s="9" t="s">
        <v>35</v>
      </c>
      <c r="O1258" s="9" t="s">
        <v>3533</v>
      </c>
      <c r="P1258" s="9" t="s">
        <v>3148</v>
      </c>
    </row>
    <row r="1259">
      <c r="A1259" s="18" t="s">
        <v>794</v>
      </c>
      <c r="B1259" s="8">
        <v>4168.0</v>
      </c>
      <c r="C1259" s="8">
        <v>236766.0</v>
      </c>
      <c r="D1259" s="8">
        <v>240886.0</v>
      </c>
      <c r="E1259" s="9" t="s">
        <v>1000</v>
      </c>
      <c r="F1259" s="9"/>
      <c r="G1259" s="9" t="s">
        <v>1001</v>
      </c>
      <c r="H1259" s="9"/>
      <c r="I1259" s="8">
        <v>1932.0</v>
      </c>
      <c r="J1259" s="9" t="s">
        <v>389</v>
      </c>
      <c r="K1259" s="9"/>
      <c r="L1259" s="9"/>
      <c r="M1259" s="9" t="s">
        <v>3534</v>
      </c>
      <c r="N1259" s="9" t="s">
        <v>35</v>
      </c>
      <c r="O1259" s="9" t="s">
        <v>3535</v>
      </c>
      <c r="P1259" s="9" t="s">
        <v>3148</v>
      </c>
    </row>
    <row r="1260">
      <c r="A1260" s="18" t="s">
        <v>794</v>
      </c>
      <c r="B1260" s="8">
        <v>4182.0</v>
      </c>
      <c r="C1260" s="8">
        <v>308782.0</v>
      </c>
      <c r="D1260" s="8">
        <v>314742.0</v>
      </c>
      <c r="E1260" s="9" t="s">
        <v>1000</v>
      </c>
      <c r="F1260" s="9"/>
      <c r="G1260" s="9" t="s">
        <v>1001</v>
      </c>
      <c r="H1260" s="9"/>
      <c r="I1260" s="8">
        <v>1932.0</v>
      </c>
      <c r="J1260" s="9" t="s">
        <v>389</v>
      </c>
      <c r="K1260" s="9"/>
      <c r="L1260" s="9"/>
      <c r="M1260" s="9" t="s">
        <v>3536</v>
      </c>
      <c r="N1260" s="9" t="s">
        <v>35</v>
      </c>
      <c r="O1260" s="9" t="s">
        <v>3537</v>
      </c>
      <c r="P1260" s="9" t="s">
        <v>3148</v>
      </c>
    </row>
    <row r="1261">
      <c r="A1261" s="18" t="s">
        <v>794</v>
      </c>
      <c r="B1261" s="8">
        <v>4183.0</v>
      </c>
      <c r="C1261" s="8">
        <v>315586.0</v>
      </c>
      <c r="D1261" s="8">
        <v>320119.0</v>
      </c>
      <c r="E1261" s="9" t="s">
        <v>1000</v>
      </c>
      <c r="F1261" s="9"/>
      <c r="G1261" s="9" t="s">
        <v>1001</v>
      </c>
      <c r="H1261" s="9"/>
      <c r="I1261" s="8">
        <v>1932.0</v>
      </c>
      <c r="J1261" s="9" t="s">
        <v>389</v>
      </c>
      <c r="K1261" s="9"/>
      <c r="L1261" s="9"/>
      <c r="M1261" s="9" t="s">
        <v>3538</v>
      </c>
      <c r="N1261" s="9" t="s">
        <v>35</v>
      </c>
      <c r="O1261" s="9" t="s">
        <v>3539</v>
      </c>
      <c r="P1261" s="9" t="s">
        <v>3148</v>
      </c>
    </row>
    <row r="1262">
      <c r="A1262" s="18" t="s">
        <v>794</v>
      </c>
      <c r="B1262" s="8">
        <v>4184.0</v>
      </c>
      <c r="C1262" s="8">
        <v>322240.0</v>
      </c>
      <c r="D1262" s="8">
        <v>326546.0</v>
      </c>
      <c r="E1262" s="9" t="s">
        <v>1000</v>
      </c>
      <c r="F1262" s="9"/>
      <c r="G1262" s="9" t="s">
        <v>1001</v>
      </c>
      <c r="H1262" s="9"/>
      <c r="I1262" s="8">
        <v>1932.0</v>
      </c>
      <c r="J1262" s="9" t="s">
        <v>389</v>
      </c>
      <c r="K1262" s="9"/>
      <c r="L1262" s="9"/>
      <c r="M1262" s="9" t="s">
        <v>3540</v>
      </c>
      <c r="N1262" s="9" t="s">
        <v>35</v>
      </c>
      <c r="O1262" s="9" t="s">
        <v>3541</v>
      </c>
      <c r="P1262" s="9" t="s">
        <v>3148</v>
      </c>
    </row>
    <row r="1263">
      <c r="A1263" s="18" t="s">
        <v>794</v>
      </c>
      <c r="B1263" s="8">
        <v>4185.0</v>
      </c>
      <c r="C1263" s="8">
        <v>328786.0</v>
      </c>
      <c r="D1263" s="8">
        <v>330826.0</v>
      </c>
      <c r="E1263" s="9" t="s">
        <v>1000</v>
      </c>
      <c r="F1263" s="9"/>
      <c r="G1263" s="9" t="s">
        <v>1001</v>
      </c>
      <c r="H1263" s="9"/>
      <c r="I1263" s="8">
        <v>1932.0</v>
      </c>
      <c r="J1263" s="9" t="s">
        <v>389</v>
      </c>
      <c r="K1263" s="9"/>
      <c r="L1263" s="9"/>
      <c r="M1263" s="9" t="s">
        <v>3542</v>
      </c>
      <c r="N1263" s="9" t="s">
        <v>35</v>
      </c>
      <c r="O1263" s="9" t="s">
        <v>3543</v>
      </c>
      <c r="P1263" s="9" t="s">
        <v>3148</v>
      </c>
    </row>
    <row r="1264">
      <c r="A1264" s="18" t="s">
        <v>794</v>
      </c>
      <c r="B1264" s="8">
        <v>4207.0</v>
      </c>
      <c r="C1264" s="8">
        <v>435541.0</v>
      </c>
      <c r="D1264" s="8">
        <v>438374.0</v>
      </c>
      <c r="E1264" s="9" t="s">
        <v>1000</v>
      </c>
      <c r="F1264" s="9"/>
      <c r="G1264" s="9" t="s">
        <v>1001</v>
      </c>
      <c r="H1264" s="9"/>
      <c r="I1264" s="8">
        <v>1932.0</v>
      </c>
      <c r="J1264" s="9" t="s">
        <v>389</v>
      </c>
      <c r="K1264" s="9"/>
      <c r="L1264" s="9"/>
      <c r="M1264" s="9"/>
      <c r="N1264" s="9" t="s">
        <v>45</v>
      </c>
      <c r="O1264" s="9" t="s">
        <v>3544</v>
      </c>
      <c r="P1264" s="9" t="s">
        <v>3280</v>
      </c>
    </row>
    <row r="1265">
      <c r="A1265" s="18" t="s">
        <v>794</v>
      </c>
      <c r="B1265" s="8">
        <v>4214.0</v>
      </c>
      <c r="C1265" s="8">
        <v>476237.0</v>
      </c>
      <c r="D1265" s="8">
        <v>480190.0</v>
      </c>
      <c r="E1265" s="9" t="s">
        <v>1000</v>
      </c>
      <c r="F1265" s="9"/>
      <c r="G1265" s="9" t="s">
        <v>1001</v>
      </c>
      <c r="H1265" s="9"/>
      <c r="I1265" s="8">
        <v>1932.0</v>
      </c>
      <c r="J1265" s="9" t="s">
        <v>389</v>
      </c>
      <c r="K1265" s="9"/>
      <c r="L1265" s="9"/>
      <c r="M1265" s="9"/>
      <c r="N1265" s="9" t="s">
        <v>45</v>
      </c>
      <c r="O1265" s="9" t="s">
        <v>3545</v>
      </c>
      <c r="P1265" s="9" t="s">
        <v>3148</v>
      </c>
    </row>
    <row r="1266">
      <c r="A1266" s="18" t="s">
        <v>794</v>
      </c>
      <c r="B1266" s="8">
        <v>4223.0</v>
      </c>
      <c r="C1266" s="8">
        <v>525770.0</v>
      </c>
      <c r="D1266" s="8">
        <v>529690.0</v>
      </c>
      <c r="E1266" s="9" t="s">
        <v>1000</v>
      </c>
      <c r="F1266" s="9"/>
      <c r="G1266" s="9" t="s">
        <v>1001</v>
      </c>
      <c r="H1266" s="9"/>
      <c r="I1266" s="8">
        <v>1932.0</v>
      </c>
      <c r="J1266" s="9" t="s">
        <v>389</v>
      </c>
      <c r="K1266" s="9"/>
      <c r="L1266" s="9"/>
      <c r="M1266" s="9" t="s">
        <v>3546</v>
      </c>
      <c r="N1266" s="9" t="s">
        <v>35</v>
      </c>
      <c r="O1266" s="9" t="s">
        <v>3547</v>
      </c>
      <c r="P1266" s="9" t="s">
        <v>1296</v>
      </c>
    </row>
    <row r="1267">
      <c r="A1267" s="18" t="s">
        <v>794</v>
      </c>
      <c r="B1267" s="8">
        <v>4226.0</v>
      </c>
      <c r="C1267" s="8">
        <v>538789.0</v>
      </c>
      <c r="D1267" s="8">
        <v>543548.0</v>
      </c>
      <c r="E1267" s="9" t="s">
        <v>1000</v>
      </c>
      <c r="F1267" s="9"/>
      <c r="G1267" s="9" t="s">
        <v>1001</v>
      </c>
      <c r="H1267" s="9"/>
      <c r="I1267" s="8">
        <v>1932.0</v>
      </c>
      <c r="J1267" s="9" t="s">
        <v>389</v>
      </c>
      <c r="K1267" s="9"/>
      <c r="L1267" s="9"/>
      <c r="M1267" s="9" t="s">
        <v>3548</v>
      </c>
      <c r="N1267" s="9" t="s">
        <v>35</v>
      </c>
      <c r="O1267" s="9" t="s">
        <v>3549</v>
      </c>
      <c r="P1267" s="9" t="s">
        <v>1296</v>
      </c>
    </row>
    <row r="1268">
      <c r="A1268" s="18" t="s">
        <v>794</v>
      </c>
      <c r="B1268" s="8">
        <v>4234.0</v>
      </c>
      <c r="C1268" s="8">
        <v>586172.0</v>
      </c>
      <c r="D1268" s="8">
        <v>592279.0</v>
      </c>
      <c r="E1268" s="9" t="s">
        <v>1000</v>
      </c>
      <c r="F1268" s="9"/>
      <c r="G1268" s="9" t="s">
        <v>1001</v>
      </c>
      <c r="H1268" s="9"/>
      <c r="I1268" s="8">
        <v>1932.0</v>
      </c>
      <c r="J1268" s="9" t="s">
        <v>389</v>
      </c>
      <c r="K1268" s="9"/>
      <c r="L1268" s="9"/>
      <c r="M1268" s="9" t="s">
        <v>3550</v>
      </c>
      <c r="N1268" s="9" t="s">
        <v>35</v>
      </c>
      <c r="O1268" s="9" t="s">
        <v>3551</v>
      </c>
      <c r="P1268" s="9" t="s">
        <v>1296</v>
      </c>
    </row>
    <row r="1269">
      <c r="A1269" s="18" t="s">
        <v>794</v>
      </c>
      <c r="B1269" s="8">
        <v>4242.0</v>
      </c>
      <c r="C1269" s="8">
        <v>625705.0</v>
      </c>
      <c r="D1269" s="8">
        <v>629511.0</v>
      </c>
      <c r="E1269" s="9" t="s">
        <v>1000</v>
      </c>
      <c r="F1269" s="9"/>
      <c r="G1269" s="9" t="s">
        <v>1001</v>
      </c>
      <c r="H1269" s="9"/>
      <c r="I1269" s="8">
        <v>1932.0</v>
      </c>
      <c r="J1269" s="9" t="s">
        <v>389</v>
      </c>
      <c r="K1269" s="9"/>
      <c r="L1269" s="9"/>
      <c r="M1269" s="9"/>
      <c r="N1269" s="9" t="s">
        <v>45</v>
      </c>
      <c r="O1269" s="9" t="s">
        <v>3552</v>
      </c>
      <c r="P1269" s="9" t="s">
        <v>1296</v>
      </c>
    </row>
    <row r="1270">
      <c r="A1270" s="18" t="s">
        <v>794</v>
      </c>
      <c r="B1270" s="8">
        <v>4257.0</v>
      </c>
      <c r="C1270" s="8">
        <v>704746.0</v>
      </c>
      <c r="D1270" s="8">
        <v>712662.0</v>
      </c>
      <c r="E1270" s="9" t="s">
        <v>1000</v>
      </c>
      <c r="F1270" s="9"/>
      <c r="G1270" s="9" t="s">
        <v>1001</v>
      </c>
      <c r="H1270" s="9"/>
      <c r="I1270" s="8">
        <v>1932.0</v>
      </c>
      <c r="J1270" s="9" t="s">
        <v>389</v>
      </c>
      <c r="K1270" s="9"/>
      <c r="L1270" s="9"/>
      <c r="M1270" s="9" t="s">
        <v>3553</v>
      </c>
      <c r="N1270" s="9" t="s">
        <v>35</v>
      </c>
      <c r="O1270" s="9" t="s">
        <v>3554</v>
      </c>
      <c r="P1270" s="9" t="s">
        <v>1296</v>
      </c>
    </row>
    <row r="1271">
      <c r="A1271" s="18" t="s">
        <v>794</v>
      </c>
      <c r="B1271" s="8">
        <v>4271.0</v>
      </c>
      <c r="C1271" s="8">
        <v>763012.0</v>
      </c>
      <c r="D1271" s="8">
        <v>768110.0</v>
      </c>
      <c r="E1271" s="9" t="s">
        <v>1000</v>
      </c>
      <c r="F1271" s="9"/>
      <c r="G1271" s="9" t="s">
        <v>1001</v>
      </c>
      <c r="H1271" s="9"/>
      <c r="I1271" s="8">
        <v>1932.0</v>
      </c>
      <c r="J1271" s="9" t="s">
        <v>389</v>
      </c>
      <c r="K1271" s="9"/>
      <c r="L1271" s="9"/>
      <c r="M1271" s="9" t="s">
        <v>3555</v>
      </c>
      <c r="N1271" s="9" t="s">
        <v>35</v>
      </c>
      <c r="O1271" s="9" t="s">
        <v>3556</v>
      </c>
      <c r="P1271" s="9" t="s">
        <v>1296</v>
      </c>
    </row>
    <row r="1272">
      <c r="A1272" s="18" t="s">
        <v>794</v>
      </c>
      <c r="B1272" s="8">
        <v>4281.0</v>
      </c>
      <c r="C1272" s="8">
        <v>802456.0</v>
      </c>
      <c r="D1272" s="8">
        <v>806277.0</v>
      </c>
      <c r="E1272" s="9" t="s">
        <v>1000</v>
      </c>
      <c r="F1272" s="9"/>
      <c r="G1272" s="9" t="s">
        <v>1001</v>
      </c>
      <c r="H1272" s="9"/>
      <c r="I1272" s="8">
        <v>1932.0</v>
      </c>
      <c r="J1272" s="9" t="s">
        <v>389</v>
      </c>
      <c r="K1272" s="9"/>
      <c r="L1272" s="9"/>
      <c r="M1272" s="9"/>
      <c r="N1272" s="9" t="s">
        <v>45</v>
      </c>
      <c r="O1272" s="9" t="s">
        <v>3557</v>
      </c>
      <c r="P1272" s="9" t="s">
        <v>1296</v>
      </c>
    </row>
    <row r="1273">
      <c r="A1273" s="18" t="s">
        <v>794</v>
      </c>
      <c r="B1273" s="8">
        <v>4294.0</v>
      </c>
      <c r="C1273" s="8">
        <v>846721.0</v>
      </c>
      <c r="D1273" s="8">
        <v>850801.0</v>
      </c>
      <c r="E1273" s="9" t="s">
        <v>1000</v>
      </c>
      <c r="F1273" s="9"/>
      <c r="G1273" s="9" t="s">
        <v>1001</v>
      </c>
      <c r="H1273" s="9"/>
      <c r="I1273" s="8">
        <v>1932.0</v>
      </c>
      <c r="J1273" s="9" t="s">
        <v>389</v>
      </c>
      <c r="K1273" s="9"/>
      <c r="L1273" s="9"/>
      <c r="M1273" s="9" t="s">
        <v>3558</v>
      </c>
      <c r="N1273" s="9" t="s">
        <v>35</v>
      </c>
      <c r="O1273" s="9" t="s">
        <v>3559</v>
      </c>
      <c r="P1273" s="9" t="s">
        <v>1296</v>
      </c>
    </row>
    <row r="1274">
      <c r="A1274" s="18" t="s">
        <v>794</v>
      </c>
      <c r="B1274" s="8">
        <v>4298.0</v>
      </c>
      <c r="C1274" s="8">
        <v>864794.0</v>
      </c>
      <c r="D1274" s="8">
        <v>868300.0</v>
      </c>
      <c r="E1274" s="9" t="s">
        <v>1000</v>
      </c>
      <c r="F1274" s="9"/>
      <c r="G1274" s="9" t="s">
        <v>1001</v>
      </c>
      <c r="H1274" s="9"/>
      <c r="I1274" s="8">
        <v>1932.0</v>
      </c>
      <c r="J1274" s="9" t="s">
        <v>389</v>
      </c>
      <c r="K1274" s="9"/>
      <c r="L1274" s="9"/>
      <c r="M1274" s="9" t="s">
        <v>3560</v>
      </c>
      <c r="N1274" s="9" t="s">
        <v>35</v>
      </c>
      <c r="O1274" s="9" t="s">
        <v>3561</v>
      </c>
      <c r="P1274" s="9" t="s">
        <v>1296</v>
      </c>
    </row>
    <row r="1275">
      <c r="A1275" s="18" t="s">
        <v>794</v>
      </c>
      <c r="B1275" s="8">
        <v>4298.0</v>
      </c>
      <c r="C1275" s="8">
        <v>864794.0</v>
      </c>
      <c r="D1275" s="8">
        <v>868300.0</v>
      </c>
      <c r="E1275" s="9" t="s">
        <v>1000</v>
      </c>
      <c r="F1275" s="9"/>
      <c r="G1275" s="9" t="s">
        <v>1001</v>
      </c>
      <c r="H1275" s="9"/>
      <c r="I1275" s="8">
        <v>1932.0</v>
      </c>
      <c r="J1275" s="9" t="s">
        <v>389</v>
      </c>
      <c r="K1275" s="9"/>
      <c r="L1275" s="9"/>
      <c r="M1275" s="9" t="s">
        <v>3562</v>
      </c>
      <c r="N1275" s="9" t="s">
        <v>35</v>
      </c>
      <c r="O1275" s="9" t="s">
        <v>3563</v>
      </c>
      <c r="P1275" s="9" t="s">
        <v>1296</v>
      </c>
    </row>
    <row r="1276">
      <c r="A1276" s="18" t="s">
        <v>794</v>
      </c>
      <c r="B1276" s="8">
        <v>4298.0</v>
      </c>
      <c r="C1276" s="8">
        <v>864794.0</v>
      </c>
      <c r="D1276" s="8">
        <v>868300.0</v>
      </c>
      <c r="E1276" s="9" t="s">
        <v>1000</v>
      </c>
      <c r="F1276" s="9"/>
      <c r="G1276" s="9" t="s">
        <v>1001</v>
      </c>
      <c r="H1276" s="9"/>
      <c r="I1276" s="8">
        <v>1932.0</v>
      </c>
      <c r="J1276" s="9" t="s">
        <v>389</v>
      </c>
      <c r="K1276" s="9"/>
      <c r="L1276" s="9"/>
      <c r="M1276" s="9" t="s">
        <v>3564</v>
      </c>
      <c r="N1276" s="9" t="s">
        <v>35</v>
      </c>
      <c r="O1276" s="9" t="s">
        <v>3488</v>
      </c>
      <c r="P1276" s="9" t="s">
        <v>1296</v>
      </c>
    </row>
    <row r="1277">
      <c r="A1277" s="18" t="s">
        <v>794</v>
      </c>
      <c r="B1277" s="8">
        <v>4309.0</v>
      </c>
      <c r="C1277" s="8">
        <v>908612.0</v>
      </c>
      <c r="D1277" s="8">
        <v>911033.0</v>
      </c>
      <c r="E1277" s="9" t="s">
        <v>1000</v>
      </c>
      <c r="F1277" s="9"/>
      <c r="G1277" s="9" t="s">
        <v>1001</v>
      </c>
      <c r="H1277" s="9"/>
      <c r="I1277" s="8">
        <v>1932.0</v>
      </c>
      <c r="J1277" s="9" t="s">
        <v>389</v>
      </c>
      <c r="K1277" s="9"/>
      <c r="L1277" s="9"/>
      <c r="M1277" s="9" t="s">
        <v>3565</v>
      </c>
      <c r="N1277" s="9" t="s">
        <v>35</v>
      </c>
      <c r="O1277" s="9" t="s">
        <v>1921</v>
      </c>
      <c r="P1277" s="9" t="s">
        <v>1296</v>
      </c>
    </row>
    <row r="1278">
      <c r="A1278" s="18" t="s">
        <v>794</v>
      </c>
      <c r="B1278" s="8">
        <v>4311.0</v>
      </c>
      <c r="C1278" s="8">
        <v>916417.0</v>
      </c>
      <c r="D1278" s="8">
        <v>918602.0</v>
      </c>
      <c r="E1278" s="9" t="s">
        <v>1000</v>
      </c>
      <c r="F1278" s="9"/>
      <c r="G1278" s="9" t="s">
        <v>1001</v>
      </c>
      <c r="H1278" s="9"/>
      <c r="I1278" s="8">
        <v>1932.0</v>
      </c>
      <c r="J1278" s="9" t="s">
        <v>389</v>
      </c>
      <c r="K1278" s="9"/>
      <c r="L1278" s="9"/>
      <c r="M1278" s="9" t="s">
        <v>3566</v>
      </c>
      <c r="N1278" s="9" t="s">
        <v>35</v>
      </c>
      <c r="O1278" s="9" t="s">
        <v>3567</v>
      </c>
      <c r="P1278" s="9" t="s">
        <v>1296</v>
      </c>
    </row>
    <row r="1279">
      <c r="A1279" s="18" t="s">
        <v>794</v>
      </c>
      <c r="B1279" s="8">
        <v>4344.0</v>
      </c>
      <c r="C1279" s="8">
        <v>1070560.0</v>
      </c>
      <c r="D1279" s="8">
        <v>1072770.0</v>
      </c>
      <c r="E1279" s="9" t="s">
        <v>1000</v>
      </c>
      <c r="F1279" s="9"/>
      <c r="G1279" s="9" t="s">
        <v>1001</v>
      </c>
      <c r="H1279" s="9"/>
      <c r="I1279" s="8">
        <v>1932.0</v>
      </c>
      <c r="J1279" s="9" t="s">
        <v>389</v>
      </c>
      <c r="K1279" s="9"/>
      <c r="L1279" s="9"/>
      <c r="M1279" s="9"/>
      <c r="N1279" s="9" t="s">
        <v>45</v>
      </c>
      <c r="O1279" s="9" t="s">
        <v>3568</v>
      </c>
      <c r="P1279" s="9" t="s">
        <v>1296</v>
      </c>
    </row>
    <row r="1280">
      <c r="A1280" s="18" t="s">
        <v>794</v>
      </c>
      <c r="B1280" s="8">
        <v>4438.0</v>
      </c>
      <c r="C1280" s="8">
        <v>1357472.0</v>
      </c>
      <c r="D1280" s="8">
        <v>1358763.0</v>
      </c>
      <c r="E1280" s="9" t="s">
        <v>1000</v>
      </c>
      <c r="F1280" s="9"/>
      <c r="G1280" s="9" t="s">
        <v>1001</v>
      </c>
      <c r="H1280" s="9"/>
      <c r="I1280" s="8">
        <v>1932.0</v>
      </c>
      <c r="J1280" s="9" t="s">
        <v>389</v>
      </c>
      <c r="K1280" s="9"/>
      <c r="L1280" s="9"/>
      <c r="M1280" s="9"/>
      <c r="N1280" s="9" t="s">
        <v>35</v>
      </c>
      <c r="O1280" s="9" t="s">
        <v>3569</v>
      </c>
      <c r="P1280" s="9" t="s">
        <v>1316</v>
      </c>
    </row>
    <row r="1281">
      <c r="A1281" s="18" t="s">
        <v>794</v>
      </c>
      <c r="B1281" s="8">
        <v>4500.0</v>
      </c>
      <c r="C1281" s="8">
        <v>1531063.0</v>
      </c>
      <c r="D1281" s="8">
        <v>1532394.0</v>
      </c>
      <c r="E1281" s="9" t="s">
        <v>1000</v>
      </c>
      <c r="F1281" s="9"/>
      <c r="G1281" s="9" t="s">
        <v>1001</v>
      </c>
      <c r="H1281" s="9"/>
      <c r="I1281" s="8">
        <v>1932.0</v>
      </c>
      <c r="J1281" s="9" t="s">
        <v>389</v>
      </c>
      <c r="K1281" s="9"/>
      <c r="L1281" s="9"/>
      <c r="M1281" s="9" t="s">
        <v>3570</v>
      </c>
      <c r="N1281" s="9" t="s">
        <v>35</v>
      </c>
      <c r="O1281" s="9" t="s">
        <v>3571</v>
      </c>
      <c r="P1281" s="9" t="s">
        <v>1296</v>
      </c>
    </row>
    <row r="1282">
      <c r="A1282" s="18" t="s">
        <v>794</v>
      </c>
      <c r="B1282" s="8">
        <v>4503.0</v>
      </c>
      <c r="C1282" s="8">
        <v>1538469.0</v>
      </c>
      <c r="D1282" s="8">
        <v>1541446.0</v>
      </c>
      <c r="E1282" s="9" t="s">
        <v>1000</v>
      </c>
      <c r="F1282" s="9"/>
      <c r="G1282" s="9" t="s">
        <v>1001</v>
      </c>
      <c r="H1282" s="9"/>
      <c r="I1282" s="8">
        <v>1932.0</v>
      </c>
      <c r="J1282" s="9" t="s">
        <v>389</v>
      </c>
      <c r="K1282" s="9"/>
      <c r="L1282" s="9"/>
      <c r="M1282" s="9" t="s">
        <v>3572</v>
      </c>
      <c r="N1282" s="9" t="s">
        <v>35</v>
      </c>
      <c r="O1282" s="9" t="s">
        <v>3573</v>
      </c>
      <c r="P1282" s="9" t="s">
        <v>1296</v>
      </c>
    </row>
    <row r="1283">
      <c r="A1283" s="18" t="s">
        <v>794</v>
      </c>
      <c r="B1283" s="8">
        <v>4552.0</v>
      </c>
      <c r="C1283" s="8">
        <v>1687685.0</v>
      </c>
      <c r="D1283" s="8">
        <v>1689982.0</v>
      </c>
      <c r="E1283" s="9" t="s">
        <v>1000</v>
      </c>
      <c r="F1283" s="9"/>
      <c r="G1283" s="9" t="s">
        <v>1001</v>
      </c>
      <c r="H1283" s="9"/>
      <c r="I1283" s="8">
        <v>1932.0</v>
      </c>
      <c r="J1283" s="9" t="s">
        <v>389</v>
      </c>
      <c r="K1283" s="9"/>
      <c r="L1283" s="9"/>
      <c r="M1283" s="9" t="s">
        <v>3574</v>
      </c>
      <c r="N1283" s="9" t="s">
        <v>35</v>
      </c>
      <c r="O1283" s="9" t="s">
        <v>3575</v>
      </c>
      <c r="P1283" s="9" t="s">
        <v>1296</v>
      </c>
    </row>
    <row r="1284">
      <c r="A1284" s="18" t="s">
        <v>794</v>
      </c>
      <c r="B1284" s="8">
        <v>4654.0</v>
      </c>
      <c r="C1284" s="8">
        <v>2039248.0</v>
      </c>
      <c r="D1284" s="8">
        <v>2043202.0</v>
      </c>
      <c r="E1284" s="9" t="s">
        <v>1000</v>
      </c>
      <c r="F1284" s="9"/>
      <c r="G1284" s="9" t="s">
        <v>1001</v>
      </c>
      <c r="H1284" s="9"/>
      <c r="I1284" s="8">
        <v>1932.0</v>
      </c>
      <c r="J1284" s="9" t="s">
        <v>389</v>
      </c>
      <c r="K1284" s="9"/>
      <c r="L1284" s="9"/>
      <c r="M1284" s="9" t="s">
        <v>3576</v>
      </c>
      <c r="N1284" s="9" t="s">
        <v>35</v>
      </c>
      <c r="O1284" s="9" t="s">
        <v>3577</v>
      </c>
      <c r="P1284" s="9" t="s">
        <v>1296</v>
      </c>
    </row>
    <row r="1285">
      <c r="A1285" s="18" t="s">
        <v>794</v>
      </c>
      <c r="B1285" s="8">
        <v>4711.0</v>
      </c>
      <c r="C1285" s="8">
        <v>2220796.0</v>
      </c>
      <c r="D1285" s="8">
        <v>2226409.0</v>
      </c>
      <c r="E1285" s="9" t="s">
        <v>1000</v>
      </c>
      <c r="F1285" s="9"/>
      <c r="G1285" s="9" t="s">
        <v>1001</v>
      </c>
      <c r="H1285" s="9"/>
      <c r="I1285" s="8">
        <v>1932.0</v>
      </c>
      <c r="J1285" s="9" t="s">
        <v>389</v>
      </c>
      <c r="K1285" s="9"/>
      <c r="L1285" s="9"/>
      <c r="M1285" s="9" t="s">
        <v>3578</v>
      </c>
      <c r="N1285" s="9" t="s">
        <v>35</v>
      </c>
      <c r="O1285" s="9" t="s">
        <v>3579</v>
      </c>
      <c r="P1285" s="9" t="s">
        <v>1296</v>
      </c>
    </row>
    <row r="1286">
      <c r="A1286" s="18" t="s">
        <v>794</v>
      </c>
      <c r="B1286" s="8">
        <v>4730.0</v>
      </c>
      <c r="C1286" s="8">
        <v>2290371.0</v>
      </c>
      <c r="D1286" s="8">
        <v>2293132.0</v>
      </c>
      <c r="E1286" s="9" t="s">
        <v>1000</v>
      </c>
      <c r="F1286" s="9"/>
      <c r="G1286" s="9" t="s">
        <v>1001</v>
      </c>
      <c r="H1286" s="9"/>
      <c r="I1286" s="8">
        <v>1932.0</v>
      </c>
      <c r="J1286" s="9" t="s">
        <v>389</v>
      </c>
      <c r="K1286" s="9"/>
      <c r="L1286" s="9"/>
      <c r="M1286" s="9" t="s">
        <v>3113</v>
      </c>
      <c r="N1286" s="9" t="s">
        <v>35</v>
      </c>
      <c r="O1286" s="9" t="s">
        <v>3580</v>
      </c>
      <c r="P1286" s="9" t="s">
        <v>1300</v>
      </c>
    </row>
    <row r="1287">
      <c r="A1287" s="18" t="s">
        <v>794</v>
      </c>
      <c r="B1287" s="8">
        <v>4781.0</v>
      </c>
      <c r="C1287" s="8">
        <v>2455727.0</v>
      </c>
      <c r="D1287" s="8">
        <v>2458433.0</v>
      </c>
      <c r="E1287" s="9" t="s">
        <v>1000</v>
      </c>
      <c r="F1287" s="9"/>
      <c r="G1287" s="9" t="s">
        <v>1001</v>
      </c>
      <c r="H1287" s="9"/>
      <c r="I1287" s="8">
        <v>1932.0</v>
      </c>
      <c r="J1287" s="9" t="s">
        <v>389</v>
      </c>
      <c r="K1287" s="9"/>
      <c r="L1287" s="9"/>
      <c r="M1287" s="9" t="s">
        <v>3581</v>
      </c>
      <c r="N1287" s="9" t="s">
        <v>35</v>
      </c>
      <c r="O1287" s="9" t="s">
        <v>3582</v>
      </c>
      <c r="P1287" s="9" t="s">
        <v>1296</v>
      </c>
    </row>
    <row r="1288">
      <c r="A1288" s="18" t="s">
        <v>794</v>
      </c>
      <c r="B1288" s="8">
        <v>4789.0</v>
      </c>
      <c r="C1288" s="8">
        <v>2486215.0</v>
      </c>
      <c r="D1288" s="8">
        <v>2490334.0</v>
      </c>
      <c r="E1288" s="9" t="s">
        <v>1000</v>
      </c>
      <c r="F1288" s="9"/>
      <c r="G1288" s="9" t="s">
        <v>1001</v>
      </c>
      <c r="H1288" s="9"/>
      <c r="I1288" s="8">
        <v>1932.0</v>
      </c>
      <c r="J1288" s="9" t="s">
        <v>389</v>
      </c>
      <c r="K1288" s="9"/>
      <c r="L1288" s="9"/>
      <c r="M1288" s="9" t="s">
        <v>2932</v>
      </c>
      <c r="N1288" s="9" t="s">
        <v>35</v>
      </c>
      <c r="O1288" s="9" t="s">
        <v>3583</v>
      </c>
      <c r="P1288" s="9" t="s">
        <v>3148</v>
      </c>
    </row>
    <row r="1289">
      <c r="A1289" s="18" t="s">
        <v>794</v>
      </c>
      <c r="B1289" s="8">
        <v>4789.0</v>
      </c>
      <c r="C1289" s="8">
        <v>2486215.0</v>
      </c>
      <c r="D1289" s="8">
        <v>2490334.0</v>
      </c>
      <c r="E1289" s="9" t="s">
        <v>1000</v>
      </c>
      <c r="F1289" s="9"/>
      <c r="G1289" s="9" t="s">
        <v>1001</v>
      </c>
      <c r="H1289" s="9"/>
      <c r="I1289" s="8">
        <v>1932.0</v>
      </c>
      <c r="J1289" s="9" t="s">
        <v>389</v>
      </c>
      <c r="K1289" s="9"/>
      <c r="L1289" s="9"/>
      <c r="M1289" s="9" t="s">
        <v>3584</v>
      </c>
      <c r="N1289" s="9" t="s">
        <v>35</v>
      </c>
      <c r="O1289" s="9" t="s">
        <v>3585</v>
      </c>
      <c r="P1289" s="9" t="s">
        <v>3148</v>
      </c>
    </row>
    <row r="1290">
      <c r="A1290" s="18" t="s">
        <v>794</v>
      </c>
      <c r="B1290" s="8">
        <v>4895.0</v>
      </c>
      <c r="C1290" s="8">
        <v>3122883.0</v>
      </c>
      <c r="D1290" s="8">
        <v>3123982.0</v>
      </c>
      <c r="E1290" s="9" t="s">
        <v>1000</v>
      </c>
      <c r="F1290" s="9"/>
      <c r="G1290" s="9" t="s">
        <v>1001</v>
      </c>
      <c r="H1290" s="9"/>
      <c r="I1290" s="8">
        <v>1932.0</v>
      </c>
      <c r="J1290" s="9" t="s">
        <v>389</v>
      </c>
      <c r="K1290" s="9"/>
      <c r="L1290" s="9"/>
      <c r="M1290" s="9"/>
      <c r="N1290" s="9" t="s">
        <v>45</v>
      </c>
      <c r="O1290" s="9" t="s">
        <v>3586</v>
      </c>
      <c r="P1290" s="9" t="s">
        <v>1947</v>
      </c>
    </row>
    <row r="1291">
      <c r="A1291" s="18" t="s">
        <v>794</v>
      </c>
      <c r="B1291" s="8">
        <v>5046.0</v>
      </c>
      <c r="C1291" s="8">
        <v>3743529.0</v>
      </c>
      <c r="D1291" s="8">
        <v>3745750.0</v>
      </c>
      <c r="E1291" s="9" t="s">
        <v>1000</v>
      </c>
      <c r="F1291" s="9"/>
      <c r="G1291" s="9" t="s">
        <v>1001</v>
      </c>
      <c r="H1291" s="9"/>
      <c r="I1291" s="8">
        <v>1932.0</v>
      </c>
      <c r="J1291" s="9" t="s">
        <v>389</v>
      </c>
      <c r="K1291" s="9"/>
      <c r="L1291" s="9"/>
      <c r="M1291" s="9" t="s">
        <v>3587</v>
      </c>
      <c r="N1291" s="9" t="s">
        <v>45</v>
      </c>
      <c r="O1291" s="9" t="s">
        <v>3588</v>
      </c>
      <c r="P1291" s="9" t="s">
        <v>1296</v>
      </c>
    </row>
    <row r="1292">
      <c r="A1292" s="18" t="s">
        <v>794</v>
      </c>
      <c r="B1292" s="8">
        <v>5048.0</v>
      </c>
      <c r="C1292" s="8">
        <v>3747773.0</v>
      </c>
      <c r="D1292" s="8">
        <v>3748953.0</v>
      </c>
      <c r="E1292" s="9" t="s">
        <v>1000</v>
      </c>
      <c r="F1292" s="9"/>
      <c r="G1292" s="9" t="s">
        <v>1001</v>
      </c>
      <c r="H1292" s="9"/>
      <c r="I1292" s="8">
        <v>1932.0</v>
      </c>
      <c r="J1292" s="9" t="s">
        <v>389</v>
      </c>
      <c r="K1292" s="9"/>
      <c r="L1292" s="9"/>
      <c r="M1292" s="9" t="s">
        <v>3589</v>
      </c>
      <c r="N1292" s="9" t="s">
        <v>35</v>
      </c>
      <c r="O1292" s="9" t="s">
        <v>3590</v>
      </c>
      <c r="P1292" s="9" t="s">
        <v>1296</v>
      </c>
    </row>
    <row r="1293">
      <c r="A1293" s="18" t="s">
        <v>794</v>
      </c>
      <c r="B1293" s="8">
        <v>5094.0</v>
      </c>
      <c r="C1293" s="8">
        <v>3953194.0</v>
      </c>
      <c r="D1293" s="8">
        <v>3956751.0</v>
      </c>
      <c r="E1293" s="9" t="s">
        <v>1000</v>
      </c>
      <c r="F1293" s="9"/>
      <c r="G1293" s="9" t="s">
        <v>1001</v>
      </c>
      <c r="H1293" s="9"/>
      <c r="I1293" s="8">
        <v>1932.0</v>
      </c>
      <c r="J1293" s="9" t="s">
        <v>389</v>
      </c>
      <c r="K1293" s="9"/>
      <c r="L1293" s="9"/>
      <c r="M1293" s="9" t="s">
        <v>3591</v>
      </c>
      <c r="N1293" s="9" t="s">
        <v>35</v>
      </c>
      <c r="O1293" s="9" t="s">
        <v>3592</v>
      </c>
      <c r="P1293" s="9" t="s">
        <v>3148</v>
      </c>
    </row>
    <row r="1294">
      <c r="A1294" s="18" t="s">
        <v>794</v>
      </c>
      <c r="B1294" s="8">
        <v>5097.0</v>
      </c>
      <c r="C1294" s="8">
        <v>3960519.0</v>
      </c>
      <c r="D1294" s="8">
        <v>3963083.0</v>
      </c>
      <c r="E1294" s="9" t="s">
        <v>1000</v>
      </c>
      <c r="F1294" s="9"/>
      <c r="G1294" s="9" t="s">
        <v>1001</v>
      </c>
      <c r="H1294" s="9"/>
      <c r="I1294" s="8">
        <v>1932.0</v>
      </c>
      <c r="J1294" s="9" t="s">
        <v>389</v>
      </c>
      <c r="K1294" s="9"/>
      <c r="L1294" s="9"/>
      <c r="M1294" s="9" t="s">
        <v>3593</v>
      </c>
      <c r="N1294" s="9" t="s">
        <v>35</v>
      </c>
      <c r="O1294" s="9" t="s">
        <v>3594</v>
      </c>
      <c r="P1294" s="9" t="s">
        <v>3148</v>
      </c>
    </row>
    <row r="1295">
      <c r="A1295" s="18" t="s">
        <v>794</v>
      </c>
      <c r="B1295" s="8">
        <v>5101.0</v>
      </c>
      <c r="C1295" s="8">
        <v>3971636.0</v>
      </c>
      <c r="D1295" s="8">
        <v>3974319.0</v>
      </c>
      <c r="E1295" s="9" t="s">
        <v>1000</v>
      </c>
      <c r="F1295" s="9"/>
      <c r="G1295" s="9" t="s">
        <v>1001</v>
      </c>
      <c r="H1295" s="9"/>
      <c r="I1295" s="8">
        <v>1932.0</v>
      </c>
      <c r="J1295" s="9" t="s">
        <v>389</v>
      </c>
      <c r="K1295" s="9"/>
      <c r="L1295" s="9"/>
      <c r="M1295" s="9" t="s">
        <v>3595</v>
      </c>
      <c r="N1295" s="9" t="s">
        <v>35</v>
      </c>
      <c r="O1295" s="9" t="s">
        <v>3596</v>
      </c>
      <c r="P1295" s="9" t="s">
        <v>1296</v>
      </c>
    </row>
    <row r="1296">
      <c r="A1296" s="18" t="s">
        <v>794</v>
      </c>
      <c r="B1296" s="8">
        <v>5112.0</v>
      </c>
      <c r="C1296" s="8">
        <v>4043274.0</v>
      </c>
      <c r="D1296" s="8">
        <v>4046990.0</v>
      </c>
      <c r="E1296" s="9" t="s">
        <v>1000</v>
      </c>
      <c r="F1296" s="9"/>
      <c r="G1296" s="9" t="s">
        <v>1001</v>
      </c>
      <c r="H1296" s="9"/>
      <c r="I1296" s="8">
        <v>1932.0</v>
      </c>
      <c r="J1296" s="9" t="s">
        <v>389</v>
      </c>
      <c r="K1296" s="9"/>
      <c r="L1296" s="9"/>
      <c r="M1296" s="9" t="s">
        <v>3597</v>
      </c>
      <c r="N1296" s="9" t="s">
        <v>35</v>
      </c>
      <c r="O1296" s="12" t="str">
        <f>теперь заросло всё.</f>
        <v>#ERROR!</v>
      </c>
      <c r="P1296" s="9" t="s">
        <v>1300</v>
      </c>
    </row>
    <row r="1297">
      <c r="A1297" s="18" t="s">
        <v>794</v>
      </c>
      <c r="B1297" s="8">
        <v>5138.0</v>
      </c>
      <c r="C1297" s="8">
        <v>4151588.0</v>
      </c>
      <c r="D1297" s="8">
        <v>4155437.0</v>
      </c>
      <c r="E1297" s="9" t="s">
        <v>1000</v>
      </c>
      <c r="F1297" s="9"/>
      <c r="G1297" s="9" t="s">
        <v>1001</v>
      </c>
      <c r="H1297" s="9"/>
      <c r="I1297" s="8">
        <v>1932.0</v>
      </c>
      <c r="J1297" s="9" t="s">
        <v>389</v>
      </c>
      <c r="K1297" s="9"/>
      <c r="L1297" s="9"/>
      <c r="M1297" s="9" t="s">
        <v>3598</v>
      </c>
      <c r="N1297" s="9" t="s">
        <v>35</v>
      </c>
      <c r="O1297" s="9" t="s">
        <v>3599</v>
      </c>
      <c r="P1297" s="9" t="s">
        <v>1316</v>
      </c>
    </row>
    <row r="1298">
      <c r="A1298" s="18" t="s">
        <v>794</v>
      </c>
      <c r="B1298" s="8">
        <v>5138.0</v>
      </c>
      <c r="C1298" s="8">
        <v>4151588.0</v>
      </c>
      <c r="D1298" s="8">
        <v>4155437.0</v>
      </c>
      <c r="E1298" s="9" t="s">
        <v>1000</v>
      </c>
      <c r="F1298" s="9"/>
      <c r="G1298" s="9" t="s">
        <v>1001</v>
      </c>
      <c r="H1298" s="9"/>
      <c r="I1298" s="8">
        <v>1932.0</v>
      </c>
      <c r="J1298" s="9" t="s">
        <v>389</v>
      </c>
      <c r="K1298" s="9"/>
      <c r="L1298" s="9"/>
      <c r="M1298" s="9" t="s">
        <v>3600</v>
      </c>
      <c r="N1298" s="9" t="s">
        <v>35</v>
      </c>
      <c r="O1298" s="9" t="s">
        <v>3601</v>
      </c>
      <c r="P1298" s="9" t="s">
        <v>1316</v>
      </c>
    </row>
    <row r="1299">
      <c r="A1299" s="18" t="s">
        <v>794</v>
      </c>
      <c r="B1299" s="8">
        <v>5150.0</v>
      </c>
      <c r="C1299" s="8">
        <v>4204671.0</v>
      </c>
      <c r="D1299" s="8">
        <v>4207705.0</v>
      </c>
      <c r="E1299" s="9" t="s">
        <v>1000</v>
      </c>
      <c r="F1299" s="9"/>
      <c r="G1299" s="9" t="s">
        <v>1001</v>
      </c>
      <c r="H1299" s="9"/>
      <c r="I1299" s="8">
        <v>1932.0</v>
      </c>
      <c r="J1299" s="9" t="s">
        <v>389</v>
      </c>
      <c r="K1299" s="9"/>
      <c r="L1299" s="9"/>
      <c r="M1299" s="9" t="s">
        <v>3602</v>
      </c>
      <c r="N1299" s="9" t="s">
        <v>35</v>
      </c>
      <c r="O1299" s="9" t="s">
        <v>3603</v>
      </c>
      <c r="P1299" s="9" t="s">
        <v>1296</v>
      </c>
    </row>
    <row r="1300">
      <c r="A1300" s="18" t="s">
        <v>794</v>
      </c>
      <c r="B1300" s="8">
        <v>5168.0</v>
      </c>
      <c r="C1300" s="8">
        <v>4276522.0</v>
      </c>
      <c r="D1300" s="8">
        <v>4278987.0</v>
      </c>
      <c r="E1300" s="9" t="s">
        <v>1000</v>
      </c>
      <c r="F1300" s="9"/>
      <c r="G1300" s="9" t="s">
        <v>1001</v>
      </c>
      <c r="H1300" s="9"/>
      <c r="I1300" s="8">
        <v>1932.0</v>
      </c>
      <c r="J1300" s="9" t="s">
        <v>389</v>
      </c>
      <c r="K1300" s="9"/>
      <c r="L1300" s="9"/>
      <c r="M1300" s="9" t="s">
        <v>3604</v>
      </c>
      <c r="N1300" s="9" t="s">
        <v>35</v>
      </c>
      <c r="O1300" s="9" t="s">
        <v>3605</v>
      </c>
      <c r="P1300" s="9" t="s">
        <v>1296</v>
      </c>
    </row>
    <row r="1301">
      <c r="A1301" s="18" t="s">
        <v>794</v>
      </c>
      <c r="B1301" s="8">
        <v>5203.0</v>
      </c>
      <c r="C1301" s="8">
        <v>4514082.0</v>
      </c>
      <c r="D1301" s="8">
        <v>4516677.0</v>
      </c>
      <c r="E1301" s="9" t="s">
        <v>1000</v>
      </c>
      <c r="F1301" s="9"/>
      <c r="G1301" s="9" t="s">
        <v>1001</v>
      </c>
      <c r="H1301" s="9"/>
      <c r="I1301" s="8">
        <v>1932.0</v>
      </c>
      <c r="J1301" s="9" t="s">
        <v>389</v>
      </c>
      <c r="K1301" s="9"/>
      <c r="L1301" s="9"/>
      <c r="M1301" s="9" t="s">
        <v>3606</v>
      </c>
      <c r="N1301" s="9"/>
      <c r="O1301" s="9"/>
      <c r="P1301" s="9" t="s">
        <v>1388</v>
      </c>
    </row>
    <row r="1302">
      <c r="A1302" s="18" t="s">
        <v>794</v>
      </c>
      <c r="B1302" s="8">
        <v>5296.0</v>
      </c>
      <c r="C1302" s="8">
        <v>5043443.0</v>
      </c>
      <c r="D1302" s="8">
        <v>5045864.0</v>
      </c>
      <c r="E1302" s="9" t="s">
        <v>1000</v>
      </c>
      <c r="F1302" s="9"/>
      <c r="G1302" s="9" t="s">
        <v>1001</v>
      </c>
      <c r="H1302" s="9"/>
      <c r="I1302" s="8">
        <v>1932.0</v>
      </c>
      <c r="J1302" s="9" t="s">
        <v>389</v>
      </c>
      <c r="K1302" s="9"/>
      <c r="L1302" s="9"/>
      <c r="M1302" s="9"/>
      <c r="N1302" s="9" t="s">
        <v>35</v>
      </c>
      <c r="O1302" s="9" t="s">
        <v>3607</v>
      </c>
      <c r="P1302" s="9" t="s">
        <v>3148</v>
      </c>
    </row>
    <row r="1303">
      <c r="A1303" s="18" t="s">
        <v>794</v>
      </c>
      <c r="B1303" s="8">
        <v>5317.0</v>
      </c>
      <c r="C1303" s="8">
        <v>5142052.0</v>
      </c>
      <c r="D1303" s="8">
        <v>5151192.0</v>
      </c>
      <c r="E1303" s="9" t="s">
        <v>1000</v>
      </c>
      <c r="F1303" s="9"/>
      <c r="G1303" s="9" t="s">
        <v>1001</v>
      </c>
      <c r="H1303" s="9"/>
      <c r="I1303" s="8">
        <v>1932.0</v>
      </c>
      <c r="J1303" s="9" t="s">
        <v>389</v>
      </c>
      <c r="K1303" s="9"/>
      <c r="L1303" s="9"/>
      <c r="M1303" s="9" t="s">
        <v>3608</v>
      </c>
      <c r="N1303" s="9" t="s">
        <v>35</v>
      </c>
      <c r="O1303" s="9" t="s">
        <v>3609</v>
      </c>
      <c r="P1303" s="10" t="s">
        <v>1298</v>
      </c>
    </row>
    <row r="1304">
      <c r="A1304" s="18" t="s">
        <v>794</v>
      </c>
      <c r="B1304" s="8">
        <v>5369.0</v>
      </c>
      <c r="C1304" s="8">
        <v>5421796.0</v>
      </c>
      <c r="D1304" s="8">
        <v>5425375.0</v>
      </c>
      <c r="E1304" s="9" t="s">
        <v>1000</v>
      </c>
      <c r="F1304" s="9"/>
      <c r="G1304" s="9" t="s">
        <v>1001</v>
      </c>
      <c r="H1304" s="9"/>
      <c r="I1304" s="8">
        <v>1932.0</v>
      </c>
      <c r="J1304" s="9" t="s">
        <v>389</v>
      </c>
      <c r="K1304" s="9"/>
      <c r="L1304" s="9"/>
      <c r="M1304" s="9" t="s">
        <v>3610</v>
      </c>
      <c r="N1304" s="9" t="s">
        <v>35</v>
      </c>
      <c r="O1304" s="9" t="s">
        <v>3611</v>
      </c>
      <c r="P1304" s="9" t="s">
        <v>1296</v>
      </c>
    </row>
    <row r="1305">
      <c r="A1305" s="18" t="s">
        <v>794</v>
      </c>
      <c r="B1305" s="8">
        <v>5372.0</v>
      </c>
      <c r="C1305" s="8">
        <v>5435333.0</v>
      </c>
      <c r="D1305" s="8">
        <v>5438771.0</v>
      </c>
      <c r="E1305" s="9" t="s">
        <v>1000</v>
      </c>
      <c r="F1305" s="9"/>
      <c r="G1305" s="9" t="s">
        <v>1001</v>
      </c>
      <c r="H1305" s="9"/>
      <c r="I1305" s="8">
        <v>1932.0</v>
      </c>
      <c r="J1305" s="9" t="s">
        <v>389</v>
      </c>
      <c r="K1305" s="9"/>
      <c r="L1305" s="9"/>
      <c r="M1305" s="9" t="s">
        <v>3612</v>
      </c>
      <c r="N1305" s="9" t="s">
        <v>35</v>
      </c>
      <c r="O1305" s="9" t="s">
        <v>3613</v>
      </c>
      <c r="P1305" s="9" t="s">
        <v>1296</v>
      </c>
    </row>
    <row r="1306">
      <c r="A1306" s="18" t="s">
        <v>794</v>
      </c>
      <c r="B1306" s="8">
        <v>5379.0</v>
      </c>
      <c r="C1306" s="8">
        <v>5472174.0</v>
      </c>
      <c r="D1306" s="8">
        <v>5477490.0</v>
      </c>
      <c r="E1306" s="9" t="s">
        <v>1000</v>
      </c>
      <c r="F1306" s="9"/>
      <c r="G1306" s="9" t="s">
        <v>1001</v>
      </c>
      <c r="H1306" s="9"/>
      <c r="I1306" s="8">
        <v>1932.0</v>
      </c>
      <c r="J1306" s="9" t="s">
        <v>389</v>
      </c>
      <c r="K1306" s="9"/>
      <c r="L1306" s="9"/>
      <c r="M1306" s="9" t="s">
        <v>3614</v>
      </c>
      <c r="N1306" s="9" t="s">
        <v>35</v>
      </c>
      <c r="O1306" s="9" t="s">
        <v>3615</v>
      </c>
      <c r="P1306" s="9" t="s">
        <v>1296</v>
      </c>
    </row>
    <row r="1307">
      <c r="A1307" s="18" t="s">
        <v>794</v>
      </c>
      <c r="B1307" s="8">
        <v>5396.0</v>
      </c>
      <c r="C1307" s="8">
        <v>5579158.0</v>
      </c>
      <c r="D1307" s="8">
        <v>5584790.0</v>
      </c>
      <c r="E1307" s="9" t="s">
        <v>1000</v>
      </c>
      <c r="F1307" s="9"/>
      <c r="G1307" s="9" t="s">
        <v>1001</v>
      </c>
      <c r="H1307" s="9"/>
      <c r="I1307" s="8">
        <v>1932.0</v>
      </c>
      <c r="J1307" s="9" t="s">
        <v>389</v>
      </c>
      <c r="K1307" s="9"/>
      <c r="L1307" s="9"/>
      <c r="M1307" s="9" t="s">
        <v>3616</v>
      </c>
      <c r="N1307" s="9" t="s">
        <v>35</v>
      </c>
      <c r="O1307" s="9" t="s">
        <v>3617</v>
      </c>
      <c r="P1307" s="9" t="s">
        <v>1296</v>
      </c>
    </row>
    <row r="1308">
      <c r="A1308" s="18" t="s">
        <v>794</v>
      </c>
      <c r="B1308" s="8">
        <v>5404.0</v>
      </c>
      <c r="C1308" s="8">
        <v>5641828.0</v>
      </c>
      <c r="D1308" s="8">
        <v>5646977.0</v>
      </c>
      <c r="E1308" s="9" t="s">
        <v>1000</v>
      </c>
      <c r="F1308" s="9"/>
      <c r="G1308" s="9" t="s">
        <v>1001</v>
      </c>
      <c r="H1308" s="9"/>
      <c r="I1308" s="8">
        <v>1932.0</v>
      </c>
      <c r="J1308" s="9" t="s">
        <v>389</v>
      </c>
      <c r="K1308" s="9"/>
      <c r="L1308" s="9"/>
      <c r="M1308" s="9" t="s">
        <v>3618</v>
      </c>
      <c r="N1308" s="9" t="s">
        <v>35</v>
      </c>
      <c r="O1308" s="9" t="s">
        <v>3619</v>
      </c>
      <c r="P1308" s="9" t="s">
        <v>1296</v>
      </c>
    </row>
    <row r="1309">
      <c r="A1309" s="18" t="s">
        <v>794</v>
      </c>
      <c r="B1309" s="8">
        <v>5478.0</v>
      </c>
      <c r="C1309" s="8">
        <v>6153163.0</v>
      </c>
      <c r="D1309" s="8">
        <v>6159812.0</v>
      </c>
      <c r="E1309" s="9" t="s">
        <v>1000</v>
      </c>
      <c r="F1309" s="9"/>
      <c r="G1309" s="9" t="s">
        <v>1001</v>
      </c>
      <c r="H1309" s="9"/>
      <c r="I1309" s="8">
        <v>1932.0</v>
      </c>
      <c r="J1309" s="9" t="s">
        <v>389</v>
      </c>
      <c r="K1309" s="9"/>
      <c r="L1309" s="9"/>
      <c r="M1309" s="9" t="s">
        <v>3620</v>
      </c>
      <c r="N1309" s="9" t="s">
        <v>35</v>
      </c>
      <c r="O1309" s="9" t="s">
        <v>3621</v>
      </c>
      <c r="P1309" s="10" t="s">
        <v>1298</v>
      </c>
    </row>
    <row r="1310">
      <c r="A1310" s="18" t="s">
        <v>794</v>
      </c>
      <c r="B1310" s="8">
        <v>5478.0</v>
      </c>
      <c r="C1310" s="8">
        <v>6153163.0</v>
      </c>
      <c r="D1310" s="8">
        <v>6159812.0</v>
      </c>
      <c r="E1310" s="9" t="s">
        <v>1000</v>
      </c>
      <c r="F1310" s="9"/>
      <c r="G1310" s="9" t="s">
        <v>1001</v>
      </c>
      <c r="H1310" s="9"/>
      <c r="I1310" s="8">
        <v>1932.0</v>
      </c>
      <c r="J1310" s="9" t="s">
        <v>389</v>
      </c>
      <c r="K1310" s="9"/>
      <c r="L1310" s="9"/>
      <c r="M1310" s="9" t="s">
        <v>3622</v>
      </c>
      <c r="N1310" s="9" t="s">
        <v>35</v>
      </c>
      <c r="O1310" s="9" t="s">
        <v>3623</v>
      </c>
      <c r="P1310" s="9" t="s">
        <v>1296</v>
      </c>
    </row>
    <row r="1311">
      <c r="A1311" s="18" t="s">
        <v>794</v>
      </c>
      <c r="B1311" s="8">
        <v>5478.0</v>
      </c>
      <c r="C1311" s="8">
        <v>6153163.0</v>
      </c>
      <c r="D1311" s="8">
        <v>6159812.0</v>
      </c>
      <c r="E1311" s="9" t="s">
        <v>1000</v>
      </c>
      <c r="F1311" s="9"/>
      <c r="G1311" s="9" t="s">
        <v>1001</v>
      </c>
      <c r="H1311" s="9"/>
      <c r="I1311" s="8">
        <v>1932.0</v>
      </c>
      <c r="J1311" s="9" t="s">
        <v>389</v>
      </c>
      <c r="K1311" s="9"/>
      <c r="L1311" s="9"/>
      <c r="M1311" s="9" t="s">
        <v>3624</v>
      </c>
      <c r="N1311" s="9" t="s">
        <v>35</v>
      </c>
      <c r="O1311" s="9" t="s">
        <v>3625</v>
      </c>
      <c r="P1311" s="9" t="s">
        <v>1296</v>
      </c>
    </row>
    <row r="1312">
      <c r="A1312" s="18" t="s">
        <v>794</v>
      </c>
      <c r="B1312" s="8">
        <v>5489.0</v>
      </c>
      <c r="C1312" s="8">
        <v>6190499.0</v>
      </c>
      <c r="D1312" s="8">
        <v>6196945.0</v>
      </c>
      <c r="E1312" s="9" t="s">
        <v>1000</v>
      </c>
      <c r="F1312" s="9"/>
      <c r="G1312" s="9" t="s">
        <v>1001</v>
      </c>
      <c r="H1312" s="9"/>
      <c r="I1312" s="8">
        <v>1932.0</v>
      </c>
      <c r="J1312" s="9" t="s">
        <v>389</v>
      </c>
      <c r="K1312" s="9"/>
      <c r="L1312" s="9"/>
      <c r="M1312" s="9" t="s">
        <v>3626</v>
      </c>
      <c r="N1312" s="9" t="s">
        <v>35</v>
      </c>
      <c r="O1312" s="9" t="s">
        <v>3627</v>
      </c>
      <c r="P1312" s="9" t="s">
        <v>1300</v>
      </c>
    </row>
    <row r="1313">
      <c r="A1313" s="18" t="s">
        <v>794</v>
      </c>
      <c r="B1313" s="8">
        <v>5579.0</v>
      </c>
      <c r="C1313" s="8">
        <v>6687197.0</v>
      </c>
      <c r="D1313" s="8">
        <v>6688197.0</v>
      </c>
      <c r="E1313" s="9" t="s">
        <v>1000</v>
      </c>
      <c r="F1313" s="9"/>
      <c r="G1313" s="9" t="s">
        <v>1001</v>
      </c>
      <c r="H1313" s="9"/>
      <c r="I1313" s="8">
        <v>1932.0</v>
      </c>
      <c r="J1313" s="9" t="s">
        <v>389</v>
      </c>
      <c r="K1313" s="9"/>
      <c r="L1313" s="9"/>
      <c r="M1313" s="9"/>
      <c r="N1313" s="9" t="s">
        <v>35</v>
      </c>
      <c r="O1313" s="9" t="s">
        <v>3488</v>
      </c>
      <c r="P1313" s="9" t="s">
        <v>1296</v>
      </c>
    </row>
    <row r="1314">
      <c r="A1314" s="18" t="s">
        <v>794</v>
      </c>
      <c r="B1314" s="8">
        <v>5622.0</v>
      </c>
      <c r="C1314" s="8">
        <v>6905572.0</v>
      </c>
      <c r="D1314" s="8">
        <v>6907930.0</v>
      </c>
      <c r="E1314" s="9" t="s">
        <v>1000</v>
      </c>
      <c r="F1314" s="9"/>
      <c r="G1314" s="9" t="s">
        <v>1001</v>
      </c>
      <c r="H1314" s="9"/>
      <c r="I1314" s="8">
        <v>1932.0</v>
      </c>
      <c r="J1314" s="9" t="s">
        <v>389</v>
      </c>
      <c r="K1314" s="9"/>
      <c r="L1314" s="9"/>
      <c r="M1314" s="9" t="s">
        <v>3628</v>
      </c>
      <c r="N1314" s="9" t="s">
        <v>35</v>
      </c>
      <c r="O1314" s="9" t="s">
        <v>3629</v>
      </c>
      <c r="P1314" s="9" t="s">
        <v>1296</v>
      </c>
    </row>
    <row r="1315">
      <c r="A1315" s="18" t="s">
        <v>794</v>
      </c>
      <c r="B1315" s="8">
        <v>5696.0</v>
      </c>
      <c r="C1315" s="8">
        <v>67531.0</v>
      </c>
      <c r="D1315" s="8">
        <v>70908.0</v>
      </c>
      <c r="E1315" s="9" t="s">
        <v>1030</v>
      </c>
      <c r="F1315" s="9"/>
      <c r="G1315" s="9" t="s">
        <v>1031</v>
      </c>
      <c r="H1315" s="9"/>
      <c r="I1315" s="8">
        <v>1930.0</v>
      </c>
      <c r="J1315" s="9" t="s">
        <v>881</v>
      </c>
      <c r="K1315" s="9"/>
      <c r="L1315" s="9"/>
      <c r="M1315" s="9" t="s">
        <v>3630</v>
      </c>
      <c r="N1315" s="9" t="s">
        <v>35</v>
      </c>
      <c r="O1315" s="9" t="s">
        <v>3631</v>
      </c>
      <c r="P1315" s="9" t="s">
        <v>1316</v>
      </c>
    </row>
    <row r="1316">
      <c r="A1316" s="18" t="s">
        <v>794</v>
      </c>
      <c r="B1316" s="8">
        <v>5802.0</v>
      </c>
      <c r="C1316" s="8">
        <v>640617.0</v>
      </c>
      <c r="D1316" s="8">
        <v>649719.0</v>
      </c>
      <c r="E1316" s="9" t="s">
        <v>1030</v>
      </c>
      <c r="F1316" s="9"/>
      <c r="G1316" s="9" t="s">
        <v>1031</v>
      </c>
      <c r="H1316" s="9"/>
      <c r="I1316" s="8">
        <v>1930.0</v>
      </c>
      <c r="J1316" s="9" t="s">
        <v>881</v>
      </c>
      <c r="K1316" s="9"/>
      <c r="L1316" s="9"/>
      <c r="M1316" s="9" t="s">
        <v>3632</v>
      </c>
      <c r="N1316" s="9" t="s">
        <v>35</v>
      </c>
      <c r="O1316" s="9" t="s">
        <v>3633</v>
      </c>
      <c r="P1316" s="9" t="s">
        <v>1296</v>
      </c>
    </row>
    <row r="1317">
      <c r="A1317" s="18" t="s">
        <v>794</v>
      </c>
      <c r="B1317" s="8">
        <v>5902.0</v>
      </c>
      <c r="C1317" s="8">
        <v>1173597.0</v>
      </c>
      <c r="D1317" s="8">
        <v>1178640.0</v>
      </c>
      <c r="E1317" s="9" t="s">
        <v>1030</v>
      </c>
      <c r="F1317" s="9"/>
      <c r="G1317" s="9" t="s">
        <v>1031</v>
      </c>
      <c r="H1317" s="9"/>
      <c r="I1317" s="8">
        <v>1930.0</v>
      </c>
      <c r="J1317" s="9" t="s">
        <v>881</v>
      </c>
      <c r="K1317" s="9"/>
      <c r="L1317" s="9"/>
      <c r="M1317" s="9" t="s">
        <v>3634</v>
      </c>
      <c r="N1317" s="9" t="s">
        <v>35</v>
      </c>
      <c r="O1317" s="9" t="s">
        <v>3635</v>
      </c>
      <c r="P1317" s="9" t="s">
        <v>1296</v>
      </c>
    </row>
    <row r="1318">
      <c r="A1318" s="18" t="s">
        <v>794</v>
      </c>
      <c r="B1318" s="8">
        <v>5958.0</v>
      </c>
      <c r="C1318" s="8">
        <v>1554755.0</v>
      </c>
      <c r="D1318" s="8">
        <v>1557582.0</v>
      </c>
      <c r="E1318" s="9" t="s">
        <v>1030</v>
      </c>
      <c r="F1318" s="9"/>
      <c r="G1318" s="9" t="s">
        <v>1031</v>
      </c>
      <c r="H1318" s="9"/>
      <c r="I1318" s="8">
        <v>1930.0</v>
      </c>
      <c r="J1318" s="9" t="s">
        <v>881</v>
      </c>
      <c r="K1318" s="9"/>
      <c r="L1318" s="9"/>
      <c r="M1318" s="9" t="s">
        <v>1254</v>
      </c>
      <c r="N1318" s="9" t="s">
        <v>35</v>
      </c>
      <c r="O1318" s="9" t="s">
        <v>3636</v>
      </c>
      <c r="P1318" s="9" t="s">
        <v>3148</v>
      </c>
    </row>
    <row r="1319">
      <c r="A1319" s="18" t="s">
        <v>794</v>
      </c>
      <c r="B1319" s="8">
        <v>6006.0</v>
      </c>
      <c r="C1319" s="8">
        <v>1859692.0</v>
      </c>
      <c r="D1319" s="8">
        <v>1870970.0</v>
      </c>
      <c r="E1319" s="9" t="s">
        <v>1030</v>
      </c>
      <c r="F1319" s="9"/>
      <c r="G1319" s="9" t="s">
        <v>1031</v>
      </c>
      <c r="H1319" s="9"/>
      <c r="I1319" s="8">
        <v>1930.0</v>
      </c>
      <c r="J1319" s="9" t="s">
        <v>881</v>
      </c>
      <c r="K1319" s="9"/>
      <c r="L1319" s="9"/>
      <c r="M1319" s="9" t="s">
        <v>3637</v>
      </c>
      <c r="N1319" s="9" t="s">
        <v>35</v>
      </c>
      <c r="O1319" s="9" t="s">
        <v>3638</v>
      </c>
      <c r="P1319" s="9" t="s">
        <v>1296</v>
      </c>
    </row>
    <row r="1320">
      <c r="A1320" s="18" t="s">
        <v>794</v>
      </c>
      <c r="B1320" s="8">
        <v>6015.0</v>
      </c>
      <c r="C1320" s="8">
        <v>1917618.0</v>
      </c>
      <c r="D1320" s="8">
        <v>1926641.0</v>
      </c>
      <c r="E1320" s="9" t="s">
        <v>1030</v>
      </c>
      <c r="F1320" s="9"/>
      <c r="G1320" s="9" t="s">
        <v>1031</v>
      </c>
      <c r="H1320" s="9"/>
      <c r="I1320" s="8">
        <v>1930.0</v>
      </c>
      <c r="J1320" s="9" t="s">
        <v>881</v>
      </c>
      <c r="K1320" s="9"/>
      <c r="L1320" s="9"/>
      <c r="M1320" s="9" t="s">
        <v>3639</v>
      </c>
      <c r="N1320" s="9" t="s">
        <v>35</v>
      </c>
      <c r="O1320" s="9" t="s">
        <v>3640</v>
      </c>
      <c r="P1320" s="9" t="s">
        <v>3148</v>
      </c>
    </row>
    <row r="1321">
      <c r="A1321" s="18" t="s">
        <v>794</v>
      </c>
      <c r="B1321" s="8">
        <v>6015.0</v>
      </c>
      <c r="C1321" s="8">
        <v>1917618.0</v>
      </c>
      <c r="D1321" s="8">
        <v>1926641.0</v>
      </c>
      <c r="E1321" s="9" t="s">
        <v>1030</v>
      </c>
      <c r="F1321" s="9"/>
      <c r="G1321" s="9" t="s">
        <v>1031</v>
      </c>
      <c r="H1321" s="9"/>
      <c r="I1321" s="8">
        <v>1930.0</v>
      </c>
      <c r="J1321" s="9" t="s">
        <v>881</v>
      </c>
      <c r="K1321" s="9"/>
      <c r="L1321" s="9"/>
      <c r="M1321" s="9" t="s">
        <v>3641</v>
      </c>
      <c r="N1321" s="9" t="s">
        <v>35</v>
      </c>
      <c r="O1321" s="9" t="s">
        <v>3642</v>
      </c>
      <c r="P1321" s="9" t="s">
        <v>3148</v>
      </c>
    </row>
    <row r="1322">
      <c r="A1322" s="18" t="s">
        <v>794</v>
      </c>
      <c r="B1322" s="8">
        <v>6015.0</v>
      </c>
      <c r="C1322" s="8">
        <v>1917618.0</v>
      </c>
      <c r="D1322" s="8">
        <v>1926641.0</v>
      </c>
      <c r="E1322" s="9" t="s">
        <v>1030</v>
      </c>
      <c r="F1322" s="9"/>
      <c r="G1322" s="9" t="s">
        <v>1031</v>
      </c>
      <c r="H1322" s="9"/>
      <c r="I1322" s="8">
        <v>1930.0</v>
      </c>
      <c r="J1322" s="9" t="s">
        <v>881</v>
      </c>
      <c r="K1322" s="9"/>
      <c r="L1322" s="9"/>
      <c r="M1322" s="9" t="s">
        <v>3643</v>
      </c>
      <c r="N1322" s="9" t="s">
        <v>35</v>
      </c>
      <c r="O1322" s="9" t="s">
        <v>3644</v>
      </c>
      <c r="P1322" s="9" t="s">
        <v>3148</v>
      </c>
    </row>
    <row r="1323">
      <c r="A1323" s="18" t="s">
        <v>794</v>
      </c>
      <c r="B1323" s="8">
        <v>6020.0</v>
      </c>
      <c r="C1323" s="8">
        <v>1964234.0</v>
      </c>
      <c r="D1323" s="8">
        <v>1970694.0</v>
      </c>
      <c r="E1323" s="9" t="s">
        <v>1030</v>
      </c>
      <c r="F1323" s="9"/>
      <c r="G1323" s="9" t="s">
        <v>1031</v>
      </c>
      <c r="H1323" s="9"/>
      <c r="I1323" s="8">
        <v>1930.0</v>
      </c>
      <c r="J1323" s="9" t="s">
        <v>881</v>
      </c>
      <c r="K1323" s="9"/>
      <c r="L1323" s="9"/>
      <c r="M1323" s="9" t="s">
        <v>3645</v>
      </c>
      <c r="N1323" s="9" t="s">
        <v>35</v>
      </c>
      <c r="O1323" s="9" t="s">
        <v>3646</v>
      </c>
      <c r="P1323" s="9" t="s">
        <v>3148</v>
      </c>
    </row>
    <row r="1324">
      <c r="A1324" s="18" t="s">
        <v>794</v>
      </c>
      <c r="B1324" s="8">
        <v>6030.0</v>
      </c>
      <c r="C1324" s="8">
        <v>2031681.0</v>
      </c>
      <c r="D1324" s="8">
        <v>2035156.0</v>
      </c>
      <c r="E1324" s="9" t="s">
        <v>1030</v>
      </c>
      <c r="F1324" s="9"/>
      <c r="G1324" s="9" t="s">
        <v>1031</v>
      </c>
      <c r="H1324" s="9"/>
      <c r="I1324" s="8">
        <v>1930.0</v>
      </c>
      <c r="J1324" s="9" t="s">
        <v>881</v>
      </c>
      <c r="K1324" s="9"/>
      <c r="L1324" s="9"/>
      <c r="M1324" s="9" t="s">
        <v>3647</v>
      </c>
      <c r="N1324" s="9" t="s">
        <v>35</v>
      </c>
      <c r="O1324" s="9" t="s">
        <v>3648</v>
      </c>
      <c r="P1324" s="9" t="s">
        <v>1296</v>
      </c>
    </row>
    <row r="1325">
      <c r="A1325" s="18" t="s">
        <v>794</v>
      </c>
      <c r="B1325" s="8">
        <v>2287.0</v>
      </c>
      <c r="C1325" s="8">
        <v>1796100.0</v>
      </c>
      <c r="D1325" s="8">
        <v>1796690.0</v>
      </c>
      <c r="E1325" s="9" t="s">
        <v>879</v>
      </c>
      <c r="F1325" s="9"/>
      <c r="G1325" s="9" t="s">
        <v>880</v>
      </c>
      <c r="H1325" s="9"/>
      <c r="I1325" s="8">
        <v>1933.0</v>
      </c>
      <c r="J1325" s="9" t="s">
        <v>881</v>
      </c>
      <c r="K1325" s="9"/>
      <c r="L1325" s="9"/>
      <c r="M1325" s="9"/>
      <c r="N1325" s="9" t="s">
        <v>35</v>
      </c>
      <c r="O1325" s="9" t="s">
        <v>3649</v>
      </c>
      <c r="P1325" s="9" t="s">
        <v>1300</v>
      </c>
    </row>
    <row r="1326">
      <c r="A1326" s="18" t="s">
        <v>794</v>
      </c>
      <c r="B1326" s="8">
        <v>6032.0</v>
      </c>
      <c r="C1326" s="8">
        <v>2045667.0</v>
      </c>
      <c r="D1326" s="8">
        <v>2050766.0</v>
      </c>
      <c r="E1326" s="9" t="s">
        <v>1030</v>
      </c>
      <c r="F1326" s="9"/>
      <c r="G1326" s="9" t="s">
        <v>1031</v>
      </c>
      <c r="H1326" s="9"/>
      <c r="I1326" s="8">
        <v>1930.0</v>
      </c>
      <c r="J1326" s="9" t="s">
        <v>881</v>
      </c>
      <c r="K1326" s="9"/>
      <c r="L1326" s="9"/>
      <c r="M1326" s="9" t="s">
        <v>3650</v>
      </c>
      <c r="N1326" s="9" t="s">
        <v>35</v>
      </c>
      <c r="O1326" s="9" t="s">
        <v>3651</v>
      </c>
      <c r="P1326" s="9" t="s">
        <v>1316</v>
      </c>
    </row>
    <row r="1327">
      <c r="A1327" s="18" t="s">
        <v>794</v>
      </c>
      <c r="B1327" s="8">
        <v>6070.0</v>
      </c>
      <c r="C1327" s="8">
        <v>2287075.0</v>
      </c>
      <c r="D1327" s="8">
        <v>2290445.0</v>
      </c>
      <c r="E1327" s="9" t="s">
        <v>1030</v>
      </c>
      <c r="F1327" s="9"/>
      <c r="G1327" s="9" t="s">
        <v>1031</v>
      </c>
      <c r="H1327" s="9"/>
      <c r="I1327" s="8">
        <v>1930.0</v>
      </c>
      <c r="J1327" s="9" t="s">
        <v>881</v>
      </c>
      <c r="K1327" s="9"/>
      <c r="L1327" s="9"/>
      <c r="M1327" s="9" t="s">
        <v>3652</v>
      </c>
      <c r="N1327" s="9" t="s">
        <v>35</v>
      </c>
      <c r="O1327" s="9" t="s">
        <v>3653</v>
      </c>
      <c r="P1327" s="9" t="s">
        <v>1316</v>
      </c>
    </row>
    <row r="1328">
      <c r="A1328" s="18" t="s">
        <v>794</v>
      </c>
      <c r="B1328" s="8">
        <v>6073.0</v>
      </c>
      <c r="C1328" s="8">
        <v>2300386.0</v>
      </c>
      <c r="D1328" s="8">
        <v>2305026.0</v>
      </c>
      <c r="E1328" s="9" t="s">
        <v>1030</v>
      </c>
      <c r="F1328" s="9"/>
      <c r="G1328" s="9" t="s">
        <v>1031</v>
      </c>
      <c r="H1328" s="9"/>
      <c r="I1328" s="8">
        <v>1930.0</v>
      </c>
      <c r="J1328" s="9" t="s">
        <v>881</v>
      </c>
      <c r="K1328" s="9"/>
      <c r="L1328" s="9"/>
      <c r="M1328" s="9"/>
      <c r="N1328" s="9" t="s">
        <v>45</v>
      </c>
      <c r="O1328" s="9" t="s">
        <v>3654</v>
      </c>
      <c r="P1328" s="9" t="s">
        <v>1316</v>
      </c>
    </row>
    <row r="1329">
      <c r="A1329" s="18" t="s">
        <v>794</v>
      </c>
      <c r="B1329" s="8">
        <v>6075.0</v>
      </c>
      <c r="C1329" s="8">
        <v>2318747.0</v>
      </c>
      <c r="D1329" s="8">
        <v>2328052.0</v>
      </c>
      <c r="E1329" s="9" t="s">
        <v>1030</v>
      </c>
      <c r="F1329" s="9"/>
      <c r="G1329" s="9" t="s">
        <v>1031</v>
      </c>
      <c r="H1329" s="9"/>
      <c r="I1329" s="8">
        <v>1930.0</v>
      </c>
      <c r="J1329" s="9" t="s">
        <v>881</v>
      </c>
      <c r="K1329" s="9"/>
      <c r="L1329" s="9"/>
      <c r="M1329" s="9"/>
      <c r="N1329" s="9" t="s">
        <v>45</v>
      </c>
      <c r="O1329" s="9" t="s">
        <v>3655</v>
      </c>
      <c r="P1329" s="9" t="s">
        <v>1316</v>
      </c>
    </row>
    <row r="1330">
      <c r="A1330" s="18" t="s">
        <v>794</v>
      </c>
      <c r="B1330" s="8">
        <v>6087.0</v>
      </c>
      <c r="C1330" s="8">
        <v>2399993.0</v>
      </c>
      <c r="D1330" s="8">
        <v>2407511.0</v>
      </c>
      <c r="E1330" s="9" t="s">
        <v>1030</v>
      </c>
      <c r="F1330" s="9"/>
      <c r="G1330" s="9" t="s">
        <v>1031</v>
      </c>
      <c r="H1330" s="9"/>
      <c r="I1330" s="8">
        <v>1930.0</v>
      </c>
      <c r="J1330" s="9" t="s">
        <v>881</v>
      </c>
      <c r="K1330" s="9"/>
      <c r="L1330" s="9"/>
      <c r="M1330" s="9" t="s">
        <v>3656</v>
      </c>
      <c r="N1330" s="9" t="s">
        <v>35</v>
      </c>
      <c r="O1330" s="9" t="s">
        <v>3657</v>
      </c>
      <c r="P1330" s="9" t="s">
        <v>1388</v>
      </c>
    </row>
    <row r="1331">
      <c r="A1331" s="18" t="s">
        <v>794</v>
      </c>
      <c r="B1331" s="8">
        <v>6091.0</v>
      </c>
      <c r="C1331" s="8">
        <v>2424905.0</v>
      </c>
      <c r="D1331" s="8">
        <v>2427816.0</v>
      </c>
      <c r="E1331" s="9" t="s">
        <v>1030</v>
      </c>
      <c r="F1331" s="9"/>
      <c r="G1331" s="9" t="s">
        <v>1031</v>
      </c>
      <c r="H1331" s="9"/>
      <c r="I1331" s="8">
        <v>1930.0</v>
      </c>
      <c r="J1331" s="9" t="s">
        <v>881</v>
      </c>
      <c r="K1331" s="9"/>
      <c r="L1331" s="9"/>
      <c r="M1331" s="9"/>
      <c r="N1331" s="9" t="s">
        <v>45</v>
      </c>
      <c r="O1331" s="9" t="s">
        <v>3658</v>
      </c>
      <c r="P1331" s="9" t="s">
        <v>1316</v>
      </c>
    </row>
    <row r="1332">
      <c r="A1332" s="18" t="s">
        <v>794</v>
      </c>
      <c r="B1332" s="8">
        <v>6105.0</v>
      </c>
      <c r="C1332" s="8">
        <v>2510454.0</v>
      </c>
      <c r="D1332" s="8">
        <v>2513649.0</v>
      </c>
      <c r="E1332" s="9" t="s">
        <v>1030</v>
      </c>
      <c r="F1332" s="9"/>
      <c r="G1332" s="9" t="s">
        <v>1031</v>
      </c>
      <c r="H1332" s="9"/>
      <c r="I1332" s="8">
        <v>1930.0</v>
      </c>
      <c r="J1332" s="9" t="s">
        <v>881</v>
      </c>
      <c r="K1332" s="9"/>
      <c r="L1332" s="9"/>
      <c r="M1332" s="9" t="s">
        <v>3659</v>
      </c>
      <c r="N1332" s="9" t="s">
        <v>35</v>
      </c>
      <c r="O1332" s="9" t="s">
        <v>3660</v>
      </c>
      <c r="P1332" s="9" t="s">
        <v>1296</v>
      </c>
    </row>
    <row r="1333">
      <c r="A1333" s="18" t="s">
        <v>794</v>
      </c>
      <c r="B1333" s="8">
        <v>6105.0</v>
      </c>
      <c r="C1333" s="8">
        <v>2510454.0</v>
      </c>
      <c r="D1333" s="8">
        <v>2513649.0</v>
      </c>
      <c r="E1333" s="9" t="s">
        <v>1030</v>
      </c>
      <c r="F1333" s="9"/>
      <c r="G1333" s="9" t="s">
        <v>1031</v>
      </c>
      <c r="H1333" s="9"/>
      <c r="I1333" s="8">
        <v>1930.0</v>
      </c>
      <c r="J1333" s="9" t="s">
        <v>881</v>
      </c>
      <c r="K1333" s="9"/>
      <c r="L1333" s="9"/>
      <c r="M1333" s="9" t="s">
        <v>3661</v>
      </c>
      <c r="N1333" s="9" t="s">
        <v>35</v>
      </c>
      <c r="O1333" s="9" t="s">
        <v>3662</v>
      </c>
      <c r="P1333" s="9" t="s">
        <v>1296</v>
      </c>
    </row>
    <row r="1334">
      <c r="A1334" s="18" t="s">
        <v>794</v>
      </c>
      <c r="B1334" s="8">
        <v>6152.0</v>
      </c>
      <c r="C1334" s="8">
        <v>2809176.0</v>
      </c>
      <c r="D1334" s="8">
        <v>2812284.0</v>
      </c>
      <c r="E1334" s="9" t="s">
        <v>1030</v>
      </c>
      <c r="F1334" s="9"/>
      <c r="G1334" s="9" t="s">
        <v>1031</v>
      </c>
      <c r="H1334" s="9"/>
      <c r="I1334" s="8">
        <v>1930.0</v>
      </c>
      <c r="J1334" s="9" t="s">
        <v>881</v>
      </c>
      <c r="K1334" s="9"/>
      <c r="L1334" s="9"/>
      <c r="M1334" s="9"/>
      <c r="N1334" s="9" t="s">
        <v>45</v>
      </c>
      <c r="O1334" s="9" t="s">
        <v>3663</v>
      </c>
      <c r="P1334" s="9" t="s">
        <v>1296</v>
      </c>
    </row>
    <row r="1335">
      <c r="A1335" s="18" t="s">
        <v>794</v>
      </c>
      <c r="B1335" s="8">
        <v>6153.0</v>
      </c>
      <c r="C1335" s="8">
        <v>2812284.0</v>
      </c>
      <c r="D1335" s="8">
        <v>2823194.0</v>
      </c>
      <c r="E1335" s="9" t="s">
        <v>1030</v>
      </c>
      <c r="F1335" s="9"/>
      <c r="G1335" s="9" t="s">
        <v>1031</v>
      </c>
      <c r="H1335" s="9"/>
      <c r="I1335" s="8">
        <v>1930.0</v>
      </c>
      <c r="J1335" s="9" t="s">
        <v>881</v>
      </c>
      <c r="K1335" s="9"/>
      <c r="L1335" s="9"/>
      <c r="M1335" s="9" t="s">
        <v>3664</v>
      </c>
      <c r="N1335" s="9" t="s">
        <v>35</v>
      </c>
      <c r="O1335" s="9" t="s">
        <v>3665</v>
      </c>
      <c r="P1335" s="9" t="s">
        <v>1296</v>
      </c>
    </row>
    <row r="1336">
      <c r="A1336" s="18" t="s">
        <v>794</v>
      </c>
      <c r="B1336" s="8">
        <v>6180.0</v>
      </c>
      <c r="C1336" s="8">
        <v>6598620.0</v>
      </c>
      <c r="D1336" s="8">
        <v>6605269.0</v>
      </c>
      <c r="E1336" s="9" t="s">
        <v>1045</v>
      </c>
      <c r="F1336" s="9"/>
      <c r="G1336" s="9" t="s">
        <v>1046</v>
      </c>
      <c r="H1336" s="9"/>
      <c r="I1336" s="8">
        <v>1955.0</v>
      </c>
      <c r="J1336" s="9" t="s">
        <v>797</v>
      </c>
      <c r="K1336" s="9"/>
      <c r="L1336" s="9"/>
      <c r="M1336" s="9" t="s">
        <v>3666</v>
      </c>
      <c r="N1336" s="9" t="s">
        <v>35</v>
      </c>
      <c r="O1336" s="9" t="s">
        <v>3667</v>
      </c>
      <c r="P1336" s="9" t="s">
        <v>1296</v>
      </c>
    </row>
    <row r="1337">
      <c r="A1337" s="18" t="s">
        <v>794</v>
      </c>
      <c r="B1337" s="8">
        <v>6186.0</v>
      </c>
      <c r="C1337" s="8">
        <v>6638785.0</v>
      </c>
      <c r="D1337" s="8">
        <v>6643638.0</v>
      </c>
      <c r="E1337" s="9" t="s">
        <v>1045</v>
      </c>
      <c r="F1337" s="9"/>
      <c r="G1337" s="9" t="s">
        <v>1046</v>
      </c>
      <c r="H1337" s="9"/>
      <c r="I1337" s="8">
        <v>1955.0</v>
      </c>
      <c r="J1337" s="9" t="s">
        <v>797</v>
      </c>
      <c r="K1337" s="9"/>
      <c r="L1337" s="9"/>
      <c r="M1337" s="9" t="s">
        <v>3668</v>
      </c>
      <c r="N1337" s="9" t="s">
        <v>35</v>
      </c>
      <c r="O1337" s="9" t="s">
        <v>3669</v>
      </c>
      <c r="P1337" s="9" t="s">
        <v>1296</v>
      </c>
    </row>
    <row r="1338">
      <c r="A1338" s="18" t="s">
        <v>794</v>
      </c>
      <c r="B1338" s="8">
        <v>6192.0</v>
      </c>
      <c r="C1338" s="8">
        <v>6683261.0</v>
      </c>
      <c r="D1338" s="8">
        <v>6697652.0</v>
      </c>
      <c r="E1338" s="9" t="s">
        <v>1045</v>
      </c>
      <c r="F1338" s="9"/>
      <c r="G1338" s="9" t="s">
        <v>1046</v>
      </c>
      <c r="H1338" s="9"/>
      <c r="I1338" s="8">
        <v>1955.0</v>
      </c>
      <c r="J1338" s="9" t="s">
        <v>797</v>
      </c>
      <c r="K1338" s="9"/>
      <c r="L1338" s="9"/>
      <c r="M1338" s="9" t="s">
        <v>3670</v>
      </c>
      <c r="N1338" s="9" t="s">
        <v>35</v>
      </c>
      <c r="O1338" s="9" t="s">
        <v>3671</v>
      </c>
      <c r="P1338" s="9" t="s">
        <v>1296</v>
      </c>
    </row>
    <row r="1339">
      <c r="A1339" s="18" t="s">
        <v>794</v>
      </c>
      <c r="B1339" s="8">
        <v>6192.0</v>
      </c>
      <c r="C1339" s="8">
        <v>6683261.0</v>
      </c>
      <c r="D1339" s="8">
        <v>6697652.0</v>
      </c>
      <c r="E1339" s="9" t="s">
        <v>1045</v>
      </c>
      <c r="F1339" s="9"/>
      <c r="G1339" s="9" t="s">
        <v>1046</v>
      </c>
      <c r="H1339" s="9"/>
      <c r="I1339" s="8">
        <v>1955.0</v>
      </c>
      <c r="J1339" s="9" t="s">
        <v>797</v>
      </c>
      <c r="K1339" s="9"/>
      <c r="L1339" s="9"/>
      <c r="M1339" s="9" t="s">
        <v>3672</v>
      </c>
      <c r="N1339" s="9" t="s">
        <v>35</v>
      </c>
      <c r="O1339" s="9" t="s">
        <v>3673</v>
      </c>
      <c r="P1339" s="9" t="s">
        <v>1296</v>
      </c>
    </row>
    <row r="1340">
      <c r="A1340" s="18" t="s">
        <v>794</v>
      </c>
      <c r="B1340" s="8">
        <v>6200.0</v>
      </c>
      <c r="C1340" s="8">
        <v>6751717.0</v>
      </c>
      <c r="D1340" s="8">
        <v>6758196.0</v>
      </c>
      <c r="E1340" s="9" t="s">
        <v>1045</v>
      </c>
      <c r="F1340" s="9"/>
      <c r="G1340" s="9" t="s">
        <v>1046</v>
      </c>
      <c r="H1340" s="9"/>
      <c r="I1340" s="8">
        <v>1955.0</v>
      </c>
      <c r="J1340" s="9" t="s">
        <v>797</v>
      </c>
      <c r="K1340" s="9"/>
      <c r="L1340" s="9"/>
      <c r="M1340" s="9" t="s">
        <v>3674</v>
      </c>
      <c r="N1340" s="9" t="s">
        <v>35</v>
      </c>
      <c r="O1340" s="9" t="s">
        <v>3675</v>
      </c>
      <c r="P1340" s="9" t="s">
        <v>1296</v>
      </c>
    </row>
    <row r="1341">
      <c r="A1341" s="18" t="s">
        <v>794</v>
      </c>
      <c r="B1341" s="8">
        <v>6256.0</v>
      </c>
      <c r="C1341" s="8">
        <v>7083463.0</v>
      </c>
      <c r="D1341" s="8">
        <v>7087553.0</v>
      </c>
      <c r="E1341" s="9" t="s">
        <v>1045</v>
      </c>
      <c r="F1341" s="9"/>
      <c r="G1341" s="9" t="s">
        <v>1046</v>
      </c>
      <c r="H1341" s="9"/>
      <c r="I1341" s="8">
        <v>1955.0</v>
      </c>
      <c r="J1341" s="9" t="s">
        <v>797</v>
      </c>
      <c r="K1341" s="9"/>
      <c r="L1341" s="9"/>
      <c r="M1341" s="9" t="s">
        <v>3676</v>
      </c>
      <c r="N1341" s="9" t="s">
        <v>35</v>
      </c>
      <c r="O1341" s="9" t="s">
        <v>1526</v>
      </c>
      <c r="P1341" s="9" t="s">
        <v>1296</v>
      </c>
    </row>
    <row r="1342">
      <c r="A1342" s="18" t="s">
        <v>794</v>
      </c>
      <c r="B1342" s="8">
        <v>6280.0</v>
      </c>
      <c r="C1342" s="8">
        <v>7265899.0</v>
      </c>
      <c r="D1342" s="8">
        <v>7272315.0</v>
      </c>
      <c r="E1342" s="9" t="s">
        <v>1045</v>
      </c>
      <c r="F1342" s="9"/>
      <c r="G1342" s="9" t="s">
        <v>1046</v>
      </c>
      <c r="H1342" s="9"/>
      <c r="I1342" s="8">
        <v>1955.0</v>
      </c>
      <c r="J1342" s="9" t="s">
        <v>797</v>
      </c>
      <c r="K1342" s="9"/>
      <c r="L1342" s="9"/>
      <c r="M1342" s="9" t="s">
        <v>3677</v>
      </c>
      <c r="N1342" s="9" t="s">
        <v>35</v>
      </c>
      <c r="O1342" s="9" t="s">
        <v>3678</v>
      </c>
      <c r="P1342" s="9" t="s">
        <v>1296</v>
      </c>
    </row>
    <row r="1343">
      <c r="A1343" s="18" t="s">
        <v>794</v>
      </c>
      <c r="B1343" s="8">
        <v>6288.0</v>
      </c>
      <c r="C1343" s="8">
        <v>7319975.0</v>
      </c>
      <c r="D1343" s="8">
        <v>7324777.0</v>
      </c>
      <c r="E1343" s="9" t="s">
        <v>1045</v>
      </c>
      <c r="F1343" s="9"/>
      <c r="G1343" s="9" t="s">
        <v>1046</v>
      </c>
      <c r="H1343" s="9"/>
      <c r="I1343" s="8">
        <v>1955.0</v>
      </c>
      <c r="J1343" s="9" t="s">
        <v>797</v>
      </c>
      <c r="K1343" s="9"/>
      <c r="L1343" s="9"/>
      <c r="M1343" s="9" t="s">
        <v>3679</v>
      </c>
      <c r="N1343" s="9" t="s">
        <v>35</v>
      </c>
      <c r="O1343" s="9" t="s">
        <v>3680</v>
      </c>
      <c r="P1343" s="9" t="s">
        <v>1296</v>
      </c>
    </row>
    <row r="1344">
      <c r="A1344" s="18" t="s">
        <v>794</v>
      </c>
      <c r="B1344" s="8">
        <v>6313.0</v>
      </c>
      <c r="C1344" s="8">
        <v>7497225.0</v>
      </c>
      <c r="D1344" s="8">
        <v>7504879.0</v>
      </c>
      <c r="E1344" s="9" t="s">
        <v>1045</v>
      </c>
      <c r="F1344" s="9"/>
      <c r="G1344" s="9" t="s">
        <v>1046</v>
      </c>
      <c r="H1344" s="9"/>
      <c r="I1344" s="8">
        <v>1955.0</v>
      </c>
      <c r="J1344" s="9" t="s">
        <v>797</v>
      </c>
      <c r="K1344" s="9"/>
      <c r="L1344" s="9"/>
      <c r="M1344" s="9" t="s">
        <v>3681</v>
      </c>
      <c r="N1344" s="9" t="s">
        <v>35</v>
      </c>
      <c r="O1344" s="9" t="s">
        <v>3682</v>
      </c>
      <c r="P1344" s="9" t="s">
        <v>1296</v>
      </c>
    </row>
    <row r="1345">
      <c r="A1345" s="18" t="s">
        <v>794</v>
      </c>
      <c r="B1345" s="8">
        <v>6313.0</v>
      </c>
      <c r="C1345" s="8">
        <v>7497225.0</v>
      </c>
      <c r="D1345" s="8">
        <v>7504879.0</v>
      </c>
      <c r="E1345" s="9" t="s">
        <v>1045</v>
      </c>
      <c r="F1345" s="9"/>
      <c r="G1345" s="9" t="s">
        <v>1046</v>
      </c>
      <c r="H1345" s="9"/>
      <c r="I1345" s="8">
        <v>1955.0</v>
      </c>
      <c r="J1345" s="9" t="s">
        <v>797</v>
      </c>
      <c r="K1345" s="9"/>
      <c r="L1345" s="9"/>
      <c r="M1345" s="9" t="s">
        <v>3683</v>
      </c>
      <c r="N1345" s="9" t="s">
        <v>35</v>
      </c>
      <c r="O1345" s="9" t="s">
        <v>3684</v>
      </c>
      <c r="P1345" s="9" t="s">
        <v>1296</v>
      </c>
    </row>
    <row r="1346">
      <c r="A1346" s="18" t="s">
        <v>794</v>
      </c>
      <c r="B1346" s="8">
        <v>6327.0</v>
      </c>
      <c r="C1346" s="8">
        <v>7565302.0</v>
      </c>
      <c r="D1346" s="8">
        <v>7570705.0</v>
      </c>
      <c r="E1346" s="9" t="s">
        <v>1045</v>
      </c>
      <c r="F1346" s="9"/>
      <c r="G1346" s="9" t="s">
        <v>1046</v>
      </c>
      <c r="H1346" s="9"/>
      <c r="I1346" s="8">
        <v>1955.0</v>
      </c>
      <c r="J1346" s="9" t="s">
        <v>797</v>
      </c>
      <c r="K1346" s="9"/>
      <c r="L1346" s="9"/>
      <c r="M1346" s="9" t="s">
        <v>3685</v>
      </c>
      <c r="N1346" s="9" t="s">
        <v>35</v>
      </c>
      <c r="O1346" s="9" t="s">
        <v>3686</v>
      </c>
      <c r="P1346" s="9" t="s">
        <v>1296</v>
      </c>
    </row>
    <row r="1347">
      <c r="A1347" s="18" t="s">
        <v>794</v>
      </c>
      <c r="B1347" s="8">
        <v>6328.0</v>
      </c>
      <c r="C1347" s="8">
        <v>7570721.0</v>
      </c>
      <c r="D1347" s="8">
        <v>7576068.0</v>
      </c>
      <c r="E1347" s="9" t="s">
        <v>1045</v>
      </c>
      <c r="F1347" s="9"/>
      <c r="G1347" s="9" t="s">
        <v>1046</v>
      </c>
      <c r="H1347" s="9"/>
      <c r="I1347" s="8">
        <v>1955.0</v>
      </c>
      <c r="J1347" s="9" t="s">
        <v>797</v>
      </c>
      <c r="K1347" s="9"/>
      <c r="L1347" s="9"/>
      <c r="M1347" s="9" t="s">
        <v>3687</v>
      </c>
      <c r="N1347" s="9" t="s">
        <v>35</v>
      </c>
      <c r="O1347" s="9" t="s">
        <v>3688</v>
      </c>
      <c r="P1347" s="9" t="s">
        <v>1296</v>
      </c>
    </row>
    <row r="1348">
      <c r="A1348" s="18" t="s">
        <v>794</v>
      </c>
      <c r="B1348" s="8">
        <v>6337.0</v>
      </c>
      <c r="C1348" s="8">
        <v>7616290.0</v>
      </c>
      <c r="D1348" s="8">
        <v>7619929.0</v>
      </c>
      <c r="E1348" s="9" t="s">
        <v>1045</v>
      </c>
      <c r="F1348" s="9"/>
      <c r="G1348" s="9" t="s">
        <v>1046</v>
      </c>
      <c r="H1348" s="9"/>
      <c r="I1348" s="8">
        <v>1955.0</v>
      </c>
      <c r="J1348" s="9" t="s">
        <v>797</v>
      </c>
      <c r="K1348" s="9"/>
      <c r="L1348" s="9"/>
      <c r="M1348" s="9" t="s">
        <v>3689</v>
      </c>
      <c r="N1348" s="9" t="s">
        <v>35</v>
      </c>
      <c r="O1348" s="9" t="s">
        <v>3690</v>
      </c>
      <c r="P1348" s="9" t="s">
        <v>1296</v>
      </c>
    </row>
    <row r="1349">
      <c r="A1349" s="18" t="s">
        <v>794</v>
      </c>
      <c r="B1349" s="8">
        <v>6349.0</v>
      </c>
      <c r="C1349" s="8">
        <v>7671809.0</v>
      </c>
      <c r="D1349" s="8">
        <v>7679423.0</v>
      </c>
      <c r="E1349" s="9" t="s">
        <v>1045</v>
      </c>
      <c r="F1349" s="9"/>
      <c r="G1349" s="9" t="s">
        <v>1046</v>
      </c>
      <c r="H1349" s="9"/>
      <c r="I1349" s="8">
        <v>1955.0</v>
      </c>
      <c r="J1349" s="9" t="s">
        <v>797</v>
      </c>
      <c r="K1349" s="9"/>
      <c r="L1349" s="9"/>
      <c r="M1349" s="9" t="s">
        <v>3691</v>
      </c>
      <c r="N1349" s="9" t="s">
        <v>35</v>
      </c>
      <c r="O1349" s="9" t="s">
        <v>3692</v>
      </c>
      <c r="P1349" s="9" t="s">
        <v>1296</v>
      </c>
    </row>
    <row r="1350">
      <c r="A1350" s="18" t="s">
        <v>794</v>
      </c>
      <c r="B1350" s="8">
        <v>6352.0</v>
      </c>
      <c r="C1350" s="8">
        <v>7685767.0</v>
      </c>
      <c r="D1350" s="8">
        <v>7691808.0</v>
      </c>
      <c r="E1350" s="9" t="s">
        <v>1045</v>
      </c>
      <c r="F1350" s="9"/>
      <c r="G1350" s="9" t="s">
        <v>1046</v>
      </c>
      <c r="H1350" s="9"/>
      <c r="I1350" s="8">
        <v>1955.0</v>
      </c>
      <c r="J1350" s="9" t="s">
        <v>797</v>
      </c>
      <c r="K1350" s="9"/>
      <c r="L1350" s="9"/>
      <c r="M1350" s="9" t="s">
        <v>3693</v>
      </c>
      <c r="N1350" s="9" t="s">
        <v>35</v>
      </c>
      <c r="O1350" s="9" t="s">
        <v>3694</v>
      </c>
      <c r="P1350" s="9" t="s">
        <v>1316</v>
      </c>
    </row>
    <row r="1351">
      <c r="A1351" s="18" t="s">
        <v>794</v>
      </c>
      <c r="B1351" s="8">
        <v>6363.0</v>
      </c>
      <c r="C1351" s="8">
        <v>7747399.0</v>
      </c>
      <c r="D1351" s="8">
        <v>7752971.0</v>
      </c>
      <c r="E1351" s="9" t="s">
        <v>1045</v>
      </c>
      <c r="F1351" s="9"/>
      <c r="G1351" s="9" t="s">
        <v>1046</v>
      </c>
      <c r="H1351" s="9"/>
      <c r="I1351" s="8">
        <v>1955.0</v>
      </c>
      <c r="J1351" s="9" t="s">
        <v>797</v>
      </c>
      <c r="K1351" s="9"/>
      <c r="L1351" s="9"/>
      <c r="M1351" s="9" t="s">
        <v>3695</v>
      </c>
      <c r="N1351" s="9" t="s">
        <v>35</v>
      </c>
      <c r="O1351" s="9" t="s">
        <v>2509</v>
      </c>
      <c r="P1351" s="9" t="s">
        <v>3148</v>
      </c>
    </row>
    <row r="1352">
      <c r="A1352" s="18" t="s">
        <v>794</v>
      </c>
      <c r="B1352" s="8">
        <v>6398.0</v>
      </c>
      <c r="C1352" s="8">
        <v>7926877.0</v>
      </c>
      <c r="D1352" s="8">
        <v>7930010.0</v>
      </c>
      <c r="E1352" s="9" t="s">
        <v>1045</v>
      </c>
      <c r="F1352" s="9"/>
      <c r="G1352" s="9" t="s">
        <v>865</v>
      </c>
      <c r="H1352" s="9"/>
      <c r="I1352" s="8">
        <v>1949.0</v>
      </c>
      <c r="J1352" s="9" t="s">
        <v>797</v>
      </c>
      <c r="K1352" s="9"/>
      <c r="L1352" s="9"/>
      <c r="M1352" s="9" t="s">
        <v>3696</v>
      </c>
      <c r="N1352" s="9" t="s">
        <v>45</v>
      </c>
      <c r="O1352" s="9" t="s">
        <v>3697</v>
      </c>
      <c r="P1352" s="9" t="s">
        <v>1296</v>
      </c>
    </row>
    <row r="1353">
      <c r="A1353" s="18" t="s">
        <v>794</v>
      </c>
      <c r="B1353" s="8">
        <v>6399.0</v>
      </c>
      <c r="C1353" s="8">
        <v>7928716.0</v>
      </c>
      <c r="D1353" s="8">
        <v>7933818.0</v>
      </c>
      <c r="E1353" s="9" t="s">
        <v>1045</v>
      </c>
      <c r="F1353" s="9"/>
      <c r="G1353" s="9" t="s">
        <v>1046</v>
      </c>
      <c r="H1353" s="9"/>
      <c r="I1353" s="8">
        <v>1955.0</v>
      </c>
      <c r="J1353" s="9" t="s">
        <v>797</v>
      </c>
      <c r="K1353" s="9"/>
      <c r="L1353" s="9"/>
      <c r="M1353" s="9"/>
      <c r="N1353" s="9" t="s">
        <v>45</v>
      </c>
      <c r="O1353" s="9" t="s">
        <v>3698</v>
      </c>
      <c r="P1353" s="9" t="s">
        <v>1296</v>
      </c>
    </row>
    <row r="1354">
      <c r="A1354" s="18" t="s">
        <v>794</v>
      </c>
      <c r="B1354" s="8">
        <v>6433.0</v>
      </c>
      <c r="C1354" s="8">
        <v>8090607.0</v>
      </c>
      <c r="D1354" s="8">
        <v>8099649.0</v>
      </c>
      <c r="E1354" s="9" t="s">
        <v>1045</v>
      </c>
      <c r="F1354" s="9"/>
      <c r="G1354" s="9" t="s">
        <v>1046</v>
      </c>
      <c r="H1354" s="9"/>
      <c r="I1354" s="8">
        <v>1955.0</v>
      </c>
      <c r="J1354" s="9" t="s">
        <v>797</v>
      </c>
      <c r="K1354" s="9"/>
      <c r="L1354" s="9"/>
      <c r="M1354" s="9" t="s">
        <v>3699</v>
      </c>
      <c r="N1354" s="9" t="s">
        <v>35</v>
      </c>
      <c r="O1354" s="9" t="s">
        <v>3700</v>
      </c>
      <c r="P1354" s="9" t="s">
        <v>1296</v>
      </c>
    </row>
    <row r="1355">
      <c r="A1355" s="18" t="s">
        <v>794</v>
      </c>
      <c r="B1355" s="8">
        <v>6433.0</v>
      </c>
      <c r="C1355" s="8">
        <v>8090607.0</v>
      </c>
      <c r="D1355" s="8">
        <v>8099649.0</v>
      </c>
      <c r="E1355" s="9" t="s">
        <v>1045</v>
      </c>
      <c r="F1355" s="9"/>
      <c r="G1355" s="9" t="s">
        <v>1046</v>
      </c>
      <c r="H1355" s="9"/>
      <c r="I1355" s="8">
        <v>1955.0</v>
      </c>
      <c r="J1355" s="9" t="s">
        <v>797</v>
      </c>
      <c r="K1355" s="9"/>
      <c r="L1355" s="9"/>
      <c r="M1355" s="9" t="s">
        <v>3701</v>
      </c>
      <c r="N1355" s="9" t="s">
        <v>35</v>
      </c>
      <c r="O1355" s="9" t="s">
        <v>3702</v>
      </c>
      <c r="P1355" s="9" t="s">
        <v>1296</v>
      </c>
    </row>
    <row r="1356">
      <c r="A1356" s="18" t="s">
        <v>794</v>
      </c>
      <c r="B1356" s="8">
        <v>6437.0</v>
      </c>
      <c r="C1356" s="8">
        <v>8121143.0</v>
      </c>
      <c r="D1356" s="8">
        <v>8131405.0</v>
      </c>
      <c r="E1356" s="9" t="s">
        <v>1045</v>
      </c>
      <c r="F1356" s="9"/>
      <c r="G1356" s="9" t="s">
        <v>1046</v>
      </c>
      <c r="H1356" s="9"/>
      <c r="I1356" s="8">
        <v>1955.0</v>
      </c>
      <c r="J1356" s="9" t="s">
        <v>797</v>
      </c>
      <c r="K1356" s="9"/>
      <c r="L1356" s="9"/>
      <c r="M1356" s="9" t="s">
        <v>3703</v>
      </c>
      <c r="N1356" s="9" t="s">
        <v>35</v>
      </c>
      <c r="O1356" s="9" t="s">
        <v>3704</v>
      </c>
      <c r="P1356" s="9" t="s">
        <v>1296</v>
      </c>
    </row>
    <row r="1357">
      <c r="A1357" s="18" t="s">
        <v>794</v>
      </c>
      <c r="B1357" s="8">
        <v>6449.0</v>
      </c>
      <c r="C1357" s="8">
        <v>8206488.0</v>
      </c>
      <c r="D1357" s="8">
        <v>8214274.0</v>
      </c>
      <c r="E1357" s="9" t="s">
        <v>1045</v>
      </c>
      <c r="F1357" s="9"/>
      <c r="G1357" s="9" t="s">
        <v>1046</v>
      </c>
      <c r="H1357" s="9"/>
      <c r="I1357" s="8">
        <v>1955.0</v>
      </c>
      <c r="J1357" s="9" t="s">
        <v>797</v>
      </c>
      <c r="K1357" s="9"/>
      <c r="L1357" s="9"/>
      <c r="M1357" s="9" t="s">
        <v>3705</v>
      </c>
      <c r="N1357" s="9" t="s">
        <v>35</v>
      </c>
      <c r="O1357" s="9" t="s">
        <v>3706</v>
      </c>
      <c r="P1357" s="9" t="s">
        <v>1296</v>
      </c>
    </row>
    <row r="1358">
      <c r="A1358" s="18" t="s">
        <v>794</v>
      </c>
      <c r="B1358" s="8">
        <v>6450.0</v>
      </c>
      <c r="C1358" s="8">
        <v>8214295.0</v>
      </c>
      <c r="D1358" s="8">
        <v>8221612.0</v>
      </c>
      <c r="E1358" s="9" t="s">
        <v>1045</v>
      </c>
      <c r="F1358" s="9"/>
      <c r="G1358" s="9" t="s">
        <v>1046</v>
      </c>
      <c r="H1358" s="9"/>
      <c r="I1358" s="8">
        <v>1955.0</v>
      </c>
      <c r="J1358" s="9" t="s">
        <v>797</v>
      </c>
      <c r="K1358" s="9"/>
      <c r="L1358" s="9"/>
      <c r="M1358" s="9" t="s">
        <v>3707</v>
      </c>
      <c r="N1358" s="9" t="s">
        <v>35</v>
      </c>
      <c r="O1358" s="9" t="s">
        <v>3708</v>
      </c>
      <c r="P1358" s="9" t="s">
        <v>1296</v>
      </c>
    </row>
    <row r="1359">
      <c r="A1359" s="18" t="s">
        <v>794</v>
      </c>
      <c r="B1359" s="8">
        <v>6458.0</v>
      </c>
      <c r="C1359" s="8">
        <v>8253385.0</v>
      </c>
      <c r="D1359" s="8">
        <v>8260608.0</v>
      </c>
      <c r="E1359" s="9" t="s">
        <v>1045</v>
      </c>
      <c r="F1359" s="9"/>
      <c r="G1359" s="9" t="s">
        <v>1046</v>
      </c>
      <c r="H1359" s="9"/>
      <c r="I1359" s="8">
        <v>1955.0</v>
      </c>
      <c r="J1359" s="9" t="s">
        <v>797</v>
      </c>
      <c r="K1359" s="9"/>
      <c r="L1359" s="9"/>
      <c r="M1359" s="9" t="s">
        <v>3709</v>
      </c>
      <c r="N1359" s="9" t="s">
        <v>35</v>
      </c>
      <c r="O1359" s="9" t="s">
        <v>3710</v>
      </c>
      <c r="P1359" s="9" t="s">
        <v>1316</v>
      </c>
    </row>
    <row r="1360">
      <c r="A1360" s="18" t="s">
        <v>794</v>
      </c>
      <c r="B1360" s="8">
        <v>6458.0</v>
      </c>
      <c r="C1360" s="8">
        <v>8253385.0</v>
      </c>
      <c r="D1360" s="8">
        <v>8260608.0</v>
      </c>
      <c r="E1360" s="9" t="s">
        <v>1045</v>
      </c>
      <c r="F1360" s="9"/>
      <c r="G1360" s="9" t="s">
        <v>1046</v>
      </c>
      <c r="H1360" s="9"/>
      <c r="I1360" s="8">
        <v>1955.0</v>
      </c>
      <c r="J1360" s="9" t="s">
        <v>797</v>
      </c>
      <c r="K1360" s="9"/>
      <c r="L1360" s="9"/>
      <c r="M1360" s="9" t="s">
        <v>3711</v>
      </c>
      <c r="N1360" s="9" t="s">
        <v>35</v>
      </c>
      <c r="O1360" s="9" t="s">
        <v>3712</v>
      </c>
      <c r="P1360" s="9" t="s">
        <v>1296</v>
      </c>
    </row>
    <row r="1361">
      <c r="A1361" s="18" t="s">
        <v>794</v>
      </c>
      <c r="B1361" s="8">
        <v>6458.0</v>
      </c>
      <c r="C1361" s="8">
        <v>8253385.0</v>
      </c>
      <c r="D1361" s="8">
        <v>8260608.0</v>
      </c>
      <c r="E1361" s="9" t="s">
        <v>1045</v>
      </c>
      <c r="F1361" s="9"/>
      <c r="G1361" s="9" t="s">
        <v>1046</v>
      </c>
      <c r="H1361" s="9"/>
      <c r="I1361" s="8">
        <v>1955.0</v>
      </c>
      <c r="J1361" s="9" t="s">
        <v>797</v>
      </c>
      <c r="K1361" s="9"/>
      <c r="L1361" s="9"/>
      <c r="M1361" s="9" t="s">
        <v>3713</v>
      </c>
      <c r="N1361" s="9" t="s">
        <v>35</v>
      </c>
      <c r="O1361" s="9" t="s">
        <v>3714</v>
      </c>
      <c r="P1361" s="9" t="s">
        <v>1296</v>
      </c>
    </row>
    <row r="1362">
      <c r="A1362" s="18" t="s">
        <v>794</v>
      </c>
      <c r="B1362" s="8">
        <v>6471.0</v>
      </c>
      <c r="C1362" s="8">
        <v>8328149.0</v>
      </c>
      <c r="D1362" s="8">
        <v>8335784.0</v>
      </c>
      <c r="E1362" s="9" t="s">
        <v>1045</v>
      </c>
      <c r="F1362" s="9"/>
      <c r="G1362" s="9" t="s">
        <v>1046</v>
      </c>
      <c r="H1362" s="9"/>
      <c r="I1362" s="8">
        <v>1955.0</v>
      </c>
      <c r="J1362" s="9" t="s">
        <v>797</v>
      </c>
      <c r="K1362" s="9"/>
      <c r="L1362" s="9"/>
      <c r="M1362" s="9"/>
      <c r="N1362" s="9" t="s">
        <v>45</v>
      </c>
      <c r="O1362" s="9" t="s">
        <v>3715</v>
      </c>
      <c r="P1362" s="9" t="s">
        <v>1296</v>
      </c>
    </row>
    <row r="1363">
      <c r="A1363" s="18" t="s">
        <v>794</v>
      </c>
      <c r="B1363" s="8">
        <v>6496.0</v>
      </c>
      <c r="C1363" s="8">
        <v>138162.0</v>
      </c>
      <c r="D1363" s="8">
        <v>140681.0</v>
      </c>
      <c r="E1363" s="9" t="s">
        <v>1053</v>
      </c>
      <c r="F1363" s="9"/>
      <c r="G1363" s="9" t="s">
        <v>805</v>
      </c>
      <c r="H1363" s="9"/>
      <c r="I1363" s="8">
        <v>1958.0</v>
      </c>
      <c r="J1363" s="9" t="s">
        <v>806</v>
      </c>
      <c r="K1363" s="9"/>
      <c r="L1363" s="9"/>
      <c r="M1363" s="9" t="s">
        <v>3716</v>
      </c>
      <c r="N1363" s="9" t="s">
        <v>35</v>
      </c>
      <c r="O1363" s="9" t="s">
        <v>3717</v>
      </c>
      <c r="P1363" s="9" t="s">
        <v>1296</v>
      </c>
    </row>
    <row r="1364">
      <c r="A1364" s="18" t="s">
        <v>794</v>
      </c>
      <c r="B1364" s="8">
        <v>6530.0</v>
      </c>
      <c r="C1364" s="8">
        <v>383590.0</v>
      </c>
      <c r="D1364" s="8">
        <v>397425.0</v>
      </c>
      <c r="E1364" s="9" t="s">
        <v>1053</v>
      </c>
      <c r="F1364" s="9"/>
      <c r="G1364" s="9" t="s">
        <v>805</v>
      </c>
      <c r="H1364" s="9"/>
      <c r="I1364" s="8">
        <v>1958.0</v>
      </c>
      <c r="J1364" s="9" t="s">
        <v>806</v>
      </c>
      <c r="K1364" s="9"/>
      <c r="L1364" s="9"/>
      <c r="M1364" s="9" t="s">
        <v>3718</v>
      </c>
      <c r="N1364" s="9" t="s">
        <v>35</v>
      </c>
      <c r="O1364" s="9" t="s">
        <v>3719</v>
      </c>
      <c r="P1364" s="9" t="s">
        <v>1300</v>
      </c>
    </row>
    <row r="1365">
      <c r="A1365" s="18" t="s">
        <v>794</v>
      </c>
      <c r="B1365" s="8">
        <v>6531.0</v>
      </c>
      <c r="C1365" s="8">
        <v>397425.0</v>
      </c>
      <c r="D1365" s="8">
        <v>405299.0</v>
      </c>
      <c r="E1365" s="9" t="s">
        <v>1053</v>
      </c>
      <c r="F1365" s="9"/>
      <c r="G1365" s="9" t="s">
        <v>805</v>
      </c>
      <c r="H1365" s="9"/>
      <c r="I1365" s="8">
        <v>1958.0</v>
      </c>
      <c r="J1365" s="9" t="s">
        <v>806</v>
      </c>
      <c r="K1365" s="9"/>
      <c r="L1365" s="9"/>
      <c r="M1365" s="9" t="s">
        <v>3720</v>
      </c>
      <c r="N1365" s="9" t="s">
        <v>35</v>
      </c>
      <c r="O1365" s="9" t="s">
        <v>3721</v>
      </c>
      <c r="P1365" s="9" t="s">
        <v>1296</v>
      </c>
    </row>
    <row r="1366">
      <c r="A1366" s="18" t="s">
        <v>794</v>
      </c>
      <c r="B1366" s="8">
        <v>6531.0</v>
      </c>
      <c r="C1366" s="8">
        <v>397425.0</v>
      </c>
      <c r="D1366" s="8">
        <v>405299.0</v>
      </c>
      <c r="E1366" s="9" t="s">
        <v>1053</v>
      </c>
      <c r="F1366" s="9"/>
      <c r="G1366" s="9" t="s">
        <v>805</v>
      </c>
      <c r="H1366" s="9"/>
      <c r="I1366" s="8">
        <v>1958.0</v>
      </c>
      <c r="J1366" s="9" t="s">
        <v>806</v>
      </c>
      <c r="K1366" s="9"/>
      <c r="L1366" s="9"/>
      <c r="M1366" s="9" t="s">
        <v>3722</v>
      </c>
      <c r="N1366" s="9" t="s">
        <v>35</v>
      </c>
      <c r="O1366" s="9" t="s">
        <v>3723</v>
      </c>
      <c r="P1366" s="9" t="s">
        <v>1296</v>
      </c>
    </row>
    <row r="1367">
      <c r="A1367" s="18" t="s">
        <v>794</v>
      </c>
      <c r="B1367" s="8">
        <v>6572.0</v>
      </c>
      <c r="C1367" s="8">
        <v>850199.0</v>
      </c>
      <c r="D1367" s="8">
        <v>852190.0</v>
      </c>
      <c r="E1367" s="9" t="s">
        <v>1053</v>
      </c>
      <c r="F1367" s="9"/>
      <c r="G1367" s="9" t="s">
        <v>805</v>
      </c>
      <c r="H1367" s="9"/>
      <c r="I1367" s="8">
        <v>1958.0</v>
      </c>
      <c r="J1367" s="9" t="s">
        <v>806</v>
      </c>
      <c r="K1367" s="9"/>
      <c r="L1367" s="9"/>
      <c r="M1367" s="9" t="s">
        <v>3724</v>
      </c>
      <c r="N1367" s="9" t="s">
        <v>35</v>
      </c>
      <c r="O1367" s="9" t="s">
        <v>3725</v>
      </c>
      <c r="P1367" s="9" t="s">
        <v>1296</v>
      </c>
    </row>
    <row r="1368">
      <c r="A1368" s="18" t="s">
        <v>794</v>
      </c>
      <c r="B1368" s="8">
        <v>6607.0</v>
      </c>
      <c r="C1368" s="8">
        <v>188971.0</v>
      </c>
      <c r="D1368" s="8">
        <v>191516.0</v>
      </c>
      <c r="E1368" s="9" t="s">
        <v>1058</v>
      </c>
      <c r="F1368" s="9"/>
      <c r="G1368" s="9" t="s">
        <v>1031</v>
      </c>
      <c r="H1368" s="9"/>
      <c r="I1368" s="8">
        <v>1930.0</v>
      </c>
      <c r="J1368" s="9" t="s">
        <v>881</v>
      </c>
      <c r="K1368" s="9"/>
      <c r="L1368" s="9"/>
      <c r="M1368" s="9" t="s">
        <v>3726</v>
      </c>
      <c r="N1368" s="9" t="s">
        <v>35</v>
      </c>
      <c r="O1368" s="9" t="s">
        <v>3727</v>
      </c>
      <c r="P1368" s="9" t="s">
        <v>1296</v>
      </c>
    </row>
    <row r="1369">
      <c r="A1369" s="18" t="s">
        <v>794</v>
      </c>
      <c r="B1369" s="8">
        <v>6611.0</v>
      </c>
      <c r="C1369" s="8">
        <v>217888.0</v>
      </c>
      <c r="D1369" s="8">
        <v>223227.0</v>
      </c>
      <c r="E1369" s="9" t="s">
        <v>1058</v>
      </c>
      <c r="F1369" s="9"/>
      <c r="G1369" s="9" t="s">
        <v>1031</v>
      </c>
      <c r="H1369" s="9"/>
      <c r="I1369" s="8">
        <v>1930.0</v>
      </c>
      <c r="J1369" s="9" t="s">
        <v>881</v>
      </c>
      <c r="K1369" s="9"/>
      <c r="L1369" s="9"/>
      <c r="M1369" s="9" t="s">
        <v>3728</v>
      </c>
      <c r="N1369" s="9" t="s">
        <v>35</v>
      </c>
      <c r="O1369" s="9" t="s">
        <v>3729</v>
      </c>
      <c r="P1369" s="9" t="s">
        <v>1296</v>
      </c>
    </row>
    <row r="1370">
      <c r="A1370" s="18" t="s">
        <v>794</v>
      </c>
      <c r="B1370" s="8">
        <v>6647.0</v>
      </c>
      <c r="C1370" s="8">
        <v>426649.0</v>
      </c>
      <c r="D1370" s="8">
        <v>432998.0</v>
      </c>
      <c r="E1370" s="9" t="s">
        <v>1058</v>
      </c>
      <c r="F1370" s="9"/>
      <c r="G1370" s="9" t="s">
        <v>1031</v>
      </c>
      <c r="H1370" s="9"/>
      <c r="I1370" s="8">
        <v>1930.0</v>
      </c>
      <c r="J1370" s="9" t="s">
        <v>881</v>
      </c>
      <c r="K1370" s="9"/>
      <c r="L1370" s="9"/>
      <c r="M1370" s="9" t="s">
        <v>3730</v>
      </c>
      <c r="N1370" s="9" t="s">
        <v>35</v>
      </c>
      <c r="O1370" s="9" t="s">
        <v>3731</v>
      </c>
      <c r="P1370" s="9" t="s">
        <v>1316</v>
      </c>
    </row>
    <row r="1371">
      <c r="A1371" s="18" t="s">
        <v>794</v>
      </c>
      <c r="B1371" s="8">
        <v>6651.0</v>
      </c>
      <c r="C1371" s="8">
        <v>450030.0</v>
      </c>
      <c r="D1371" s="8">
        <v>453980.0</v>
      </c>
      <c r="E1371" s="9" t="s">
        <v>1058</v>
      </c>
      <c r="F1371" s="9"/>
      <c r="G1371" s="9" t="s">
        <v>1031</v>
      </c>
      <c r="H1371" s="9"/>
      <c r="I1371" s="8">
        <v>1930.0</v>
      </c>
      <c r="J1371" s="9" t="s">
        <v>881</v>
      </c>
      <c r="K1371" s="9"/>
      <c r="L1371" s="9"/>
      <c r="M1371" s="9" t="s">
        <v>3732</v>
      </c>
      <c r="N1371" s="9" t="s">
        <v>35</v>
      </c>
      <c r="O1371" s="9" t="s">
        <v>3733</v>
      </c>
      <c r="P1371" s="9" t="s">
        <v>3280</v>
      </c>
    </row>
    <row r="1372">
      <c r="A1372" s="18" t="s">
        <v>794</v>
      </c>
      <c r="B1372" s="8">
        <v>6656.0</v>
      </c>
      <c r="C1372" s="8">
        <v>467495.0</v>
      </c>
      <c r="D1372" s="8">
        <v>471131.0</v>
      </c>
      <c r="E1372" s="9" t="s">
        <v>1058</v>
      </c>
      <c r="F1372" s="9"/>
      <c r="G1372" s="9" t="s">
        <v>1031</v>
      </c>
      <c r="H1372" s="9"/>
      <c r="I1372" s="8">
        <v>1930.0</v>
      </c>
      <c r="J1372" s="9" t="s">
        <v>881</v>
      </c>
      <c r="K1372" s="9"/>
      <c r="L1372" s="9"/>
      <c r="M1372" s="9" t="s">
        <v>3734</v>
      </c>
      <c r="N1372" s="9" t="s">
        <v>35</v>
      </c>
      <c r="O1372" s="9" t="s">
        <v>3735</v>
      </c>
      <c r="P1372" s="9" t="s">
        <v>1296</v>
      </c>
    </row>
    <row r="1373">
      <c r="A1373" s="18" t="s">
        <v>794</v>
      </c>
      <c r="B1373" s="8">
        <v>6671.0</v>
      </c>
      <c r="C1373" s="8">
        <v>563090.0</v>
      </c>
      <c r="D1373" s="8">
        <v>576120.0</v>
      </c>
      <c r="E1373" s="9" t="s">
        <v>1058</v>
      </c>
      <c r="F1373" s="9"/>
      <c r="G1373" s="9" t="s">
        <v>1031</v>
      </c>
      <c r="H1373" s="9"/>
      <c r="I1373" s="8">
        <v>1930.0</v>
      </c>
      <c r="J1373" s="9" t="s">
        <v>881</v>
      </c>
      <c r="K1373" s="9"/>
      <c r="L1373" s="9"/>
      <c r="M1373" s="9" t="s">
        <v>3736</v>
      </c>
      <c r="N1373" s="9" t="s">
        <v>35</v>
      </c>
      <c r="O1373" s="9" t="s">
        <v>3737</v>
      </c>
      <c r="P1373" s="9" t="s">
        <v>1296</v>
      </c>
    </row>
    <row r="1374">
      <c r="A1374" s="18" t="s">
        <v>794</v>
      </c>
      <c r="B1374" s="8">
        <v>6679.0</v>
      </c>
      <c r="C1374" s="8">
        <v>621564.0</v>
      </c>
      <c r="D1374" s="8">
        <v>626778.0</v>
      </c>
      <c r="E1374" s="9" t="s">
        <v>1058</v>
      </c>
      <c r="F1374" s="9"/>
      <c r="G1374" s="9" t="s">
        <v>1031</v>
      </c>
      <c r="H1374" s="9"/>
      <c r="I1374" s="8">
        <v>1930.0</v>
      </c>
      <c r="J1374" s="9" t="s">
        <v>881</v>
      </c>
      <c r="K1374" s="9"/>
      <c r="L1374" s="9"/>
      <c r="M1374" s="9" t="s">
        <v>3738</v>
      </c>
      <c r="N1374" s="9" t="s">
        <v>35</v>
      </c>
      <c r="O1374" s="9" t="s">
        <v>3739</v>
      </c>
      <c r="P1374" s="9" t="s">
        <v>1296</v>
      </c>
    </row>
    <row r="1375">
      <c r="A1375" s="18" t="s">
        <v>794</v>
      </c>
      <c r="B1375" s="8">
        <v>6692.0</v>
      </c>
      <c r="C1375" s="8">
        <v>689874.0</v>
      </c>
      <c r="D1375" s="8">
        <v>694007.0</v>
      </c>
      <c r="E1375" s="9" t="s">
        <v>1058</v>
      </c>
      <c r="F1375" s="9"/>
      <c r="G1375" s="9" t="s">
        <v>1031</v>
      </c>
      <c r="H1375" s="9"/>
      <c r="I1375" s="8">
        <v>1930.0</v>
      </c>
      <c r="J1375" s="9" t="s">
        <v>881</v>
      </c>
      <c r="K1375" s="9"/>
      <c r="L1375" s="9"/>
      <c r="M1375" s="9" t="s">
        <v>3740</v>
      </c>
      <c r="N1375" s="9" t="s">
        <v>35</v>
      </c>
      <c r="O1375" s="9" t="s">
        <v>3741</v>
      </c>
      <c r="P1375" s="9" t="s">
        <v>1316</v>
      </c>
    </row>
    <row r="1376">
      <c r="A1376" s="18" t="s">
        <v>794</v>
      </c>
      <c r="B1376" s="8">
        <v>6701.0</v>
      </c>
      <c r="C1376" s="8">
        <v>737489.0</v>
      </c>
      <c r="D1376" s="8">
        <v>744222.0</v>
      </c>
      <c r="E1376" s="9" t="s">
        <v>1058</v>
      </c>
      <c r="F1376" s="9"/>
      <c r="G1376" s="9" t="s">
        <v>1031</v>
      </c>
      <c r="H1376" s="9"/>
      <c r="I1376" s="8">
        <v>1930.0</v>
      </c>
      <c r="J1376" s="9" t="s">
        <v>881</v>
      </c>
      <c r="K1376" s="9"/>
      <c r="L1376" s="9"/>
      <c r="M1376" s="9" t="s">
        <v>3742</v>
      </c>
      <c r="N1376" s="9" t="s">
        <v>35</v>
      </c>
      <c r="O1376" s="9" t="s">
        <v>3743</v>
      </c>
      <c r="P1376" s="9" t="s">
        <v>1296</v>
      </c>
    </row>
    <row r="1377">
      <c r="A1377" s="18" t="s">
        <v>794</v>
      </c>
      <c r="B1377" s="8">
        <v>6701.0</v>
      </c>
      <c r="C1377" s="8">
        <v>737489.0</v>
      </c>
      <c r="D1377" s="8">
        <v>744222.0</v>
      </c>
      <c r="E1377" s="9" t="s">
        <v>1058</v>
      </c>
      <c r="F1377" s="9"/>
      <c r="G1377" s="9" t="s">
        <v>1031</v>
      </c>
      <c r="H1377" s="9"/>
      <c r="I1377" s="8">
        <v>1930.0</v>
      </c>
      <c r="J1377" s="9" t="s">
        <v>881</v>
      </c>
      <c r="K1377" s="9"/>
      <c r="L1377" s="9"/>
      <c r="M1377" s="9" t="s">
        <v>3744</v>
      </c>
      <c r="N1377" s="9" t="s">
        <v>35</v>
      </c>
      <c r="O1377" s="9" t="s">
        <v>3554</v>
      </c>
      <c r="P1377" s="9" t="s">
        <v>1296</v>
      </c>
    </row>
    <row r="1378">
      <c r="A1378" s="18" t="s">
        <v>794</v>
      </c>
      <c r="B1378" s="8">
        <v>6761.0</v>
      </c>
      <c r="C1378" s="8">
        <v>1116181.0</v>
      </c>
      <c r="D1378" s="8">
        <v>1125531.0</v>
      </c>
      <c r="E1378" s="9" t="s">
        <v>1058</v>
      </c>
      <c r="F1378" s="9"/>
      <c r="G1378" s="9" t="s">
        <v>1031</v>
      </c>
      <c r="H1378" s="9"/>
      <c r="I1378" s="8">
        <v>1930.0</v>
      </c>
      <c r="J1378" s="9" t="s">
        <v>881</v>
      </c>
      <c r="K1378" s="9"/>
      <c r="L1378" s="9"/>
      <c r="M1378" s="9" t="s">
        <v>3113</v>
      </c>
      <c r="N1378" s="9" t="s">
        <v>35</v>
      </c>
      <c r="O1378" s="9" t="s">
        <v>3745</v>
      </c>
      <c r="P1378" s="9" t="s">
        <v>1296</v>
      </c>
    </row>
    <row r="1379">
      <c r="A1379" s="18" t="s">
        <v>794</v>
      </c>
      <c r="B1379" s="8">
        <v>6761.0</v>
      </c>
      <c r="C1379" s="8">
        <v>1116181.0</v>
      </c>
      <c r="D1379" s="8">
        <v>1125531.0</v>
      </c>
      <c r="E1379" s="9" t="s">
        <v>1058</v>
      </c>
      <c r="F1379" s="9"/>
      <c r="G1379" s="9" t="s">
        <v>1031</v>
      </c>
      <c r="H1379" s="9"/>
      <c r="I1379" s="8">
        <v>1930.0</v>
      </c>
      <c r="J1379" s="9" t="s">
        <v>881</v>
      </c>
      <c r="K1379" s="9"/>
      <c r="L1379" s="9"/>
      <c r="M1379" s="9" t="s">
        <v>3746</v>
      </c>
      <c r="N1379" s="9" t="s">
        <v>35</v>
      </c>
      <c r="O1379" s="9" t="s">
        <v>3747</v>
      </c>
      <c r="P1379" s="9" t="s">
        <v>1316</v>
      </c>
    </row>
    <row r="1380">
      <c r="A1380" s="18" t="s">
        <v>794</v>
      </c>
      <c r="B1380" s="8">
        <v>1508.0</v>
      </c>
      <c r="C1380" s="8">
        <v>191280.0</v>
      </c>
      <c r="D1380" s="8">
        <v>196820.0</v>
      </c>
      <c r="E1380" s="9" t="s">
        <v>864</v>
      </c>
      <c r="F1380" s="9"/>
      <c r="G1380" s="9" t="s">
        <v>865</v>
      </c>
      <c r="H1380" s="9"/>
      <c r="I1380" s="8">
        <v>1949.0</v>
      </c>
      <c r="J1380" s="9" t="s">
        <v>797</v>
      </c>
      <c r="K1380" s="9"/>
      <c r="L1380" s="9"/>
      <c r="M1380" s="9"/>
      <c r="N1380" s="9" t="s">
        <v>45</v>
      </c>
      <c r="O1380" s="9" t="s">
        <v>3748</v>
      </c>
      <c r="P1380" s="9" t="s">
        <v>1947</v>
      </c>
    </row>
    <row r="1381">
      <c r="A1381" s="18" t="s">
        <v>794</v>
      </c>
      <c r="B1381" s="8">
        <v>1862.0</v>
      </c>
      <c r="C1381" s="8">
        <v>529700.0</v>
      </c>
      <c r="D1381" s="8">
        <v>531620.0</v>
      </c>
      <c r="E1381" s="9" t="s">
        <v>879</v>
      </c>
      <c r="F1381" s="9"/>
      <c r="G1381" s="9" t="s">
        <v>880</v>
      </c>
      <c r="H1381" s="9"/>
      <c r="I1381" s="8">
        <v>1933.0</v>
      </c>
      <c r="J1381" s="9" t="s">
        <v>881</v>
      </c>
      <c r="K1381" s="9"/>
      <c r="L1381" s="9"/>
      <c r="M1381" s="9" t="s">
        <v>3749</v>
      </c>
      <c r="N1381" s="9" t="s">
        <v>35</v>
      </c>
      <c r="O1381" s="9" t="s">
        <v>3750</v>
      </c>
      <c r="P1381" s="9" t="s">
        <v>1316</v>
      </c>
    </row>
    <row r="1382">
      <c r="A1382" s="18" t="s">
        <v>794</v>
      </c>
      <c r="B1382" s="8">
        <v>3125.0</v>
      </c>
      <c r="C1382" s="8">
        <v>1949599.0</v>
      </c>
      <c r="D1382" s="8">
        <v>1950618.0</v>
      </c>
      <c r="E1382" s="9" t="s">
        <v>907</v>
      </c>
      <c r="F1382" s="9"/>
      <c r="G1382" s="9" t="s">
        <v>908</v>
      </c>
      <c r="H1382" s="9"/>
      <c r="I1382" s="8">
        <v>1972.0</v>
      </c>
      <c r="J1382" s="9" t="s">
        <v>346</v>
      </c>
      <c r="K1382" s="9"/>
      <c r="L1382" s="9"/>
      <c r="M1382" s="9"/>
      <c r="N1382" s="9" t="s">
        <v>45</v>
      </c>
      <c r="O1382" s="9" t="s">
        <v>3751</v>
      </c>
      <c r="P1382" s="9" t="s">
        <v>1947</v>
      </c>
    </row>
    <row r="1383">
      <c r="A1383" s="18" t="s">
        <v>794</v>
      </c>
      <c r="B1383" s="8">
        <v>3539.0</v>
      </c>
      <c r="C1383" s="8">
        <v>1939455.0</v>
      </c>
      <c r="D1383" s="8">
        <v>1945589.0</v>
      </c>
      <c r="E1383" s="9" t="s">
        <v>944</v>
      </c>
      <c r="F1383" s="9"/>
      <c r="G1383" s="9" t="s">
        <v>945</v>
      </c>
      <c r="H1383" s="9"/>
      <c r="I1383" s="8">
        <v>1973.0</v>
      </c>
      <c r="J1383" s="9" t="s">
        <v>946</v>
      </c>
      <c r="K1383" s="9"/>
      <c r="L1383" s="9"/>
      <c r="M1383" s="9" t="s">
        <v>3752</v>
      </c>
      <c r="N1383" s="9" t="s">
        <v>35</v>
      </c>
      <c r="O1383" s="9" t="s">
        <v>3753</v>
      </c>
      <c r="P1383" s="9" t="s">
        <v>1947</v>
      </c>
    </row>
    <row r="1384">
      <c r="A1384" s="18" t="s">
        <v>794</v>
      </c>
      <c r="B1384" s="8">
        <v>3539.0</v>
      </c>
      <c r="C1384" s="8">
        <v>1939455.0</v>
      </c>
      <c r="D1384" s="8">
        <v>1945589.0</v>
      </c>
      <c r="E1384" s="9" t="s">
        <v>944</v>
      </c>
      <c r="F1384" s="9"/>
      <c r="G1384" s="9" t="s">
        <v>945</v>
      </c>
      <c r="H1384" s="9"/>
      <c r="I1384" s="8">
        <v>1973.0</v>
      </c>
      <c r="J1384" s="9" t="s">
        <v>946</v>
      </c>
      <c r="K1384" s="9"/>
      <c r="L1384" s="9"/>
      <c r="M1384" s="9" t="s">
        <v>3754</v>
      </c>
      <c r="N1384" s="9" t="s">
        <v>35</v>
      </c>
      <c r="O1384" s="9" t="s">
        <v>3755</v>
      </c>
      <c r="P1384" s="9" t="s">
        <v>1947</v>
      </c>
    </row>
    <row r="1385">
      <c r="A1385" s="18" t="s">
        <v>794</v>
      </c>
      <c r="B1385" s="8">
        <v>3850.0</v>
      </c>
      <c r="C1385" s="8">
        <v>17420.0</v>
      </c>
      <c r="D1385" s="8">
        <v>19600.0</v>
      </c>
      <c r="E1385" s="9" t="s">
        <v>981</v>
      </c>
      <c r="F1385" s="9"/>
      <c r="G1385" s="9" t="s">
        <v>982</v>
      </c>
      <c r="H1385" s="9"/>
      <c r="I1385" s="8">
        <v>1956.0</v>
      </c>
      <c r="J1385" s="9" t="s">
        <v>346</v>
      </c>
      <c r="K1385" s="9"/>
      <c r="L1385" s="9"/>
      <c r="M1385" s="9" t="s">
        <v>3756</v>
      </c>
      <c r="N1385" s="9" t="s">
        <v>35</v>
      </c>
      <c r="O1385" s="9" t="s">
        <v>3757</v>
      </c>
      <c r="P1385" s="9" t="s">
        <v>1947</v>
      </c>
    </row>
    <row r="1386">
      <c r="A1386" s="18" t="s">
        <v>794</v>
      </c>
      <c r="B1386" s="8">
        <v>61.0</v>
      </c>
      <c r="C1386" s="8">
        <v>330894.0</v>
      </c>
      <c r="D1386" s="8">
        <v>334378.0</v>
      </c>
      <c r="E1386" s="9" t="s">
        <v>795</v>
      </c>
      <c r="F1386" s="9"/>
      <c r="G1386" s="9" t="s">
        <v>796</v>
      </c>
      <c r="H1386" s="9"/>
      <c r="I1386" s="8">
        <v>1980.0</v>
      </c>
      <c r="J1386" s="9" t="s">
        <v>797</v>
      </c>
      <c r="K1386" s="9"/>
      <c r="L1386" s="9"/>
      <c r="M1386" s="9" t="s">
        <v>3758</v>
      </c>
      <c r="N1386" s="9" t="s">
        <v>89</v>
      </c>
      <c r="O1386" s="9" t="s">
        <v>3759</v>
      </c>
      <c r="P1386" s="9" t="s">
        <v>1296</v>
      </c>
    </row>
    <row r="1387">
      <c r="A1387" s="18" t="s">
        <v>794</v>
      </c>
      <c r="B1387" s="8">
        <v>276.0</v>
      </c>
      <c r="C1387" s="8">
        <v>1207179.0</v>
      </c>
      <c r="D1387" s="8">
        <v>1208016.0</v>
      </c>
      <c r="E1387" s="9" t="s">
        <v>795</v>
      </c>
      <c r="F1387" s="9"/>
      <c r="G1387" s="9" t="s">
        <v>796</v>
      </c>
      <c r="H1387" s="9"/>
      <c r="I1387" s="8">
        <v>1980.0</v>
      </c>
      <c r="J1387" s="9" t="s">
        <v>797</v>
      </c>
      <c r="K1387" s="9"/>
      <c r="L1387" s="9"/>
      <c r="M1387" s="9"/>
      <c r="N1387" s="9" t="s">
        <v>333</v>
      </c>
      <c r="O1387" s="9" t="s">
        <v>3760</v>
      </c>
      <c r="P1387" s="9" t="s">
        <v>1296</v>
      </c>
    </row>
    <row r="1388">
      <c r="A1388" s="18" t="s">
        <v>794</v>
      </c>
      <c r="B1388" s="8">
        <v>277.0</v>
      </c>
      <c r="C1388" s="8">
        <v>1211351.0</v>
      </c>
      <c r="D1388" s="8">
        <v>1213630.0</v>
      </c>
      <c r="E1388" s="9" t="s">
        <v>795</v>
      </c>
      <c r="F1388" s="9"/>
      <c r="G1388" s="9" t="s">
        <v>796</v>
      </c>
      <c r="H1388" s="9"/>
      <c r="I1388" s="8">
        <v>1980.0</v>
      </c>
      <c r="J1388" s="9" t="s">
        <v>797</v>
      </c>
      <c r="K1388" s="9"/>
      <c r="L1388" s="9"/>
      <c r="M1388" s="9"/>
      <c r="N1388" s="9" t="s">
        <v>333</v>
      </c>
      <c r="O1388" s="9" t="s">
        <v>3761</v>
      </c>
      <c r="P1388" s="9" t="s">
        <v>1296</v>
      </c>
    </row>
    <row r="1389">
      <c r="A1389" s="18" t="s">
        <v>794</v>
      </c>
      <c r="B1389" s="8">
        <v>278.0</v>
      </c>
      <c r="C1389" s="8">
        <v>1216183.0</v>
      </c>
      <c r="D1389" s="8">
        <v>1218462.0</v>
      </c>
      <c r="E1389" s="9" t="s">
        <v>795</v>
      </c>
      <c r="F1389" s="9"/>
      <c r="G1389" s="9" t="s">
        <v>796</v>
      </c>
      <c r="H1389" s="9"/>
      <c r="I1389" s="8">
        <v>1980.0</v>
      </c>
      <c r="J1389" s="9" t="s">
        <v>797</v>
      </c>
      <c r="K1389" s="9"/>
      <c r="L1389" s="9"/>
      <c r="M1389" s="9"/>
      <c r="N1389" s="9" t="s">
        <v>333</v>
      </c>
      <c r="O1389" s="9" t="s">
        <v>3762</v>
      </c>
      <c r="P1389" s="9" t="s">
        <v>1296</v>
      </c>
    </row>
    <row r="1390">
      <c r="A1390" s="18" t="s">
        <v>794</v>
      </c>
      <c r="B1390" s="8">
        <v>279.0</v>
      </c>
      <c r="C1390" s="8">
        <v>1219100.0</v>
      </c>
      <c r="D1390" s="8">
        <v>1223111.0</v>
      </c>
      <c r="E1390" s="9" t="s">
        <v>795</v>
      </c>
      <c r="F1390" s="9"/>
      <c r="G1390" s="9" t="s">
        <v>796</v>
      </c>
      <c r="H1390" s="9"/>
      <c r="I1390" s="8">
        <v>1980.0</v>
      </c>
      <c r="J1390" s="9" t="s">
        <v>797</v>
      </c>
      <c r="K1390" s="9"/>
      <c r="L1390" s="9"/>
      <c r="M1390" s="9"/>
      <c r="N1390" s="9" t="s">
        <v>333</v>
      </c>
      <c r="O1390" s="9" t="s">
        <v>3763</v>
      </c>
      <c r="P1390" s="9" t="s">
        <v>1296</v>
      </c>
    </row>
    <row r="1391">
      <c r="A1391" s="18" t="s">
        <v>794</v>
      </c>
      <c r="B1391" s="8">
        <v>591.0</v>
      </c>
      <c r="C1391" s="8">
        <v>613422.0</v>
      </c>
      <c r="D1391" s="8">
        <v>620730.0</v>
      </c>
      <c r="E1391" s="9" t="s">
        <v>804</v>
      </c>
      <c r="F1391" s="9"/>
      <c r="G1391" s="9" t="s">
        <v>805</v>
      </c>
      <c r="H1391" s="9"/>
      <c r="I1391" s="8">
        <v>1958.0</v>
      </c>
      <c r="J1391" s="9" t="s">
        <v>806</v>
      </c>
      <c r="K1391" s="9"/>
      <c r="L1391" s="9"/>
      <c r="M1391" s="9" t="s">
        <v>3764</v>
      </c>
      <c r="N1391" s="9" t="s">
        <v>89</v>
      </c>
      <c r="O1391" s="12" t="str">
        <f> да, вообще они родом из Питера, потом сюда вся семья переехала, а ездят они...</f>
        <v>#ERROR!</v>
      </c>
      <c r="P1391" s="9" t="s">
        <v>1300</v>
      </c>
    </row>
    <row r="1392">
      <c r="A1392" s="18" t="s">
        <v>794</v>
      </c>
      <c r="B1392" s="8">
        <v>756.0</v>
      </c>
      <c r="C1392" s="8">
        <v>1489711.0</v>
      </c>
      <c r="D1392" s="8">
        <v>1493938.0</v>
      </c>
      <c r="E1392" s="9" t="s">
        <v>804</v>
      </c>
      <c r="F1392" s="9"/>
      <c r="G1392" s="9" t="s">
        <v>805</v>
      </c>
      <c r="H1392" s="9"/>
      <c r="I1392" s="8">
        <v>1958.0</v>
      </c>
      <c r="J1392" s="9" t="s">
        <v>806</v>
      </c>
      <c r="K1392" s="9"/>
      <c r="L1392" s="9"/>
      <c r="M1392" s="9" t="s">
        <v>3765</v>
      </c>
      <c r="N1392" s="9" t="s">
        <v>89</v>
      </c>
      <c r="O1392" s="9" t="s">
        <v>3766</v>
      </c>
      <c r="P1392" s="9" t="s">
        <v>1300</v>
      </c>
    </row>
    <row r="1393">
      <c r="A1393" s="18" t="s">
        <v>794</v>
      </c>
      <c r="B1393" s="8">
        <v>765.0</v>
      </c>
      <c r="C1393" s="8">
        <v>1533403.0</v>
      </c>
      <c r="D1393" s="8">
        <v>1539482.0</v>
      </c>
      <c r="E1393" s="9" t="s">
        <v>804</v>
      </c>
      <c r="F1393" s="9"/>
      <c r="G1393" s="9" t="s">
        <v>805</v>
      </c>
      <c r="H1393" s="9"/>
      <c r="I1393" s="8">
        <v>1958.0</v>
      </c>
      <c r="J1393" s="9" t="s">
        <v>806</v>
      </c>
      <c r="K1393" s="9"/>
      <c r="L1393" s="9"/>
      <c r="M1393" s="9" t="s">
        <v>3767</v>
      </c>
      <c r="N1393" s="9" t="s">
        <v>89</v>
      </c>
      <c r="O1393" s="12" t="str">
        <f> состоит, вы что, &lt; осталось &gt; с тех временем, всё обваливается.</f>
        <v>#ERROR!</v>
      </c>
      <c r="P1393" s="9" t="s">
        <v>1300</v>
      </c>
    </row>
    <row r="1394">
      <c r="A1394" s="18" t="s">
        <v>794</v>
      </c>
      <c r="B1394" s="8">
        <v>841.0</v>
      </c>
      <c r="C1394" s="8">
        <v>1993030.0</v>
      </c>
      <c r="D1394" s="8">
        <v>2004469.0</v>
      </c>
      <c r="E1394" s="9" t="s">
        <v>804</v>
      </c>
      <c r="F1394" s="9"/>
      <c r="G1394" s="9" t="s">
        <v>805</v>
      </c>
      <c r="H1394" s="9"/>
      <c r="I1394" s="8">
        <v>1958.0</v>
      </c>
      <c r="J1394" s="9" t="s">
        <v>806</v>
      </c>
      <c r="K1394" s="9"/>
      <c r="L1394" s="9"/>
      <c r="M1394" s="9" t="s">
        <v>3768</v>
      </c>
      <c r="N1394" s="9" t="s">
        <v>89</v>
      </c>
      <c r="O1394" s="9" t="s">
        <v>3769</v>
      </c>
      <c r="P1394" s="9" t="s">
        <v>1316</v>
      </c>
    </row>
    <row r="1395">
      <c r="A1395" s="18" t="s">
        <v>794</v>
      </c>
      <c r="B1395" s="8">
        <v>936.0</v>
      </c>
      <c r="C1395" s="8">
        <v>2543751.0</v>
      </c>
      <c r="D1395" s="8">
        <v>2548510.0</v>
      </c>
      <c r="E1395" s="9" t="s">
        <v>804</v>
      </c>
      <c r="F1395" s="9"/>
      <c r="G1395" s="9" t="s">
        <v>805</v>
      </c>
      <c r="H1395" s="9"/>
      <c r="I1395" s="8">
        <v>1958.0</v>
      </c>
      <c r="J1395" s="9" t="s">
        <v>806</v>
      </c>
      <c r="K1395" s="9"/>
      <c r="L1395" s="9"/>
      <c r="M1395" s="9"/>
      <c r="N1395" s="9" t="s">
        <v>333</v>
      </c>
      <c r="O1395" s="9" t="s">
        <v>3770</v>
      </c>
      <c r="P1395" s="9" t="s">
        <v>1296</v>
      </c>
    </row>
    <row r="1396">
      <c r="A1396" s="18" t="s">
        <v>794</v>
      </c>
      <c r="B1396" s="8">
        <v>2409.0</v>
      </c>
      <c r="C1396" s="8">
        <v>2148740.0</v>
      </c>
      <c r="D1396" s="8">
        <v>2151690.0</v>
      </c>
      <c r="E1396" s="9" t="s">
        <v>879</v>
      </c>
      <c r="F1396" s="9"/>
      <c r="G1396" s="9" t="s">
        <v>880</v>
      </c>
      <c r="H1396" s="9"/>
      <c r="I1396" s="8">
        <v>1933.0</v>
      </c>
      <c r="J1396" s="9" t="s">
        <v>881</v>
      </c>
      <c r="K1396" s="9"/>
      <c r="L1396" s="9"/>
      <c r="M1396" s="9" t="s">
        <v>3771</v>
      </c>
      <c r="N1396" s="9"/>
      <c r="O1396" s="9"/>
      <c r="P1396" s="9" t="s">
        <v>1296</v>
      </c>
    </row>
    <row r="1397">
      <c r="A1397" s="18" t="s">
        <v>794</v>
      </c>
      <c r="B1397" s="8">
        <v>2411.0</v>
      </c>
      <c r="C1397" s="8">
        <v>2157840.0</v>
      </c>
      <c r="D1397" s="8">
        <v>2159810.0</v>
      </c>
      <c r="E1397" s="9" t="s">
        <v>879</v>
      </c>
      <c r="F1397" s="9"/>
      <c r="G1397" s="9"/>
      <c r="H1397" s="9"/>
      <c r="I1397" s="9"/>
      <c r="J1397" s="9"/>
      <c r="K1397" s="9"/>
      <c r="L1397" s="9"/>
      <c r="M1397" s="9" t="s">
        <v>3772</v>
      </c>
      <c r="N1397" s="9" t="s">
        <v>89</v>
      </c>
      <c r="O1397" s="9" t="s">
        <v>3773</v>
      </c>
      <c r="P1397" s="9" t="s">
        <v>1296</v>
      </c>
    </row>
    <row r="1398">
      <c r="A1398" s="18" t="s">
        <v>794</v>
      </c>
      <c r="B1398" s="8">
        <v>2635.0</v>
      </c>
      <c r="C1398" s="8">
        <v>2911035.0</v>
      </c>
      <c r="D1398" s="8">
        <v>2912365.0</v>
      </c>
      <c r="E1398" s="9" t="s">
        <v>879</v>
      </c>
      <c r="F1398" s="9"/>
      <c r="G1398" s="9" t="s">
        <v>880</v>
      </c>
      <c r="H1398" s="9"/>
      <c r="I1398" s="8">
        <v>1933.0</v>
      </c>
      <c r="J1398" s="9" t="s">
        <v>881</v>
      </c>
      <c r="K1398" s="9"/>
      <c r="L1398" s="9"/>
      <c r="M1398" s="9"/>
      <c r="N1398" s="9" t="s">
        <v>89</v>
      </c>
      <c r="O1398" s="9" t="s">
        <v>3774</v>
      </c>
      <c r="P1398" s="9" t="s">
        <v>1296</v>
      </c>
    </row>
    <row r="1399">
      <c r="A1399" s="18" t="s">
        <v>794</v>
      </c>
      <c r="B1399" s="8">
        <v>2899.0</v>
      </c>
      <c r="C1399" s="8">
        <v>892161.0</v>
      </c>
      <c r="D1399" s="8">
        <v>898645.0</v>
      </c>
      <c r="E1399" s="9" t="s">
        <v>907</v>
      </c>
      <c r="F1399" s="9"/>
      <c r="G1399" s="9" t="s">
        <v>908</v>
      </c>
      <c r="H1399" s="9"/>
      <c r="I1399" s="8">
        <v>1972.0</v>
      </c>
      <c r="J1399" s="9" t="s">
        <v>346</v>
      </c>
      <c r="K1399" s="9"/>
      <c r="L1399" s="9"/>
      <c r="M1399" s="9" t="s">
        <v>3775</v>
      </c>
      <c r="N1399" s="9" t="s">
        <v>89</v>
      </c>
      <c r="O1399" s="9" t="s">
        <v>3776</v>
      </c>
      <c r="P1399" s="9" t="s">
        <v>1296</v>
      </c>
    </row>
    <row r="1400">
      <c r="A1400" s="18" t="s">
        <v>794</v>
      </c>
      <c r="B1400" s="8">
        <v>2901.0</v>
      </c>
      <c r="C1400" s="8">
        <v>902710.0</v>
      </c>
      <c r="D1400" s="8">
        <v>905086.0</v>
      </c>
      <c r="E1400" s="9" t="s">
        <v>907</v>
      </c>
      <c r="F1400" s="9"/>
      <c r="G1400" s="9" t="s">
        <v>908</v>
      </c>
      <c r="H1400" s="9"/>
      <c r="I1400" s="8">
        <v>1972.0</v>
      </c>
      <c r="J1400" s="9" t="s">
        <v>346</v>
      </c>
      <c r="K1400" s="9"/>
      <c r="L1400" s="9"/>
      <c r="M1400" s="9" t="s">
        <v>3777</v>
      </c>
      <c r="N1400" s="9" t="s">
        <v>89</v>
      </c>
      <c r="O1400" s="9" t="s">
        <v>3776</v>
      </c>
      <c r="P1400" s="9" t="s">
        <v>1296</v>
      </c>
    </row>
    <row r="1401">
      <c r="A1401" s="18" t="s">
        <v>794</v>
      </c>
      <c r="B1401" s="8">
        <v>2903.0</v>
      </c>
      <c r="C1401" s="8">
        <v>908526.0</v>
      </c>
      <c r="D1401" s="8">
        <v>910985.0</v>
      </c>
      <c r="E1401" s="9" t="s">
        <v>907</v>
      </c>
      <c r="F1401" s="9"/>
      <c r="G1401" s="9" t="s">
        <v>908</v>
      </c>
      <c r="H1401" s="9"/>
      <c r="I1401" s="8">
        <v>1972.0</v>
      </c>
      <c r="J1401" s="9" t="s">
        <v>346</v>
      </c>
      <c r="K1401" s="9"/>
      <c r="L1401" s="9"/>
      <c r="M1401" s="9" t="s">
        <v>466</v>
      </c>
      <c r="N1401" s="9" t="s">
        <v>89</v>
      </c>
      <c r="O1401" s="9" t="s">
        <v>3778</v>
      </c>
      <c r="P1401" s="9" t="s">
        <v>1296</v>
      </c>
    </row>
    <row r="1402">
      <c r="A1402" s="18" t="s">
        <v>794</v>
      </c>
      <c r="B1402" s="8">
        <v>3095.0</v>
      </c>
      <c r="C1402" s="8">
        <v>1803093.0</v>
      </c>
      <c r="D1402" s="8">
        <v>1813325.0</v>
      </c>
      <c r="E1402" s="9" t="s">
        <v>907</v>
      </c>
      <c r="F1402" s="9"/>
      <c r="G1402" s="9" t="s">
        <v>908</v>
      </c>
      <c r="H1402" s="9"/>
      <c r="I1402" s="8">
        <v>1972.0</v>
      </c>
      <c r="J1402" s="9" t="s">
        <v>346</v>
      </c>
      <c r="K1402" s="9"/>
      <c r="L1402" s="9"/>
      <c r="M1402" s="9" t="s">
        <v>3779</v>
      </c>
      <c r="N1402" s="9" t="s">
        <v>89</v>
      </c>
      <c r="O1402" s="9" t="s">
        <v>3780</v>
      </c>
      <c r="P1402" s="9" t="s">
        <v>1296</v>
      </c>
    </row>
    <row r="1403">
      <c r="A1403" s="18" t="s">
        <v>794</v>
      </c>
      <c r="B1403" s="8">
        <v>3097.0</v>
      </c>
      <c r="C1403" s="8">
        <v>1814517.0</v>
      </c>
      <c r="D1403" s="8">
        <v>1819783.0</v>
      </c>
      <c r="E1403" s="9" t="s">
        <v>907</v>
      </c>
      <c r="F1403" s="9"/>
      <c r="G1403" s="9" t="s">
        <v>908</v>
      </c>
      <c r="H1403" s="9"/>
      <c r="I1403" s="8">
        <v>1972.0</v>
      </c>
      <c r="J1403" s="9" t="s">
        <v>346</v>
      </c>
      <c r="K1403" s="9"/>
      <c r="L1403" s="9"/>
      <c r="M1403" s="9" t="s">
        <v>3781</v>
      </c>
      <c r="N1403" s="9" t="s">
        <v>89</v>
      </c>
      <c r="O1403" s="9" t="s">
        <v>3782</v>
      </c>
      <c r="P1403" s="9" t="s">
        <v>1296</v>
      </c>
    </row>
    <row r="1404">
      <c r="A1404" s="18" t="s">
        <v>794</v>
      </c>
      <c r="B1404" s="8">
        <v>3149.0</v>
      </c>
      <c r="C1404" s="8">
        <v>2033110.0</v>
      </c>
      <c r="D1404" s="8">
        <v>2040666.0</v>
      </c>
      <c r="E1404" s="9" t="s">
        <v>907</v>
      </c>
      <c r="F1404" s="9"/>
      <c r="G1404" s="9" t="s">
        <v>908</v>
      </c>
      <c r="H1404" s="9"/>
      <c r="I1404" s="8">
        <v>1972.0</v>
      </c>
      <c r="J1404" s="9" t="s">
        <v>346</v>
      </c>
      <c r="K1404" s="9"/>
      <c r="L1404" s="9"/>
      <c r="M1404" s="9" t="s">
        <v>3783</v>
      </c>
      <c r="N1404" s="9" t="s">
        <v>89</v>
      </c>
      <c r="O1404" s="9" t="s">
        <v>3784</v>
      </c>
      <c r="P1404" s="10" t="s">
        <v>1298</v>
      </c>
    </row>
    <row r="1405">
      <c r="A1405" s="18" t="s">
        <v>794</v>
      </c>
      <c r="B1405" s="8">
        <v>3160.0</v>
      </c>
      <c r="C1405" s="8">
        <v>2086968.0</v>
      </c>
      <c r="D1405" s="8">
        <v>2090128.0</v>
      </c>
      <c r="E1405" s="9" t="s">
        <v>907</v>
      </c>
      <c r="F1405" s="9"/>
      <c r="G1405" s="9" t="s">
        <v>908</v>
      </c>
      <c r="H1405" s="9"/>
      <c r="I1405" s="8">
        <v>1972.0</v>
      </c>
      <c r="J1405" s="9" t="s">
        <v>346</v>
      </c>
      <c r="K1405" s="9"/>
      <c r="L1405" s="9"/>
      <c r="M1405" s="9" t="s">
        <v>3785</v>
      </c>
      <c r="N1405" s="9" t="s">
        <v>89</v>
      </c>
      <c r="O1405" s="9" t="s">
        <v>3786</v>
      </c>
      <c r="P1405" s="9" t="s">
        <v>1296</v>
      </c>
    </row>
    <row r="1406">
      <c r="A1406" s="18" t="s">
        <v>794</v>
      </c>
      <c r="B1406" s="8">
        <v>3160.0</v>
      </c>
      <c r="C1406" s="8">
        <v>2086968.0</v>
      </c>
      <c r="D1406" s="8">
        <v>2090128.0</v>
      </c>
      <c r="E1406" s="9" t="s">
        <v>907</v>
      </c>
      <c r="F1406" s="9"/>
      <c r="G1406" s="9" t="s">
        <v>908</v>
      </c>
      <c r="H1406" s="9"/>
      <c r="I1406" s="8">
        <v>1972.0</v>
      </c>
      <c r="J1406" s="9" t="s">
        <v>346</v>
      </c>
      <c r="K1406" s="9"/>
      <c r="L1406" s="9"/>
      <c r="M1406" s="9" t="s">
        <v>3787</v>
      </c>
      <c r="N1406" s="9" t="s">
        <v>89</v>
      </c>
      <c r="O1406" s="9" t="s">
        <v>3788</v>
      </c>
      <c r="P1406" s="9" t="s">
        <v>1296</v>
      </c>
    </row>
    <row r="1407">
      <c r="A1407" s="18" t="s">
        <v>794</v>
      </c>
      <c r="B1407" s="8">
        <v>3767.0</v>
      </c>
      <c r="C1407" s="8">
        <v>676831.0</v>
      </c>
      <c r="D1407" s="8">
        <v>682382.0</v>
      </c>
      <c r="E1407" s="9" t="s">
        <v>966</v>
      </c>
      <c r="F1407" s="9"/>
      <c r="G1407" s="9" t="s">
        <v>967</v>
      </c>
      <c r="H1407" s="9"/>
      <c r="I1407" s="8">
        <v>1955.0</v>
      </c>
      <c r="J1407" s="9" t="s">
        <v>881</v>
      </c>
      <c r="K1407" s="9"/>
      <c r="L1407" s="9"/>
      <c r="M1407" s="9" t="s">
        <v>3789</v>
      </c>
      <c r="N1407" s="9" t="s">
        <v>89</v>
      </c>
      <c r="O1407" s="9" t="s">
        <v>3790</v>
      </c>
      <c r="P1407" s="9" t="s">
        <v>1296</v>
      </c>
    </row>
    <row r="1408">
      <c r="A1408" s="18" t="s">
        <v>794</v>
      </c>
      <c r="B1408" s="8">
        <v>3768.0</v>
      </c>
      <c r="C1408" s="8">
        <v>682414.0</v>
      </c>
      <c r="D1408" s="8">
        <v>685889.0</v>
      </c>
      <c r="E1408" s="9" t="s">
        <v>966</v>
      </c>
      <c r="F1408" s="9"/>
      <c r="G1408" s="9" t="s">
        <v>967</v>
      </c>
      <c r="H1408" s="9"/>
      <c r="I1408" s="8">
        <v>1955.0</v>
      </c>
      <c r="J1408" s="9" t="s">
        <v>881</v>
      </c>
      <c r="K1408" s="9"/>
      <c r="L1408" s="9"/>
      <c r="M1408" s="9" t="s">
        <v>3791</v>
      </c>
      <c r="N1408" s="9" t="s">
        <v>89</v>
      </c>
      <c r="O1408" s="9" t="s">
        <v>3792</v>
      </c>
      <c r="P1408" s="9" t="s">
        <v>1296</v>
      </c>
    </row>
    <row r="1409">
      <c r="A1409" s="18" t="s">
        <v>794</v>
      </c>
      <c r="B1409" s="8">
        <v>3790.0</v>
      </c>
      <c r="C1409" s="8">
        <v>808256.0</v>
      </c>
      <c r="D1409" s="8">
        <v>813981.0</v>
      </c>
      <c r="E1409" s="9" t="s">
        <v>966</v>
      </c>
      <c r="F1409" s="9"/>
      <c r="G1409" s="9" t="s">
        <v>967</v>
      </c>
      <c r="H1409" s="9"/>
      <c r="I1409" s="8">
        <v>1955.0</v>
      </c>
      <c r="J1409" s="9" t="s">
        <v>881</v>
      </c>
      <c r="K1409" s="9"/>
      <c r="L1409" s="9"/>
      <c r="M1409" s="9" t="s">
        <v>3793</v>
      </c>
      <c r="N1409" s="9" t="s">
        <v>89</v>
      </c>
      <c r="O1409" s="9" t="s">
        <v>3794</v>
      </c>
      <c r="P1409" s="9" t="s">
        <v>1296</v>
      </c>
    </row>
    <row r="1410">
      <c r="A1410" s="18" t="s">
        <v>794</v>
      </c>
      <c r="B1410" s="8">
        <v>4242.0</v>
      </c>
      <c r="C1410" s="8">
        <v>625705.0</v>
      </c>
      <c r="D1410" s="8">
        <v>629511.0</v>
      </c>
      <c r="E1410" s="9" t="s">
        <v>1000</v>
      </c>
      <c r="F1410" s="9"/>
      <c r="G1410" s="9" t="s">
        <v>1001</v>
      </c>
      <c r="H1410" s="9"/>
      <c r="I1410" s="8">
        <v>1932.0</v>
      </c>
      <c r="J1410" s="9" t="s">
        <v>389</v>
      </c>
      <c r="K1410" s="9"/>
      <c r="L1410" s="9"/>
      <c r="M1410" s="9" t="s">
        <v>3795</v>
      </c>
      <c r="N1410" s="9" t="s">
        <v>89</v>
      </c>
      <c r="O1410" s="9" t="s">
        <v>3796</v>
      </c>
      <c r="P1410" s="9" t="s">
        <v>1296</v>
      </c>
    </row>
    <row r="1411">
      <c r="A1411" s="18" t="s">
        <v>794</v>
      </c>
      <c r="B1411" s="8">
        <v>4316.0</v>
      </c>
      <c r="C1411" s="8">
        <v>933829.0</v>
      </c>
      <c r="D1411" s="8">
        <v>935483.0</v>
      </c>
      <c r="E1411" s="9" t="s">
        <v>1000</v>
      </c>
      <c r="F1411" s="9"/>
      <c r="G1411" s="9" t="s">
        <v>1001</v>
      </c>
      <c r="H1411" s="9"/>
      <c r="I1411" s="8">
        <v>1932.0</v>
      </c>
      <c r="J1411" s="9" t="s">
        <v>389</v>
      </c>
      <c r="K1411" s="9"/>
      <c r="L1411" s="9"/>
      <c r="M1411" s="9"/>
      <c r="N1411" s="9" t="s">
        <v>333</v>
      </c>
      <c r="O1411" s="9" t="s">
        <v>3797</v>
      </c>
      <c r="P1411" s="9" t="s">
        <v>1296</v>
      </c>
    </row>
    <row r="1412">
      <c r="A1412" s="18" t="s">
        <v>794</v>
      </c>
      <c r="B1412" s="8">
        <v>4652.0</v>
      </c>
      <c r="C1412" s="8">
        <v>2029934.0</v>
      </c>
      <c r="D1412" s="8">
        <v>2033867.0</v>
      </c>
      <c r="E1412" s="9" t="s">
        <v>1000</v>
      </c>
      <c r="F1412" s="9"/>
      <c r="G1412" s="9" t="s">
        <v>1001</v>
      </c>
      <c r="H1412" s="9"/>
      <c r="I1412" s="8">
        <v>1932.0</v>
      </c>
      <c r="J1412" s="9" t="s">
        <v>389</v>
      </c>
      <c r="K1412" s="9"/>
      <c r="L1412" s="9"/>
      <c r="M1412" s="9" t="s">
        <v>3798</v>
      </c>
      <c r="N1412" s="9" t="s">
        <v>89</v>
      </c>
      <c r="O1412" s="9" t="s">
        <v>3799</v>
      </c>
      <c r="P1412" s="9" t="s">
        <v>1296</v>
      </c>
    </row>
    <row r="1413">
      <c r="A1413" s="18" t="s">
        <v>794</v>
      </c>
      <c r="B1413" s="8">
        <v>4731.0</v>
      </c>
      <c r="C1413" s="8">
        <v>2293168.0</v>
      </c>
      <c r="D1413" s="8">
        <v>2295388.0</v>
      </c>
      <c r="E1413" s="9" t="s">
        <v>1000</v>
      </c>
      <c r="F1413" s="9"/>
      <c r="G1413" s="9" t="s">
        <v>1001</v>
      </c>
      <c r="H1413" s="9"/>
      <c r="I1413" s="8">
        <v>1932.0</v>
      </c>
      <c r="J1413" s="9" t="s">
        <v>389</v>
      </c>
      <c r="K1413" s="9"/>
      <c r="L1413" s="9"/>
      <c r="M1413" s="9" t="s">
        <v>3800</v>
      </c>
      <c r="N1413" s="9" t="s">
        <v>89</v>
      </c>
      <c r="O1413" s="9" t="s">
        <v>3801</v>
      </c>
      <c r="P1413" s="9" t="s">
        <v>1296</v>
      </c>
    </row>
    <row r="1414">
      <c r="A1414" s="18" t="s">
        <v>794</v>
      </c>
      <c r="B1414" s="8">
        <v>5776.0</v>
      </c>
      <c r="C1414" s="8">
        <v>470470.0</v>
      </c>
      <c r="D1414" s="8">
        <v>475211.0</v>
      </c>
      <c r="E1414" s="9" t="s">
        <v>1030</v>
      </c>
      <c r="F1414" s="9"/>
      <c r="G1414" s="9" t="s">
        <v>1031</v>
      </c>
      <c r="H1414" s="9"/>
      <c r="I1414" s="8">
        <v>1930.0</v>
      </c>
      <c r="J1414" s="9" t="s">
        <v>881</v>
      </c>
      <c r="K1414" s="9"/>
      <c r="L1414" s="9"/>
      <c r="M1414" s="9" t="s">
        <v>3802</v>
      </c>
      <c r="N1414" s="9" t="s">
        <v>89</v>
      </c>
      <c r="O1414" s="9" t="s">
        <v>3803</v>
      </c>
      <c r="P1414" s="9" t="s">
        <v>1296</v>
      </c>
    </row>
    <row r="1415">
      <c r="A1415" s="18" t="s">
        <v>794</v>
      </c>
      <c r="B1415" s="8">
        <v>5778.0</v>
      </c>
      <c r="C1415" s="8">
        <v>481752.0</v>
      </c>
      <c r="D1415" s="8">
        <v>490475.0</v>
      </c>
      <c r="E1415" s="9" t="s">
        <v>1030</v>
      </c>
      <c r="F1415" s="9"/>
      <c r="G1415" s="9" t="s">
        <v>1031</v>
      </c>
      <c r="H1415" s="9"/>
      <c r="I1415" s="8">
        <v>1930.0</v>
      </c>
      <c r="J1415" s="9" t="s">
        <v>881</v>
      </c>
      <c r="K1415" s="9"/>
      <c r="L1415" s="9"/>
      <c r="M1415" s="9"/>
      <c r="N1415" s="9" t="s">
        <v>333</v>
      </c>
      <c r="O1415" s="9" t="s">
        <v>3804</v>
      </c>
      <c r="P1415" s="9" t="s">
        <v>1296</v>
      </c>
    </row>
    <row r="1416">
      <c r="A1416" s="18" t="s">
        <v>794</v>
      </c>
      <c r="B1416" s="8">
        <v>5987.0</v>
      </c>
      <c r="C1416" s="8">
        <v>1740640.0</v>
      </c>
      <c r="D1416" s="8">
        <v>1745056.0</v>
      </c>
      <c r="E1416" s="9" t="s">
        <v>1030</v>
      </c>
      <c r="F1416" s="9"/>
      <c r="G1416" s="9" t="s">
        <v>1031</v>
      </c>
      <c r="H1416" s="9"/>
      <c r="I1416" s="8">
        <v>1930.0</v>
      </c>
      <c r="J1416" s="9" t="s">
        <v>881</v>
      </c>
      <c r="K1416" s="9"/>
      <c r="L1416" s="9"/>
      <c r="M1416" s="9" t="s">
        <v>410</v>
      </c>
      <c r="N1416" s="9" t="s">
        <v>89</v>
      </c>
      <c r="O1416" s="9" t="s">
        <v>3805</v>
      </c>
      <c r="P1416" s="9" t="s">
        <v>1296</v>
      </c>
    </row>
    <row r="1417">
      <c r="A1417" s="18" t="s">
        <v>794</v>
      </c>
      <c r="B1417" s="8">
        <v>6104.0</v>
      </c>
      <c r="C1417" s="8">
        <v>2500522.0</v>
      </c>
      <c r="D1417" s="8">
        <v>2510454.0</v>
      </c>
      <c r="E1417" s="9" t="s">
        <v>1030</v>
      </c>
      <c r="F1417" s="9"/>
      <c r="G1417" s="9" t="s">
        <v>1031</v>
      </c>
      <c r="H1417" s="9"/>
      <c r="I1417" s="8">
        <v>1930.0</v>
      </c>
      <c r="J1417" s="9" t="s">
        <v>881</v>
      </c>
      <c r="K1417" s="9"/>
      <c r="L1417" s="9"/>
      <c r="M1417" s="9" t="s">
        <v>88</v>
      </c>
      <c r="N1417" s="9" t="s">
        <v>89</v>
      </c>
      <c r="O1417" s="9" t="s">
        <v>3806</v>
      </c>
      <c r="P1417" s="9" t="s">
        <v>1296</v>
      </c>
    </row>
    <row r="1418">
      <c r="A1418" s="18" t="s">
        <v>794</v>
      </c>
      <c r="B1418" s="8">
        <v>6399.0</v>
      </c>
      <c r="C1418" s="8">
        <v>7928716.0</v>
      </c>
      <c r="D1418" s="8">
        <v>7933818.0</v>
      </c>
      <c r="E1418" s="9" t="s">
        <v>1045</v>
      </c>
      <c r="F1418" s="9"/>
      <c r="G1418" s="9" t="s">
        <v>1046</v>
      </c>
      <c r="H1418" s="9"/>
      <c r="I1418" s="8">
        <v>1955.0</v>
      </c>
      <c r="J1418" s="9" t="s">
        <v>797</v>
      </c>
      <c r="K1418" s="9"/>
      <c r="L1418" s="9"/>
      <c r="M1418" s="9" t="s">
        <v>3807</v>
      </c>
      <c r="N1418" s="9" t="s">
        <v>333</v>
      </c>
      <c r="O1418" s="9" t="s">
        <v>3808</v>
      </c>
      <c r="P1418" s="9" t="s">
        <v>1296</v>
      </c>
    </row>
    <row r="1419">
      <c r="A1419" s="18" t="s">
        <v>794</v>
      </c>
      <c r="B1419" s="8">
        <v>6399.0</v>
      </c>
      <c r="C1419" s="8">
        <v>7928716.0</v>
      </c>
      <c r="D1419" s="8">
        <v>7933818.0</v>
      </c>
      <c r="E1419" s="9" t="s">
        <v>1045</v>
      </c>
      <c r="F1419" s="9"/>
      <c r="G1419" s="9" t="s">
        <v>1046</v>
      </c>
      <c r="H1419" s="9"/>
      <c r="I1419" s="8">
        <v>1955.0</v>
      </c>
      <c r="J1419" s="9" t="s">
        <v>797</v>
      </c>
      <c r="K1419" s="9"/>
      <c r="L1419" s="9"/>
      <c r="M1419" s="9" t="s">
        <v>3809</v>
      </c>
      <c r="N1419" s="9" t="s">
        <v>89</v>
      </c>
      <c r="O1419" s="9" t="s">
        <v>3810</v>
      </c>
      <c r="P1419" s="9" t="s">
        <v>1296</v>
      </c>
    </row>
    <row r="1420">
      <c r="A1420" s="18" t="s">
        <v>794</v>
      </c>
      <c r="B1420" s="8">
        <v>6399.0</v>
      </c>
      <c r="C1420" s="8">
        <v>7928716.0</v>
      </c>
      <c r="D1420" s="8">
        <v>7933818.0</v>
      </c>
      <c r="E1420" s="9" t="s">
        <v>1045</v>
      </c>
      <c r="F1420" s="9"/>
      <c r="G1420" s="9" t="s">
        <v>1046</v>
      </c>
      <c r="H1420" s="9"/>
      <c r="I1420" s="8">
        <v>1955.0</v>
      </c>
      <c r="J1420" s="9" t="s">
        <v>797</v>
      </c>
      <c r="K1420" s="9"/>
      <c r="L1420" s="9"/>
      <c r="M1420" s="9" t="s">
        <v>3811</v>
      </c>
      <c r="N1420" s="9" t="s">
        <v>89</v>
      </c>
      <c r="O1420" s="9" t="s">
        <v>3812</v>
      </c>
      <c r="P1420" s="9" t="s">
        <v>1296</v>
      </c>
    </row>
    <row r="1421">
      <c r="A1421" s="18" t="s">
        <v>794</v>
      </c>
      <c r="B1421" s="8">
        <v>6431.0</v>
      </c>
      <c r="C1421" s="8">
        <v>8081253.0</v>
      </c>
      <c r="D1421" s="8">
        <v>8084142.0</v>
      </c>
      <c r="E1421" s="9" t="s">
        <v>1045</v>
      </c>
      <c r="F1421" s="9"/>
      <c r="G1421" s="9" t="s">
        <v>865</v>
      </c>
      <c r="H1421" s="9"/>
      <c r="I1421" s="8">
        <v>1949.0</v>
      </c>
      <c r="J1421" s="9" t="s">
        <v>797</v>
      </c>
      <c r="K1421" s="9"/>
      <c r="L1421" s="9"/>
      <c r="M1421" s="9" t="s">
        <v>3813</v>
      </c>
      <c r="N1421" s="9" t="s">
        <v>89</v>
      </c>
      <c r="O1421" s="9" t="s">
        <v>3814</v>
      </c>
      <c r="P1421" s="10" t="s">
        <v>1298</v>
      </c>
    </row>
    <row r="1422">
      <c r="A1422" s="18" t="s">
        <v>794</v>
      </c>
      <c r="B1422" s="8">
        <v>6434.0</v>
      </c>
      <c r="C1422" s="8">
        <v>8099664.0</v>
      </c>
      <c r="D1422" s="8">
        <v>8105761.0</v>
      </c>
      <c r="E1422" s="9" t="s">
        <v>1045</v>
      </c>
      <c r="F1422" s="9"/>
      <c r="G1422" s="9" t="s">
        <v>1046</v>
      </c>
      <c r="H1422" s="9"/>
      <c r="I1422" s="8">
        <v>1955.0</v>
      </c>
      <c r="J1422" s="9" t="s">
        <v>797</v>
      </c>
      <c r="K1422" s="9"/>
      <c r="L1422" s="9"/>
      <c r="M1422" s="9" t="s">
        <v>3815</v>
      </c>
      <c r="N1422" s="9" t="s">
        <v>333</v>
      </c>
      <c r="O1422" s="9" t="s">
        <v>3816</v>
      </c>
      <c r="P1422" s="9" t="s">
        <v>1388</v>
      </c>
    </row>
    <row r="1423">
      <c r="A1423" s="18" t="s">
        <v>794</v>
      </c>
      <c r="B1423" s="8">
        <v>5243.0</v>
      </c>
      <c r="C1423" s="8">
        <v>4722992.0</v>
      </c>
      <c r="D1423" s="8">
        <v>4725980.0</v>
      </c>
      <c r="E1423" s="9" t="s">
        <v>1000</v>
      </c>
      <c r="F1423" s="9"/>
      <c r="G1423" s="9" t="s">
        <v>1001</v>
      </c>
      <c r="H1423" s="9"/>
      <c r="I1423" s="8">
        <v>1932.0</v>
      </c>
      <c r="J1423" s="9" t="s">
        <v>389</v>
      </c>
      <c r="K1423" s="9"/>
      <c r="L1423" s="9"/>
      <c r="M1423" s="9" t="s">
        <v>3817</v>
      </c>
      <c r="N1423" s="9" t="s">
        <v>35</v>
      </c>
      <c r="O1423" s="9" t="s">
        <v>3818</v>
      </c>
      <c r="P1423" s="9" t="s">
        <v>1947</v>
      </c>
    </row>
    <row r="1424">
      <c r="A1424" s="18" t="s">
        <v>794</v>
      </c>
      <c r="B1424" s="8">
        <v>2969.0</v>
      </c>
      <c r="C1424" s="8">
        <v>1235651.0</v>
      </c>
      <c r="D1424" s="8">
        <v>1240976.0</v>
      </c>
      <c r="E1424" s="9" t="s">
        <v>907</v>
      </c>
      <c r="F1424" s="9"/>
      <c r="G1424" s="9" t="s">
        <v>908</v>
      </c>
      <c r="H1424" s="9"/>
      <c r="I1424" s="8">
        <v>1972.0</v>
      </c>
      <c r="J1424" s="9" t="s">
        <v>346</v>
      </c>
      <c r="K1424" s="9"/>
      <c r="L1424" s="9"/>
      <c r="M1424" s="9" t="s">
        <v>3819</v>
      </c>
      <c r="N1424" s="9" t="s">
        <v>89</v>
      </c>
      <c r="O1424" s="9" t="s">
        <v>3820</v>
      </c>
      <c r="P1424" s="9" t="s">
        <v>1316</v>
      </c>
    </row>
    <row r="1425">
      <c r="A1425" s="18" t="s">
        <v>794</v>
      </c>
      <c r="B1425" s="8">
        <v>2969.0</v>
      </c>
      <c r="C1425" s="8">
        <v>1235651.0</v>
      </c>
      <c r="D1425" s="8">
        <v>1240976.0</v>
      </c>
      <c r="E1425" s="9" t="s">
        <v>907</v>
      </c>
      <c r="F1425" s="9"/>
      <c r="G1425" s="9" t="s">
        <v>908</v>
      </c>
      <c r="H1425" s="9"/>
      <c r="I1425" s="8">
        <v>1972.0</v>
      </c>
      <c r="J1425" s="9" t="s">
        <v>346</v>
      </c>
      <c r="K1425" s="9"/>
      <c r="L1425" s="9"/>
      <c r="M1425" s="9" t="s">
        <v>3819</v>
      </c>
      <c r="N1425" s="9" t="s">
        <v>89</v>
      </c>
      <c r="O1425" s="9" t="s">
        <v>3820</v>
      </c>
      <c r="P1425" s="9" t="s">
        <v>1316</v>
      </c>
    </row>
    <row r="1426">
      <c r="A1426" s="9"/>
      <c r="B1426" s="8"/>
      <c r="C1426" s="8"/>
      <c r="D1426" s="8"/>
      <c r="E1426" s="9"/>
      <c r="F1426" s="9"/>
      <c r="G1426" s="9"/>
      <c r="H1426" s="9"/>
      <c r="I1426" s="8"/>
      <c r="J1426" s="9"/>
      <c r="K1426" s="9"/>
      <c r="L1426" s="9"/>
      <c r="M1426" s="9"/>
      <c r="N1426" s="9"/>
      <c r="O1426" s="9"/>
      <c r="P1426" s="9"/>
    </row>
    <row r="1427">
      <c r="A1427" s="9"/>
      <c r="B1427" s="8"/>
      <c r="C1427" s="8"/>
      <c r="D1427" s="8"/>
      <c r="E1427" s="9"/>
      <c r="F1427" s="9"/>
      <c r="G1427" s="9"/>
      <c r="H1427" s="9"/>
      <c r="I1427" s="8"/>
      <c r="J1427" s="9"/>
      <c r="K1427" s="9"/>
      <c r="L1427" s="9"/>
      <c r="M1427" s="9"/>
      <c r="N1427" s="9"/>
      <c r="O1427" s="9"/>
      <c r="P1427" s="9"/>
    </row>
    <row r="1428">
      <c r="A1428" s="9"/>
      <c r="B1428" s="8"/>
      <c r="C1428" s="8"/>
      <c r="D1428" s="8"/>
      <c r="E1428" s="9"/>
      <c r="F1428" s="9"/>
      <c r="G1428" s="9"/>
      <c r="H1428" s="9"/>
      <c r="I1428" s="8"/>
      <c r="J1428" s="9"/>
      <c r="K1428" s="9"/>
      <c r="L1428" s="9"/>
      <c r="M1428" s="9"/>
      <c r="N1428" s="9"/>
      <c r="O1428" s="9"/>
      <c r="P1428" s="9"/>
    </row>
    <row r="1429">
      <c r="A1429" s="9"/>
      <c r="B1429" s="8"/>
      <c r="C1429" s="8"/>
      <c r="D1429" s="8"/>
      <c r="E1429" s="9"/>
      <c r="F1429" s="9"/>
      <c r="G1429" s="9"/>
      <c r="H1429" s="9"/>
      <c r="I1429" s="8"/>
      <c r="J1429" s="9"/>
      <c r="K1429" s="9"/>
      <c r="L1429" s="9"/>
      <c r="M1429" s="9"/>
      <c r="N1429" s="9"/>
      <c r="O1429" s="9"/>
      <c r="P1429" s="9"/>
    </row>
    <row r="1430">
      <c r="A1430" s="9"/>
      <c r="B1430" s="8"/>
      <c r="C1430" s="8"/>
      <c r="D1430" s="8"/>
      <c r="E1430" s="9"/>
      <c r="F1430" s="9"/>
      <c r="G1430" s="9"/>
      <c r="H1430" s="9"/>
      <c r="I1430" s="8"/>
      <c r="J1430" s="9"/>
      <c r="K1430" s="9"/>
      <c r="L1430" s="9"/>
      <c r="M1430" s="9"/>
      <c r="N1430" s="9"/>
      <c r="O1430" s="9"/>
      <c r="P1430" s="9"/>
    </row>
    <row r="1431">
      <c r="A1431" s="9"/>
      <c r="B1431" s="8"/>
      <c r="C1431" s="8"/>
      <c r="D1431" s="8"/>
      <c r="E1431" s="9"/>
      <c r="F1431" s="9"/>
      <c r="G1431" s="9"/>
      <c r="H1431" s="9"/>
      <c r="I1431" s="8"/>
      <c r="J1431" s="9"/>
      <c r="K1431" s="9"/>
      <c r="L1431" s="9"/>
      <c r="M1431" s="9"/>
      <c r="N1431" s="9"/>
      <c r="O1431" s="9"/>
      <c r="P1431" s="9"/>
    </row>
    <row r="1432">
      <c r="A1432" s="9"/>
      <c r="B1432" s="8"/>
      <c r="C1432" s="8"/>
      <c r="D1432" s="8"/>
      <c r="E1432" s="9"/>
      <c r="F1432" s="9"/>
      <c r="G1432" s="9"/>
      <c r="H1432" s="9"/>
      <c r="I1432" s="8"/>
      <c r="J1432" s="9"/>
      <c r="K1432" s="9"/>
      <c r="L1432" s="9"/>
      <c r="M1432" s="9"/>
      <c r="N1432" s="9"/>
      <c r="O1432" s="9"/>
      <c r="P1432" s="9"/>
    </row>
    <row r="1433">
      <c r="A1433" s="9"/>
      <c r="B1433" s="8"/>
      <c r="C1433" s="8"/>
      <c r="D1433" s="8"/>
      <c r="E1433" s="9"/>
      <c r="F1433" s="9"/>
      <c r="G1433" s="9"/>
      <c r="H1433" s="9"/>
      <c r="I1433" s="8"/>
      <c r="J1433" s="9"/>
      <c r="K1433" s="9"/>
      <c r="L1433" s="9"/>
      <c r="M1433" s="9"/>
      <c r="N1433" s="9"/>
      <c r="O1433" s="9"/>
      <c r="P1433" s="9"/>
    </row>
    <row r="1434">
      <c r="A1434" s="9"/>
      <c r="B1434" s="8"/>
      <c r="C1434" s="8"/>
      <c r="D1434" s="8"/>
      <c r="E1434" s="9"/>
      <c r="F1434" s="9"/>
      <c r="G1434" s="9"/>
      <c r="H1434" s="9"/>
      <c r="I1434" s="8"/>
      <c r="J1434" s="9"/>
      <c r="K1434" s="9"/>
      <c r="L1434" s="9"/>
      <c r="M1434" s="9"/>
      <c r="N1434" s="9"/>
      <c r="O1434" s="9"/>
      <c r="P1434" s="9"/>
    </row>
    <row r="1435">
      <c r="A1435" s="9"/>
      <c r="B1435" s="8"/>
      <c r="C1435" s="8"/>
      <c r="D1435" s="8"/>
      <c r="E1435" s="9"/>
      <c r="F1435" s="9"/>
      <c r="G1435" s="9"/>
      <c r="H1435" s="9"/>
      <c r="I1435" s="8"/>
      <c r="J1435" s="9"/>
      <c r="K1435" s="9"/>
      <c r="L1435" s="9"/>
      <c r="M1435" s="9"/>
      <c r="N1435" s="9"/>
      <c r="O1435" s="9"/>
      <c r="P1435" s="9"/>
    </row>
    <row r="1436">
      <c r="A1436" s="9"/>
      <c r="B1436" s="8"/>
      <c r="C1436" s="8"/>
      <c r="D1436" s="8"/>
      <c r="E1436" s="9"/>
      <c r="F1436" s="9"/>
      <c r="G1436" s="9"/>
      <c r="H1436" s="9"/>
      <c r="I1436" s="8"/>
      <c r="J1436" s="9"/>
      <c r="K1436" s="9"/>
      <c r="L1436" s="9"/>
      <c r="M1436" s="9"/>
      <c r="N1436" s="9"/>
      <c r="O1436" s="9"/>
      <c r="P1436" s="9"/>
    </row>
    <row r="1437">
      <c r="A1437" s="9"/>
      <c r="B1437" s="8"/>
      <c r="C1437" s="8"/>
      <c r="D1437" s="8"/>
      <c r="E1437" s="9"/>
      <c r="F1437" s="9"/>
      <c r="G1437" s="9"/>
      <c r="H1437" s="9"/>
      <c r="I1437" s="8"/>
      <c r="J1437" s="9"/>
      <c r="K1437" s="9"/>
      <c r="L1437" s="9"/>
      <c r="M1437" s="9"/>
      <c r="N1437" s="9"/>
      <c r="O1437" s="9"/>
      <c r="P1437" s="9"/>
    </row>
    <row r="1438">
      <c r="A1438" s="9"/>
      <c r="B1438" s="8"/>
      <c r="C1438" s="8"/>
      <c r="D1438" s="8"/>
      <c r="E1438" s="9"/>
      <c r="F1438" s="9"/>
      <c r="G1438" s="9"/>
      <c r="H1438" s="9"/>
      <c r="I1438" s="8"/>
      <c r="J1438" s="9"/>
      <c r="K1438" s="9"/>
      <c r="L1438" s="9"/>
      <c r="M1438" s="9"/>
      <c r="N1438" s="9"/>
      <c r="O1438" s="9"/>
      <c r="P1438" s="9"/>
    </row>
    <row r="1439">
      <c r="A1439" s="9"/>
      <c r="B1439" s="8"/>
      <c r="C1439" s="8"/>
      <c r="D1439" s="8"/>
      <c r="E1439" s="9"/>
      <c r="F1439" s="9"/>
      <c r="G1439" s="9"/>
      <c r="H1439" s="9"/>
      <c r="I1439" s="8"/>
      <c r="J1439" s="9"/>
      <c r="K1439" s="9"/>
      <c r="L1439" s="9"/>
      <c r="M1439" s="9"/>
      <c r="N1439" s="9"/>
      <c r="O1439" s="9"/>
      <c r="P1439" s="9"/>
    </row>
    <row r="1440">
      <c r="A1440" s="9"/>
      <c r="B1440" s="8"/>
      <c r="C1440" s="8"/>
      <c r="D1440" s="8"/>
      <c r="E1440" s="9"/>
      <c r="F1440" s="9"/>
      <c r="G1440" s="9"/>
      <c r="H1440" s="9"/>
      <c r="I1440" s="8"/>
      <c r="J1440" s="9"/>
      <c r="K1440" s="9"/>
      <c r="L1440" s="9"/>
      <c r="M1440" s="9"/>
      <c r="N1440" s="9"/>
      <c r="O1440" s="9"/>
      <c r="P1440" s="9"/>
    </row>
    <row r="1441">
      <c r="A1441" s="9"/>
      <c r="B1441" s="8"/>
      <c r="C1441" s="8"/>
      <c r="D1441" s="8"/>
      <c r="E1441" s="9"/>
      <c r="F1441" s="9"/>
      <c r="G1441" s="9"/>
      <c r="H1441" s="9"/>
      <c r="I1441" s="8"/>
      <c r="J1441" s="9"/>
      <c r="K1441" s="9"/>
      <c r="L1441" s="9"/>
      <c r="M1441" s="9"/>
      <c r="N1441" s="9"/>
      <c r="O1441" s="9"/>
      <c r="P1441" s="9"/>
    </row>
    <row r="1442">
      <c r="A1442" s="9"/>
      <c r="B1442" s="8"/>
      <c r="C1442" s="8"/>
      <c r="D1442" s="8"/>
      <c r="E1442" s="9"/>
      <c r="F1442" s="9"/>
      <c r="G1442" s="9"/>
      <c r="H1442" s="9"/>
      <c r="I1442" s="8"/>
      <c r="J1442" s="9"/>
      <c r="K1442" s="9"/>
      <c r="L1442" s="9"/>
      <c r="M1442" s="9"/>
      <c r="N1442" s="9"/>
      <c r="O1442" s="9"/>
      <c r="P1442" s="9"/>
    </row>
    <row r="1443">
      <c r="A1443" s="9"/>
      <c r="B1443" s="8"/>
      <c r="C1443" s="8"/>
      <c r="D1443" s="8"/>
      <c r="E1443" s="9"/>
      <c r="F1443" s="9"/>
      <c r="G1443" s="9"/>
      <c r="H1443" s="9"/>
      <c r="I1443" s="8"/>
      <c r="J1443" s="9"/>
      <c r="K1443" s="9"/>
      <c r="L1443" s="9"/>
      <c r="M1443" s="9"/>
      <c r="N1443" s="9"/>
      <c r="O1443" s="9"/>
      <c r="P1443" s="9"/>
    </row>
    <row r="1444">
      <c r="A1444" s="9"/>
      <c r="B1444" s="8"/>
      <c r="C1444" s="8"/>
      <c r="D1444" s="8"/>
      <c r="E1444" s="9"/>
      <c r="F1444" s="9"/>
      <c r="G1444" s="9"/>
      <c r="H1444" s="9"/>
      <c r="I1444" s="8"/>
      <c r="J1444" s="9"/>
      <c r="K1444" s="9"/>
      <c r="L1444" s="9"/>
      <c r="M1444" s="9"/>
      <c r="N1444" s="9"/>
      <c r="O1444" s="9"/>
      <c r="P1444" s="9"/>
    </row>
    <row r="1445">
      <c r="A1445" s="9"/>
      <c r="B1445" s="8"/>
      <c r="C1445" s="8"/>
      <c r="D1445" s="8"/>
      <c r="E1445" s="9"/>
      <c r="F1445" s="9"/>
      <c r="G1445" s="9"/>
      <c r="H1445" s="9"/>
      <c r="I1445" s="8"/>
      <c r="J1445" s="9"/>
      <c r="K1445" s="9"/>
      <c r="L1445" s="9"/>
      <c r="M1445" s="9"/>
      <c r="N1445" s="9"/>
      <c r="O1445" s="9"/>
      <c r="P1445" s="9"/>
    </row>
    <row r="1446">
      <c r="A1446" s="9"/>
      <c r="B1446" s="8"/>
      <c r="C1446" s="8"/>
      <c r="D1446" s="8"/>
      <c r="E1446" s="9"/>
      <c r="F1446" s="9"/>
      <c r="G1446" s="9"/>
      <c r="H1446" s="9"/>
      <c r="I1446" s="8"/>
      <c r="J1446" s="9"/>
      <c r="K1446" s="9"/>
      <c r="L1446" s="9"/>
      <c r="M1446" s="9"/>
      <c r="N1446" s="9"/>
      <c r="O1446" s="9"/>
      <c r="P1446" s="9"/>
    </row>
    <row r="1447">
      <c r="A1447" s="9"/>
      <c r="B1447" s="8"/>
      <c r="C1447" s="8"/>
      <c r="D1447" s="8"/>
      <c r="E1447" s="9"/>
      <c r="F1447" s="9"/>
      <c r="G1447" s="9"/>
      <c r="H1447" s="9"/>
      <c r="I1447" s="8"/>
      <c r="J1447" s="9"/>
      <c r="K1447" s="9"/>
      <c r="L1447" s="9"/>
      <c r="M1447" s="9"/>
      <c r="N1447" s="9"/>
      <c r="O1447" s="9"/>
      <c r="P1447" s="9"/>
    </row>
    <row r="1448">
      <c r="A1448" s="9"/>
      <c r="B1448" s="8"/>
      <c r="C1448" s="8"/>
      <c r="D1448" s="8"/>
      <c r="E1448" s="9"/>
      <c r="F1448" s="9"/>
      <c r="G1448" s="9"/>
      <c r="H1448" s="9"/>
      <c r="I1448" s="8"/>
      <c r="J1448" s="9"/>
      <c r="K1448" s="9"/>
      <c r="L1448" s="9"/>
      <c r="M1448" s="9"/>
      <c r="N1448" s="9"/>
      <c r="O1448" s="9"/>
      <c r="P1448" s="9"/>
    </row>
    <row r="1449">
      <c r="A1449" s="9"/>
      <c r="B1449" s="8"/>
      <c r="C1449" s="8"/>
      <c r="D1449" s="8"/>
      <c r="E1449" s="9"/>
      <c r="F1449" s="9"/>
      <c r="G1449" s="9"/>
      <c r="H1449" s="9"/>
      <c r="I1449" s="8"/>
      <c r="J1449" s="9"/>
      <c r="K1449" s="9"/>
      <c r="L1449" s="9"/>
      <c r="M1449" s="9"/>
      <c r="N1449" s="9"/>
      <c r="O1449" s="9"/>
      <c r="P1449" s="9"/>
    </row>
    <row r="1450">
      <c r="A1450" s="9"/>
      <c r="B1450" s="8"/>
      <c r="C1450" s="8"/>
      <c r="D1450" s="8"/>
      <c r="E1450" s="9"/>
      <c r="F1450" s="9"/>
      <c r="G1450" s="9"/>
      <c r="H1450" s="9"/>
      <c r="I1450" s="8"/>
      <c r="J1450" s="9"/>
      <c r="K1450" s="9"/>
      <c r="L1450" s="9"/>
      <c r="M1450" s="9"/>
      <c r="N1450" s="9"/>
      <c r="O1450" s="9"/>
      <c r="P1450" s="9"/>
    </row>
    <row r="1451">
      <c r="A1451" s="9"/>
      <c r="B1451" s="8"/>
      <c r="C1451" s="8"/>
      <c r="D1451" s="8"/>
      <c r="E1451" s="9"/>
      <c r="F1451" s="9"/>
      <c r="G1451" s="9"/>
      <c r="H1451" s="9"/>
      <c r="I1451" s="8"/>
      <c r="J1451" s="9"/>
      <c r="K1451" s="9"/>
      <c r="L1451" s="9"/>
      <c r="M1451" s="9"/>
      <c r="N1451" s="9"/>
      <c r="O1451" s="9"/>
      <c r="P1451" s="9"/>
    </row>
    <row r="1452">
      <c r="A1452" s="9"/>
      <c r="B1452" s="8"/>
      <c r="C1452" s="8"/>
      <c r="D1452" s="8"/>
      <c r="E1452" s="9"/>
      <c r="F1452" s="9"/>
      <c r="G1452" s="9"/>
      <c r="H1452" s="9"/>
      <c r="I1452" s="8"/>
      <c r="J1452" s="9"/>
      <c r="K1452" s="9"/>
      <c r="L1452" s="9"/>
      <c r="M1452" s="9"/>
      <c r="N1452" s="9"/>
      <c r="O1452" s="9"/>
      <c r="P1452" s="9"/>
    </row>
    <row r="1453">
      <c r="A1453" s="9"/>
      <c r="B1453" s="8"/>
      <c r="C1453" s="8"/>
      <c r="D1453" s="8"/>
      <c r="E1453" s="9"/>
      <c r="F1453" s="9"/>
      <c r="G1453" s="9"/>
      <c r="H1453" s="9"/>
      <c r="I1453" s="8"/>
      <c r="J1453" s="9"/>
      <c r="K1453" s="9"/>
      <c r="L1453" s="9"/>
      <c r="M1453" s="9"/>
      <c r="N1453" s="9"/>
      <c r="O1453" s="9"/>
      <c r="P1453" s="9"/>
    </row>
    <row r="1454">
      <c r="A1454" s="9"/>
      <c r="B1454" s="8"/>
      <c r="C1454" s="8"/>
      <c r="D1454" s="8"/>
      <c r="E1454" s="9"/>
      <c r="F1454" s="9"/>
      <c r="G1454" s="9"/>
      <c r="H1454" s="9"/>
      <c r="I1454" s="8"/>
      <c r="J1454" s="9"/>
      <c r="K1454" s="9"/>
      <c r="L1454" s="9"/>
      <c r="M1454" s="9"/>
      <c r="N1454" s="9"/>
      <c r="O1454" s="9"/>
      <c r="P1454" s="9"/>
    </row>
    <row r="1455">
      <c r="A1455" s="9"/>
      <c r="B1455" s="8"/>
      <c r="C1455" s="8"/>
      <c r="D1455" s="8"/>
      <c r="E1455" s="9"/>
      <c r="F1455" s="9"/>
      <c r="G1455" s="9"/>
      <c r="H1455" s="9"/>
      <c r="I1455" s="8"/>
      <c r="J1455" s="9"/>
      <c r="K1455" s="9"/>
      <c r="L1455" s="9"/>
      <c r="M1455" s="9"/>
      <c r="N1455" s="9"/>
      <c r="O1455" s="9"/>
      <c r="P1455" s="9"/>
    </row>
    <row r="1456">
      <c r="A1456" s="9"/>
      <c r="B1456" s="8"/>
      <c r="C1456" s="8"/>
      <c r="D1456" s="8"/>
      <c r="E1456" s="9"/>
      <c r="F1456" s="9"/>
      <c r="G1456" s="9"/>
      <c r="H1456" s="9"/>
      <c r="I1456" s="8"/>
      <c r="J1456" s="9"/>
      <c r="K1456" s="9"/>
      <c r="L1456" s="9"/>
      <c r="M1456" s="9"/>
      <c r="N1456" s="9"/>
      <c r="O1456" s="9"/>
      <c r="P1456" s="9"/>
    </row>
    <row r="1457">
      <c r="A1457" s="9"/>
      <c r="B1457" s="8"/>
      <c r="C1457" s="8"/>
      <c r="D1457" s="8"/>
      <c r="E1457" s="9"/>
      <c r="F1457" s="9"/>
      <c r="G1457" s="9"/>
      <c r="H1457" s="9"/>
      <c r="I1457" s="8"/>
      <c r="J1457" s="9"/>
      <c r="K1457" s="9"/>
      <c r="L1457" s="9"/>
      <c r="M1457" s="9"/>
      <c r="N1457" s="9"/>
      <c r="O1457" s="9"/>
      <c r="P1457" s="9"/>
    </row>
    <row r="1458">
      <c r="A1458" s="9"/>
      <c r="B1458" s="8"/>
      <c r="C1458" s="8"/>
      <c r="D1458" s="8"/>
      <c r="E1458" s="9"/>
      <c r="F1458" s="9"/>
      <c r="G1458" s="9"/>
      <c r="H1458" s="9"/>
      <c r="I1458" s="8"/>
      <c r="J1458" s="9"/>
      <c r="K1458" s="9"/>
      <c r="L1458" s="9"/>
      <c r="M1458" s="9"/>
      <c r="N1458" s="9"/>
      <c r="O1458" s="9"/>
      <c r="P1458" s="9"/>
    </row>
    <row r="1459">
      <c r="A1459" s="9"/>
      <c r="B1459" s="8"/>
      <c r="C1459" s="8"/>
      <c r="D1459" s="8"/>
      <c r="E1459" s="9"/>
      <c r="F1459" s="9"/>
      <c r="G1459" s="9"/>
      <c r="H1459" s="9"/>
      <c r="I1459" s="8"/>
      <c r="J1459" s="9"/>
      <c r="K1459" s="9"/>
      <c r="L1459" s="9"/>
      <c r="M1459" s="9"/>
      <c r="N1459" s="9"/>
      <c r="O1459" s="9"/>
      <c r="P1459" s="9"/>
    </row>
    <row r="1460">
      <c r="A1460" s="9"/>
      <c r="B1460" s="8"/>
      <c r="C1460" s="8"/>
      <c r="D1460" s="8"/>
      <c r="E1460" s="9"/>
      <c r="F1460" s="9"/>
      <c r="G1460" s="9"/>
      <c r="H1460" s="9"/>
      <c r="I1460" s="8"/>
      <c r="J1460" s="9"/>
      <c r="K1460" s="9"/>
      <c r="L1460" s="9"/>
      <c r="M1460" s="9"/>
      <c r="N1460" s="9"/>
      <c r="O1460" s="9"/>
      <c r="P1460" s="9"/>
    </row>
    <row r="1461">
      <c r="A1461" s="9"/>
      <c r="B1461" s="8"/>
      <c r="C1461" s="8"/>
      <c r="D1461" s="8"/>
      <c r="E1461" s="9"/>
      <c r="F1461" s="9"/>
      <c r="G1461" s="9"/>
      <c r="H1461" s="9"/>
      <c r="I1461" s="8"/>
      <c r="J1461" s="9"/>
      <c r="K1461" s="9"/>
      <c r="L1461" s="9"/>
      <c r="M1461" s="9"/>
      <c r="N1461" s="9"/>
      <c r="O1461" s="9"/>
      <c r="P1461" s="9"/>
    </row>
    <row r="1462">
      <c r="A1462" s="9"/>
      <c r="B1462" s="8"/>
      <c r="C1462" s="8"/>
      <c r="D1462" s="8"/>
      <c r="E1462" s="9"/>
      <c r="F1462" s="9"/>
      <c r="G1462" s="9"/>
      <c r="H1462" s="9"/>
      <c r="I1462" s="8"/>
      <c r="J1462" s="9"/>
      <c r="K1462" s="9"/>
      <c r="L1462" s="9"/>
      <c r="M1462" s="9"/>
      <c r="N1462" s="9"/>
      <c r="O1462" s="9"/>
      <c r="P1462" s="9"/>
    </row>
    <row r="1463">
      <c r="A1463" s="9"/>
      <c r="B1463" s="8"/>
      <c r="C1463" s="8"/>
      <c r="D1463" s="8"/>
      <c r="E1463" s="9"/>
      <c r="F1463" s="9"/>
      <c r="G1463" s="9"/>
      <c r="H1463" s="9"/>
      <c r="I1463" s="8"/>
      <c r="J1463" s="9"/>
      <c r="K1463" s="9"/>
      <c r="L1463" s="9"/>
      <c r="M1463" s="9"/>
      <c r="N1463" s="9"/>
      <c r="O1463" s="9"/>
      <c r="P1463" s="9"/>
    </row>
    <row r="1464">
      <c r="A1464" s="9"/>
      <c r="B1464" s="8"/>
      <c r="C1464" s="8"/>
      <c r="D1464" s="8"/>
      <c r="E1464" s="9"/>
      <c r="F1464" s="9"/>
      <c r="G1464" s="9"/>
      <c r="H1464" s="9"/>
      <c r="I1464" s="8"/>
      <c r="J1464" s="9"/>
      <c r="K1464" s="9"/>
      <c r="L1464" s="9"/>
      <c r="M1464" s="9"/>
      <c r="N1464" s="9"/>
      <c r="O1464" s="9"/>
      <c r="P1464" s="9"/>
    </row>
    <row r="1465">
      <c r="A1465" s="9"/>
      <c r="B1465" s="8"/>
      <c r="C1465" s="8"/>
      <c r="D1465" s="8"/>
      <c r="E1465" s="9"/>
      <c r="F1465" s="9"/>
      <c r="G1465" s="9"/>
      <c r="H1465" s="9"/>
      <c r="I1465" s="8"/>
      <c r="J1465" s="9"/>
      <c r="K1465" s="9"/>
      <c r="L1465" s="9"/>
      <c r="M1465" s="9"/>
      <c r="N1465" s="9"/>
      <c r="O1465" s="9"/>
      <c r="P1465" s="9"/>
    </row>
    <row r="1466">
      <c r="A1466" s="9"/>
      <c r="B1466" s="8"/>
      <c r="C1466" s="8"/>
      <c r="D1466" s="8"/>
      <c r="E1466" s="9"/>
      <c r="F1466" s="9"/>
      <c r="G1466" s="9"/>
      <c r="H1466" s="9"/>
      <c r="I1466" s="8"/>
      <c r="J1466" s="9"/>
      <c r="K1466" s="9"/>
      <c r="L1466" s="9"/>
      <c r="M1466" s="9"/>
      <c r="N1466" s="9"/>
      <c r="O1466" s="9"/>
      <c r="P1466" s="9"/>
    </row>
    <row r="1467">
      <c r="A1467" s="9"/>
      <c r="B1467" s="8"/>
      <c r="C1467" s="8"/>
      <c r="D1467" s="8"/>
      <c r="E1467" s="9"/>
      <c r="F1467" s="9"/>
      <c r="G1467" s="9"/>
      <c r="H1467" s="9"/>
      <c r="I1467" s="8"/>
      <c r="J1467" s="9"/>
      <c r="K1467" s="9"/>
      <c r="L1467" s="9"/>
      <c r="M1467" s="9"/>
      <c r="N1467" s="9"/>
      <c r="O1467" s="9"/>
      <c r="P1467" s="9"/>
    </row>
    <row r="1468">
      <c r="A1468" s="9"/>
      <c r="B1468" s="8"/>
      <c r="C1468" s="8"/>
      <c r="D1468" s="8"/>
      <c r="E1468" s="9"/>
      <c r="F1468" s="9"/>
      <c r="G1468" s="9"/>
      <c r="H1468" s="9"/>
      <c r="I1468" s="8"/>
      <c r="J1468" s="9"/>
      <c r="K1468" s="9"/>
      <c r="L1468" s="9"/>
      <c r="M1468" s="9"/>
      <c r="N1468" s="9"/>
      <c r="O1468" s="9"/>
      <c r="P1468" s="9"/>
    </row>
    <row r="1469">
      <c r="A1469" s="9"/>
      <c r="B1469" s="8"/>
      <c r="C1469" s="8"/>
      <c r="D1469" s="8"/>
      <c r="E1469" s="9"/>
      <c r="F1469" s="9"/>
      <c r="G1469" s="9"/>
      <c r="H1469" s="9"/>
      <c r="I1469" s="8"/>
      <c r="J1469" s="9"/>
      <c r="K1469" s="9"/>
      <c r="L1469" s="9"/>
      <c r="M1469" s="9"/>
      <c r="N1469" s="9"/>
      <c r="O1469" s="9"/>
      <c r="P1469" s="9"/>
    </row>
    <row r="1470">
      <c r="A1470" s="9"/>
      <c r="B1470" s="8"/>
      <c r="C1470" s="8"/>
      <c r="D1470" s="8"/>
      <c r="E1470" s="9"/>
      <c r="F1470" s="9"/>
      <c r="G1470" s="9"/>
      <c r="H1470" s="9"/>
      <c r="I1470" s="8"/>
      <c r="J1470" s="9"/>
      <c r="K1470" s="9"/>
      <c r="L1470" s="9"/>
      <c r="M1470" s="9"/>
      <c r="N1470" s="9"/>
      <c r="O1470" s="9"/>
      <c r="P1470" s="9"/>
    </row>
    <row r="1471">
      <c r="A1471" s="9"/>
      <c r="B1471" s="8"/>
      <c r="C1471" s="8"/>
      <c r="D1471" s="8"/>
      <c r="E1471" s="9"/>
      <c r="F1471" s="9"/>
      <c r="G1471" s="9"/>
      <c r="H1471" s="9"/>
      <c r="I1471" s="8"/>
      <c r="J1471" s="9"/>
      <c r="K1471" s="9"/>
      <c r="L1471" s="9"/>
      <c r="M1471" s="9"/>
      <c r="N1471" s="9"/>
      <c r="O1471" s="9"/>
      <c r="P1471" s="9"/>
    </row>
    <row r="1472">
      <c r="A1472" s="9"/>
      <c r="B1472" s="8"/>
      <c r="C1472" s="8"/>
      <c r="D1472" s="8"/>
      <c r="E1472" s="9"/>
      <c r="F1472" s="9"/>
      <c r="G1472" s="9"/>
      <c r="H1472" s="9"/>
      <c r="I1472" s="8"/>
      <c r="J1472" s="9"/>
      <c r="K1472" s="9"/>
      <c r="L1472" s="9"/>
      <c r="M1472" s="9"/>
      <c r="N1472" s="9"/>
      <c r="O1472" s="9"/>
      <c r="P1472" s="9"/>
    </row>
    <row r="1473">
      <c r="A1473" s="9"/>
      <c r="B1473" s="8"/>
      <c r="C1473" s="8"/>
      <c r="D1473" s="8"/>
      <c r="E1473" s="9"/>
      <c r="F1473" s="9"/>
      <c r="G1473" s="9"/>
      <c r="H1473" s="9"/>
      <c r="I1473" s="8"/>
      <c r="J1473" s="9"/>
      <c r="K1473" s="9"/>
      <c r="L1473" s="9"/>
      <c r="M1473" s="9"/>
      <c r="N1473" s="9"/>
      <c r="O1473" s="9"/>
      <c r="P1473" s="9"/>
    </row>
    <row r="1474">
      <c r="A1474" s="9"/>
      <c r="B1474" s="8"/>
      <c r="C1474" s="8"/>
      <c r="D1474" s="8"/>
      <c r="E1474" s="9"/>
      <c r="F1474" s="9"/>
      <c r="G1474" s="9"/>
      <c r="H1474" s="9"/>
      <c r="I1474" s="8"/>
      <c r="J1474" s="9"/>
      <c r="K1474" s="9"/>
      <c r="L1474" s="9"/>
      <c r="M1474" s="9"/>
      <c r="N1474" s="9"/>
      <c r="O1474" s="9"/>
      <c r="P1474" s="9"/>
    </row>
    <row r="1475">
      <c r="A1475" s="9"/>
      <c r="B1475" s="8"/>
      <c r="C1475" s="8"/>
      <c r="D1475" s="8"/>
      <c r="E1475" s="9"/>
      <c r="F1475" s="9"/>
      <c r="G1475" s="9"/>
      <c r="H1475" s="9"/>
      <c r="I1475" s="8"/>
      <c r="J1475" s="9"/>
      <c r="K1475" s="9"/>
      <c r="L1475" s="9"/>
      <c r="M1475" s="9"/>
      <c r="N1475" s="9"/>
      <c r="O1475" s="9"/>
      <c r="P1475" s="9"/>
    </row>
    <row r="1476">
      <c r="A1476" s="9"/>
      <c r="B1476" s="8"/>
      <c r="C1476" s="8"/>
      <c r="D1476" s="8"/>
      <c r="E1476" s="9"/>
      <c r="F1476" s="9"/>
      <c r="G1476" s="9"/>
      <c r="H1476" s="9"/>
      <c r="I1476" s="8"/>
      <c r="J1476" s="9"/>
      <c r="K1476" s="9"/>
      <c r="L1476" s="9"/>
      <c r="M1476" s="9"/>
      <c r="N1476" s="9"/>
      <c r="O1476" s="9"/>
      <c r="P1476" s="9"/>
    </row>
    <row r="1477">
      <c r="A1477" s="9"/>
      <c r="B1477" s="8"/>
      <c r="C1477" s="8"/>
      <c r="D1477" s="8"/>
      <c r="E1477" s="9"/>
      <c r="F1477" s="9"/>
      <c r="G1477" s="9"/>
      <c r="H1477" s="9"/>
      <c r="I1477" s="8"/>
      <c r="J1477" s="9"/>
      <c r="K1477" s="9"/>
      <c r="L1477" s="9"/>
      <c r="M1477" s="9"/>
      <c r="N1477" s="9"/>
      <c r="O1477" s="9"/>
      <c r="P1477" s="9"/>
    </row>
    <row r="1478">
      <c r="A1478" s="9"/>
      <c r="B1478" s="8"/>
      <c r="C1478" s="8"/>
      <c r="D1478" s="8"/>
      <c r="E1478" s="9"/>
      <c r="F1478" s="9"/>
      <c r="G1478" s="9"/>
      <c r="H1478" s="9"/>
      <c r="I1478" s="8"/>
      <c r="J1478" s="9"/>
      <c r="K1478" s="9"/>
      <c r="L1478" s="9"/>
      <c r="M1478" s="9"/>
      <c r="N1478" s="9"/>
      <c r="O1478" s="9"/>
      <c r="P1478" s="9"/>
    </row>
    <row r="1479">
      <c r="A1479" s="9"/>
      <c r="B1479" s="8"/>
      <c r="C1479" s="8"/>
      <c r="D1479" s="8"/>
      <c r="E1479" s="9"/>
      <c r="F1479" s="9"/>
      <c r="G1479" s="9"/>
      <c r="H1479" s="9"/>
      <c r="I1479" s="8"/>
      <c r="J1479" s="9"/>
      <c r="K1479" s="9"/>
      <c r="L1479" s="9"/>
      <c r="M1479" s="9"/>
      <c r="N1479" s="9"/>
      <c r="O1479" s="9"/>
      <c r="P1479" s="9"/>
    </row>
    <row r="1480">
      <c r="A1480" s="9"/>
      <c r="B1480" s="8"/>
      <c r="C1480" s="8"/>
      <c r="D1480" s="8"/>
      <c r="E1480" s="9"/>
      <c r="F1480" s="9"/>
      <c r="G1480" s="9"/>
      <c r="H1480" s="9"/>
      <c r="I1480" s="8"/>
      <c r="J1480" s="9"/>
      <c r="K1480" s="9"/>
      <c r="L1480" s="9"/>
      <c r="M1480" s="9"/>
      <c r="N1480" s="9"/>
      <c r="O1480" s="9"/>
      <c r="P1480" s="9"/>
    </row>
    <row r="1481">
      <c r="A1481" s="9"/>
      <c r="B1481" s="8"/>
      <c r="C1481" s="8"/>
      <c r="D1481" s="8"/>
      <c r="E1481" s="9"/>
      <c r="F1481" s="9"/>
      <c r="G1481" s="9"/>
      <c r="H1481" s="9"/>
      <c r="I1481" s="8"/>
      <c r="J1481" s="9"/>
      <c r="K1481" s="9"/>
      <c r="L1481" s="9"/>
      <c r="M1481" s="9"/>
      <c r="N1481" s="9"/>
      <c r="O1481" s="9"/>
      <c r="P1481" s="9"/>
    </row>
    <row r="1482">
      <c r="A1482" s="9"/>
      <c r="B1482" s="8"/>
      <c r="C1482" s="8"/>
      <c r="D1482" s="8"/>
      <c r="E1482" s="9"/>
      <c r="F1482" s="9"/>
      <c r="G1482" s="9"/>
      <c r="H1482" s="9"/>
      <c r="I1482" s="8"/>
      <c r="J1482" s="9"/>
      <c r="K1482" s="9"/>
      <c r="L1482" s="9"/>
      <c r="M1482" s="9"/>
      <c r="N1482" s="9"/>
      <c r="O1482" s="9"/>
      <c r="P1482" s="9"/>
    </row>
    <row r="1483">
      <c r="A1483" s="9"/>
      <c r="B1483" s="8"/>
      <c r="C1483" s="8"/>
      <c r="D1483" s="8"/>
      <c r="E1483" s="9"/>
      <c r="F1483" s="9"/>
      <c r="G1483" s="9"/>
      <c r="H1483" s="9"/>
      <c r="I1483" s="8"/>
      <c r="J1483" s="9"/>
      <c r="K1483" s="9"/>
      <c r="L1483" s="9"/>
      <c r="M1483" s="9"/>
      <c r="N1483" s="9"/>
      <c r="O1483" s="9"/>
      <c r="P1483" s="9"/>
    </row>
    <row r="1484">
      <c r="A1484" s="9"/>
      <c r="B1484" s="8"/>
      <c r="C1484" s="8"/>
      <c r="D1484" s="8"/>
      <c r="E1484" s="9"/>
      <c r="F1484" s="9"/>
      <c r="G1484" s="9"/>
      <c r="H1484" s="9"/>
      <c r="I1484" s="8"/>
      <c r="J1484" s="9"/>
      <c r="K1484" s="9"/>
      <c r="L1484" s="9"/>
      <c r="M1484" s="9"/>
      <c r="N1484" s="9"/>
      <c r="O1484" s="9"/>
      <c r="P1484" s="9"/>
    </row>
    <row r="1485">
      <c r="A1485" s="9"/>
      <c r="B1485" s="8"/>
      <c r="C1485" s="8"/>
      <c r="D1485" s="8"/>
      <c r="E1485" s="9"/>
      <c r="F1485" s="9"/>
      <c r="G1485" s="9"/>
      <c r="H1485" s="9"/>
      <c r="I1485" s="8"/>
      <c r="J1485" s="9"/>
      <c r="K1485" s="9"/>
      <c r="L1485" s="9"/>
      <c r="M1485" s="9"/>
      <c r="N1485" s="9"/>
      <c r="O1485" s="9"/>
      <c r="P1485" s="9"/>
    </row>
    <row r="1486">
      <c r="A1486" s="9"/>
      <c r="B1486" s="8"/>
      <c r="C1486" s="8"/>
      <c r="D1486" s="8"/>
      <c r="E1486" s="9"/>
      <c r="F1486" s="9"/>
      <c r="G1486" s="9"/>
      <c r="H1486" s="9"/>
      <c r="I1486" s="8"/>
      <c r="J1486" s="9"/>
      <c r="K1486" s="9"/>
      <c r="L1486" s="9"/>
      <c r="M1486" s="9"/>
      <c r="N1486" s="9"/>
      <c r="O1486" s="9"/>
      <c r="P1486" s="9"/>
    </row>
    <row r="1487">
      <c r="A1487" s="9"/>
      <c r="B1487" s="8"/>
      <c r="C1487" s="8"/>
      <c r="D1487" s="8"/>
      <c r="E1487" s="9"/>
      <c r="F1487" s="9"/>
      <c r="G1487" s="9"/>
      <c r="H1487" s="9"/>
      <c r="I1487" s="8"/>
      <c r="J1487" s="9"/>
      <c r="K1487" s="9"/>
      <c r="L1487" s="9"/>
      <c r="M1487" s="9"/>
      <c r="N1487" s="9"/>
      <c r="O1487" s="9"/>
      <c r="P1487" s="9"/>
    </row>
    <row r="1488">
      <c r="A1488" s="9"/>
      <c r="B1488" s="8"/>
      <c r="C1488" s="8"/>
      <c r="D1488" s="8"/>
      <c r="E1488" s="9"/>
      <c r="F1488" s="9"/>
      <c r="G1488" s="9"/>
      <c r="H1488" s="9"/>
      <c r="I1488" s="8"/>
      <c r="J1488" s="9"/>
      <c r="K1488" s="9"/>
      <c r="L1488" s="9"/>
      <c r="M1488" s="9"/>
      <c r="N1488" s="9"/>
      <c r="O1488" s="9"/>
      <c r="P1488" s="9"/>
    </row>
    <row r="1489">
      <c r="A1489" s="9"/>
      <c r="B1489" s="8"/>
      <c r="C1489" s="8"/>
      <c r="D1489" s="8"/>
      <c r="E1489" s="9"/>
      <c r="F1489" s="9"/>
      <c r="G1489" s="9"/>
      <c r="H1489" s="9"/>
      <c r="I1489" s="8"/>
      <c r="J1489" s="9"/>
      <c r="K1489" s="9"/>
      <c r="L1489" s="9"/>
      <c r="M1489" s="9"/>
      <c r="N1489" s="9"/>
      <c r="O1489" s="9"/>
      <c r="P1489" s="9"/>
    </row>
    <row r="1490">
      <c r="A1490" s="9"/>
      <c r="B1490" s="8"/>
      <c r="C1490" s="8"/>
      <c r="D1490" s="8"/>
      <c r="E1490" s="9"/>
      <c r="F1490" s="9"/>
      <c r="G1490" s="9"/>
      <c r="H1490" s="9"/>
      <c r="I1490" s="8"/>
      <c r="J1490" s="9"/>
      <c r="K1490" s="9"/>
      <c r="L1490" s="9"/>
      <c r="M1490" s="9"/>
      <c r="N1490" s="9"/>
      <c r="O1490" s="9"/>
      <c r="P1490" s="9"/>
    </row>
    <row r="1491">
      <c r="A1491" s="9"/>
      <c r="B1491" s="8"/>
      <c r="C1491" s="8"/>
      <c r="D1491" s="8"/>
      <c r="E1491" s="9"/>
      <c r="F1491" s="9"/>
      <c r="G1491" s="9"/>
      <c r="H1491" s="9"/>
      <c r="I1491" s="8"/>
      <c r="J1491" s="9"/>
      <c r="K1491" s="9"/>
      <c r="L1491" s="9"/>
      <c r="M1491" s="9"/>
      <c r="N1491" s="9"/>
      <c r="O1491" s="9"/>
      <c r="P1491" s="9"/>
    </row>
    <row r="1492">
      <c r="A1492" s="9"/>
      <c r="B1492" s="8"/>
      <c r="C1492" s="8"/>
      <c r="D1492" s="8"/>
      <c r="E1492" s="9"/>
      <c r="F1492" s="9"/>
      <c r="G1492" s="9"/>
      <c r="H1492" s="9"/>
      <c r="I1492" s="8"/>
      <c r="J1492" s="9"/>
      <c r="K1492" s="9"/>
      <c r="L1492" s="9"/>
      <c r="M1492" s="9"/>
      <c r="N1492" s="9"/>
      <c r="O1492" s="9"/>
      <c r="P1492" s="9"/>
    </row>
    <row r="1493">
      <c r="A1493" s="9"/>
      <c r="B1493" s="8"/>
      <c r="C1493" s="8"/>
      <c r="D1493" s="8"/>
      <c r="E1493" s="9"/>
      <c r="F1493" s="9"/>
      <c r="G1493" s="9"/>
      <c r="H1493" s="9"/>
      <c r="I1493" s="8"/>
      <c r="J1493" s="9"/>
      <c r="K1493" s="9"/>
      <c r="L1493" s="9"/>
      <c r="M1493" s="9"/>
      <c r="N1493" s="9"/>
      <c r="O1493" s="9"/>
      <c r="P1493" s="9"/>
    </row>
    <row r="1494">
      <c r="A1494" s="9"/>
      <c r="B1494" s="8"/>
      <c r="C1494" s="8"/>
      <c r="D1494" s="8"/>
      <c r="E1494" s="9"/>
      <c r="F1494" s="9"/>
      <c r="G1494" s="9"/>
      <c r="H1494" s="9"/>
      <c r="I1494" s="8"/>
      <c r="J1494" s="9"/>
      <c r="K1494" s="9"/>
      <c r="L1494" s="9"/>
      <c r="M1494" s="9"/>
      <c r="N1494" s="9"/>
      <c r="O1494" s="9"/>
      <c r="P1494" s="9"/>
    </row>
    <row r="1495">
      <c r="A1495" s="9"/>
      <c r="B1495" s="8"/>
      <c r="C1495" s="8"/>
      <c r="D1495" s="8"/>
      <c r="E1495" s="9"/>
      <c r="F1495" s="9"/>
      <c r="G1495" s="9"/>
      <c r="H1495" s="9"/>
      <c r="I1495" s="8"/>
      <c r="J1495" s="9"/>
      <c r="K1495" s="9"/>
      <c r="L1495" s="9"/>
      <c r="M1495" s="9"/>
      <c r="N1495" s="9"/>
      <c r="O1495" s="9"/>
      <c r="P1495" s="9"/>
    </row>
    <row r="1496">
      <c r="A1496" s="9"/>
      <c r="B1496" s="8"/>
      <c r="C1496" s="8"/>
      <c r="D1496" s="8"/>
      <c r="E1496" s="9"/>
      <c r="F1496" s="9"/>
      <c r="G1496" s="9"/>
      <c r="H1496" s="9"/>
      <c r="I1496" s="8"/>
      <c r="J1496" s="9"/>
      <c r="K1496" s="9"/>
      <c r="L1496" s="9"/>
      <c r="M1496" s="9"/>
      <c r="N1496" s="9"/>
      <c r="O1496" s="9"/>
      <c r="P1496" s="9"/>
    </row>
    <row r="1497">
      <c r="A1497" s="9"/>
      <c r="B1497" s="8"/>
      <c r="C1497" s="8"/>
      <c r="D1497" s="8"/>
      <c r="E1497" s="9"/>
      <c r="F1497" s="9"/>
      <c r="G1497" s="9"/>
      <c r="H1497" s="9"/>
      <c r="I1497" s="8"/>
      <c r="J1497" s="9"/>
      <c r="K1497" s="9"/>
      <c r="L1497" s="9"/>
      <c r="M1497" s="9"/>
      <c r="N1497" s="9"/>
      <c r="O1497" s="9"/>
      <c r="P1497" s="9"/>
    </row>
    <row r="1498">
      <c r="A1498" s="9"/>
      <c r="B1498" s="8"/>
      <c r="C1498" s="8"/>
      <c r="D1498" s="8"/>
      <c r="E1498" s="9"/>
      <c r="F1498" s="9"/>
      <c r="G1498" s="9"/>
      <c r="H1498" s="9"/>
      <c r="I1498" s="8"/>
      <c r="J1498" s="9"/>
      <c r="K1498" s="9"/>
      <c r="L1498" s="9"/>
      <c r="M1498" s="9"/>
      <c r="N1498" s="9"/>
      <c r="O1498" s="9"/>
      <c r="P1498" s="9"/>
    </row>
    <row r="1499">
      <c r="A1499" s="9"/>
      <c r="B1499" s="8"/>
      <c r="C1499" s="8"/>
      <c r="D1499" s="8"/>
      <c r="E1499" s="9"/>
      <c r="F1499" s="9"/>
      <c r="G1499" s="9"/>
      <c r="H1499" s="9"/>
      <c r="I1499" s="8"/>
      <c r="J1499" s="9"/>
      <c r="K1499" s="9"/>
      <c r="L1499" s="9"/>
      <c r="M1499" s="9"/>
      <c r="N1499" s="9"/>
      <c r="O1499" s="9"/>
      <c r="P1499" s="9"/>
    </row>
    <row r="1500">
      <c r="A1500" s="9"/>
      <c r="B1500" s="8"/>
      <c r="C1500" s="8"/>
      <c r="D1500" s="8"/>
      <c r="E1500" s="9"/>
      <c r="F1500" s="9"/>
      <c r="G1500" s="9"/>
      <c r="H1500" s="9"/>
      <c r="I1500" s="8"/>
      <c r="J1500" s="9"/>
      <c r="K1500" s="9"/>
      <c r="L1500" s="9"/>
      <c r="M1500" s="9"/>
      <c r="N1500" s="9"/>
      <c r="O1500" s="9"/>
      <c r="P1500" s="9"/>
    </row>
    <row r="1501">
      <c r="A1501" s="9"/>
      <c r="B1501" s="8"/>
      <c r="C1501" s="8"/>
      <c r="D1501" s="8"/>
      <c r="E1501" s="9"/>
      <c r="F1501" s="9"/>
      <c r="G1501" s="9"/>
      <c r="H1501" s="9"/>
      <c r="I1501" s="8"/>
      <c r="J1501" s="9"/>
      <c r="K1501" s="9"/>
      <c r="L1501" s="9"/>
      <c r="M1501" s="9"/>
      <c r="N1501" s="9"/>
      <c r="O1501" s="9"/>
      <c r="P1501" s="9"/>
    </row>
    <row r="1502">
      <c r="A1502" s="9"/>
      <c r="B1502" s="8"/>
      <c r="C1502" s="8"/>
      <c r="D1502" s="8"/>
      <c r="E1502" s="9"/>
      <c r="F1502" s="9"/>
      <c r="G1502" s="9"/>
      <c r="H1502" s="9"/>
      <c r="I1502" s="8"/>
      <c r="J1502" s="9"/>
      <c r="K1502" s="9"/>
      <c r="L1502" s="9"/>
      <c r="M1502" s="9"/>
      <c r="N1502" s="9"/>
      <c r="O1502" s="9"/>
      <c r="P1502" s="9"/>
    </row>
    <row r="1503">
      <c r="A1503" s="9"/>
      <c r="B1503" s="8"/>
      <c r="C1503" s="8"/>
      <c r="D1503" s="8"/>
      <c r="E1503" s="9"/>
      <c r="F1503" s="9"/>
      <c r="G1503" s="9"/>
      <c r="H1503" s="9"/>
      <c r="I1503" s="8"/>
      <c r="J1503" s="9"/>
      <c r="K1503" s="9"/>
      <c r="L1503" s="9"/>
      <c r="M1503" s="9"/>
      <c r="N1503" s="9"/>
      <c r="O1503" s="9"/>
      <c r="P1503" s="9"/>
    </row>
    <row r="1504">
      <c r="A1504" s="9"/>
      <c r="B1504" s="8"/>
      <c r="C1504" s="8"/>
      <c r="D1504" s="8"/>
      <c r="E1504" s="9"/>
      <c r="F1504" s="9"/>
      <c r="G1504" s="9"/>
      <c r="H1504" s="9"/>
      <c r="I1504" s="8"/>
      <c r="J1504" s="9"/>
      <c r="K1504" s="9"/>
      <c r="L1504" s="9"/>
      <c r="M1504" s="9"/>
      <c r="N1504" s="9"/>
      <c r="O1504" s="9"/>
      <c r="P1504" s="9"/>
    </row>
    <row r="1505">
      <c r="A1505" s="9"/>
      <c r="B1505" s="8"/>
      <c r="C1505" s="8"/>
      <c r="D1505" s="8"/>
      <c r="E1505" s="9"/>
      <c r="F1505" s="9"/>
      <c r="G1505" s="9"/>
      <c r="H1505" s="9"/>
      <c r="I1505" s="8"/>
      <c r="J1505" s="9"/>
      <c r="K1505" s="9"/>
      <c r="L1505" s="9"/>
      <c r="M1505" s="9"/>
      <c r="N1505" s="9"/>
      <c r="O1505" s="9"/>
      <c r="P1505" s="9"/>
    </row>
    <row r="1506">
      <c r="A1506" s="9"/>
      <c r="B1506" s="8"/>
      <c r="C1506" s="8"/>
      <c r="D1506" s="8"/>
      <c r="E1506" s="9"/>
      <c r="F1506" s="9"/>
      <c r="G1506" s="9"/>
      <c r="H1506" s="9"/>
      <c r="I1506" s="8"/>
      <c r="J1506" s="9"/>
      <c r="K1506" s="9"/>
      <c r="L1506" s="9"/>
      <c r="M1506" s="9"/>
      <c r="N1506" s="9"/>
      <c r="O1506" s="9"/>
      <c r="P1506" s="9"/>
    </row>
    <row r="1507">
      <c r="A1507" s="9"/>
      <c r="B1507" s="8"/>
      <c r="C1507" s="8"/>
      <c r="D1507" s="8"/>
      <c r="E1507" s="9"/>
      <c r="F1507" s="9"/>
      <c r="G1507" s="9"/>
      <c r="H1507" s="9"/>
      <c r="I1507" s="8"/>
      <c r="J1507" s="9"/>
      <c r="K1507" s="9"/>
      <c r="L1507" s="9"/>
      <c r="M1507" s="9"/>
      <c r="N1507" s="9"/>
      <c r="O1507" s="9"/>
      <c r="P1507" s="9"/>
    </row>
    <row r="1508">
      <c r="A1508" s="9"/>
      <c r="B1508" s="8"/>
      <c r="C1508" s="8"/>
      <c r="D1508" s="8"/>
      <c r="E1508" s="9"/>
      <c r="F1508" s="9"/>
      <c r="G1508" s="9"/>
      <c r="H1508" s="9"/>
      <c r="I1508" s="8"/>
      <c r="J1508" s="9"/>
      <c r="K1508" s="9"/>
      <c r="L1508" s="9"/>
      <c r="M1508" s="9"/>
      <c r="N1508" s="9"/>
      <c r="O1508" s="9"/>
      <c r="P1508" s="9"/>
    </row>
    <row r="1509">
      <c r="A1509" s="9"/>
      <c r="B1509" s="8"/>
      <c r="C1509" s="8"/>
      <c r="D1509" s="8"/>
      <c r="E1509" s="9"/>
      <c r="F1509" s="9"/>
      <c r="G1509" s="9"/>
      <c r="H1509" s="9"/>
      <c r="I1509" s="8"/>
      <c r="J1509" s="9"/>
      <c r="K1509" s="9"/>
      <c r="L1509" s="9"/>
      <c r="M1509" s="9"/>
      <c r="N1509" s="9"/>
      <c r="O1509" s="9"/>
      <c r="P1509" s="9"/>
    </row>
    <row r="1510">
      <c r="A1510" s="9"/>
      <c r="B1510" s="8"/>
      <c r="C1510" s="8"/>
      <c r="D1510" s="8"/>
      <c r="E1510" s="9"/>
      <c r="F1510" s="9"/>
      <c r="G1510" s="9"/>
      <c r="H1510" s="9"/>
      <c r="I1510" s="8"/>
      <c r="J1510" s="9"/>
      <c r="K1510" s="9"/>
      <c r="L1510" s="9"/>
      <c r="M1510" s="9"/>
      <c r="N1510" s="9"/>
      <c r="O1510" s="9"/>
      <c r="P1510" s="9"/>
    </row>
    <row r="1511">
      <c r="A1511" s="9"/>
      <c r="B1511" s="8"/>
      <c r="C1511" s="8"/>
      <c r="D1511" s="8"/>
      <c r="E1511" s="9"/>
      <c r="F1511" s="9"/>
      <c r="G1511" s="9"/>
      <c r="H1511" s="9"/>
      <c r="I1511" s="8"/>
      <c r="J1511" s="9"/>
      <c r="K1511" s="9"/>
      <c r="L1511" s="9"/>
      <c r="M1511" s="9"/>
      <c r="N1511" s="9"/>
      <c r="O1511" s="9"/>
      <c r="P1511" s="9"/>
    </row>
    <row r="1512">
      <c r="A1512" s="9"/>
      <c r="B1512" s="8"/>
      <c r="C1512" s="8"/>
      <c r="D1512" s="8"/>
      <c r="E1512" s="9"/>
      <c r="F1512" s="9"/>
      <c r="G1512" s="9"/>
      <c r="H1512" s="9"/>
      <c r="I1512" s="8"/>
      <c r="J1512" s="9"/>
      <c r="K1512" s="9"/>
      <c r="L1512" s="9"/>
      <c r="M1512" s="9"/>
      <c r="N1512" s="9"/>
      <c r="O1512" s="9"/>
      <c r="P1512" s="9"/>
    </row>
    <row r="1513">
      <c r="A1513" s="9"/>
      <c r="B1513" s="8"/>
      <c r="C1513" s="8"/>
      <c r="D1513" s="8"/>
      <c r="E1513" s="9"/>
      <c r="F1513" s="9"/>
      <c r="G1513" s="9"/>
      <c r="H1513" s="9"/>
      <c r="I1513" s="8"/>
      <c r="J1513" s="9"/>
      <c r="K1513" s="9"/>
      <c r="L1513" s="9"/>
      <c r="M1513" s="9"/>
      <c r="N1513" s="9"/>
      <c r="O1513" s="9"/>
      <c r="P1513" s="9"/>
    </row>
    <row r="1514">
      <c r="A1514" s="9"/>
      <c r="B1514" s="8"/>
      <c r="C1514" s="8"/>
      <c r="D1514" s="8"/>
      <c r="E1514" s="9"/>
      <c r="F1514" s="9"/>
      <c r="G1514" s="9"/>
      <c r="H1514" s="9"/>
      <c r="I1514" s="8"/>
      <c r="J1514" s="9"/>
      <c r="K1514" s="9"/>
      <c r="L1514" s="9"/>
      <c r="M1514" s="9"/>
      <c r="N1514" s="9"/>
      <c r="O1514" s="9"/>
      <c r="P1514" s="9"/>
    </row>
    <row r="1515">
      <c r="A1515" s="9"/>
      <c r="B1515" s="8"/>
      <c r="C1515" s="8"/>
      <c r="D1515" s="8"/>
      <c r="E1515" s="9"/>
      <c r="F1515" s="9"/>
      <c r="G1515" s="9"/>
      <c r="H1515" s="9"/>
      <c r="I1515" s="8"/>
      <c r="J1515" s="9"/>
      <c r="K1515" s="9"/>
      <c r="L1515" s="9"/>
      <c r="M1515" s="9"/>
      <c r="N1515" s="9"/>
      <c r="O1515" s="9"/>
      <c r="P1515" s="9"/>
    </row>
    <row r="1516">
      <c r="A1516" s="9"/>
      <c r="B1516" s="8"/>
      <c r="C1516" s="8"/>
      <c r="D1516" s="8"/>
      <c r="E1516" s="9"/>
      <c r="F1516" s="9"/>
      <c r="G1516" s="9"/>
      <c r="H1516" s="9"/>
      <c r="I1516" s="8"/>
      <c r="J1516" s="9"/>
      <c r="K1516" s="9"/>
      <c r="L1516" s="9"/>
      <c r="M1516" s="9"/>
      <c r="N1516" s="9"/>
      <c r="O1516" s="9"/>
      <c r="P1516" s="9"/>
    </row>
    <row r="1517">
      <c r="A1517" s="9"/>
      <c r="B1517" s="8"/>
      <c r="C1517" s="8"/>
      <c r="D1517" s="8"/>
      <c r="E1517" s="9"/>
      <c r="F1517" s="9"/>
      <c r="G1517" s="9"/>
      <c r="H1517" s="9"/>
      <c r="I1517" s="8"/>
      <c r="J1517" s="9"/>
      <c r="K1517" s="9"/>
      <c r="L1517" s="9"/>
      <c r="M1517" s="9"/>
      <c r="N1517" s="9"/>
      <c r="O1517" s="9"/>
      <c r="P1517" s="9"/>
    </row>
    <row r="1518">
      <c r="A1518" s="9"/>
      <c r="B1518" s="8"/>
      <c r="C1518" s="8"/>
      <c r="D1518" s="8"/>
      <c r="E1518" s="9"/>
      <c r="F1518" s="9"/>
      <c r="G1518" s="9"/>
      <c r="H1518" s="9"/>
      <c r="I1518" s="8"/>
      <c r="J1518" s="9"/>
      <c r="K1518" s="9"/>
      <c r="L1518" s="9"/>
      <c r="M1518" s="9"/>
      <c r="N1518" s="9"/>
      <c r="O1518" s="9"/>
      <c r="P1518" s="9"/>
    </row>
    <row r="1519">
      <c r="A1519" s="9"/>
      <c r="B1519" s="8"/>
      <c r="C1519" s="8"/>
      <c r="D1519" s="8"/>
      <c r="E1519" s="9"/>
      <c r="F1519" s="9"/>
      <c r="G1519" s="9"/>
      <c r="H1519" s="9"/>
      <c r="I1519" s="8"/>
      <c r="J1519" s="9"/>
      <c r="K1519" s="9"/>
      <c r="L1519" s="9"/>
      <c r="M1519" s="9"/>
      <c r="N1519" s="9"/>
      <c r="O1519" s="9"/>
      <c r="P1519" s="9"/>
    </row>
    <row r="1520">
      <c r="A1520" s="9"/>
      <c r="B1520" s="8"/>
      <c r="C1520" s="8"/>
      <c r="D1520" s="8"/>
      <c r="E1520" s="9"/>
      <c r="F1520" s="9"/>
      <c r="G1520" s="9"/>
      <c r="H1520" s="9"/>
      <c r="I1520" s="8"/>
      <c r="J1520" s="9"/>
      <c r="K1520" s="9"/>
      <c r="L1520" s="9"/>
      <c r="M1520" s="9"/>
      <c r="N1520" s="9"/>
      <c r="O1520" s="9"/>
      <c r="P1520" s="9"/>
    </row>
    <row r="1521">
      <c r="A1521" s="9"/>
      <c r="B1521" s="8"/>
      <c r="C1521" s="8"/>
      <c r="D1521" s="8"/>
      <c r="E1521" s="9"/>
      <c r="F1521" s="9"/>
      <c r="G1521" s="9"/>
      <c r="H1521" s="9"/>
      <c r="I1521" s="8"/>
      <c r="J1521" s="9"/>
      <c r="K1521" s="9"/>
      <c r="L1521" s="9"/>
      <c r="M1521" s="9"/>
      <c r="N1521" s="9"/>
      <c r="O1521" s="9"/>
      <c r="P1521" s="9"/>
    </row>
    <row r="1522">
      <c r="A1522" s="9"/>
      <c r="B1522" s="8"/>
      <c r="C1522" s="8"/>
      <c r="D1522" s="8"/>
      <c r="E1522" s="9"/>
      <c r="F1522" s="9"/>
      <c r="G1522" s="9"/>
      <c r="H1522" s="9"/>
      <c r="I1522" s="8"/>
      <c r="J1522" s="9"/>
      <c r="K1522" s="9"/>
      <c r="L1522" s="9"/>
      <c r="M1522" s="9"/>
      <c r="N1522" s="9"/>
      <c r="O1522" s="9"/>
      <c r="P1522" s="9"/>
    </row>
    <row r="1523">
      <c r="A1523" s="9"/>
      <c r="B1523" s="8"/>
      <c r="C1523" s="8"/>
      <c r="D1523" s="8"/>
      <c r="E1523" s="9"/>
      <c r="F1523" s="9"/>
      <c r="G1523" s="9"/>
      <c r="H1523" s="9"/>
      <c r="I1523" s="8"/>
      <c r="J1523" s="9"/>
      <c r="K1523" s="9"/>
      <c r="L1523" s="9"/>
      <c r="M1523" s="9"/>
      <c r="N1523" s="9"/>
      <c r="O1523" s="9"/>
      <c r="P1523" s="9"/>
    </row>
    <row r="1524">
      <c r="A1524" s="9"/>
      <c r="B1524" s="8"/>
      <c r="C1524" s="8"/>
      <c r="D1524" s="8"/>
      <c r="E1524" s="9"/>
      <c r="F1524" s="9"/>
      <c r="G1524" s="9"/>
      <c r="H1524" s="9"/>
      <c r="I1524" s="8"/>
      <c r="J1524" s="9"/>
      <c r="K1524" s="9"/>
      <c r="L1524" s="9"/>
      <c r="M1524" s="9"/>
      <c r="N1524" s="9"/>
      <c r="O1524" s="9"/>
      <c r="P1524" s="9"/>
    </row>
    <row r="1525">
      <c r="A1525" s="9"/>
      <c r="B1525" s="8"/>
      <c r="C1525" s="8"/>
      <c r="D1525" s="8"/>
      <c r="E1525" s="9"/>
      <c r="F1525" s="9"/>
      <c r="G1525" s="9"/>
      <c r="H1525" s="9"/>
      <c r="I1525" s="8"/>
      <c r="J1525" s="9"/>
      <c r="K1525" s="9"/>
      <c r="L1525" s="9"/>
      <c r="M1525" s="9"/>
      <c r="N1525" s="9"/>
      <c r="O1525" s="9"/>
      <c r="P1525" s="9"/>
    </row>
    <row r="1526">
      <c r="A1526" s="9"/>
      <c r="B1526" s="8"/>
      <c r="C1526" s="8"/>
      <c r="D1526" s="8"/>
      <c r="E1526" s="9"/>
      <c r="F1526" s="9"/>
      <c r="G1526" s="9"/>
      <c r="H1526" s="9"/>
      <c r="I1526" s="8"/>
      <c r="J1526" s="9"/>
      <c r="K1526" s="9"/>
      <c r="L1526" s="9"/>
      <c r="M1526" s="9"/>
      <c r="N1526" s="9"/>
      <c r="O1526" s="9"/>
      <c r="P1526" s="9"/>
    </row>
    <row r="1527">
      <c r="A1527" s="9"/>
      <c r="B1527" s="8"/>
      <c r="C1527" s="8"/>
      <c r="D1527" s="8"/>
      <c r="E1527" s="9"/>
      <c r="F1527" s="9"/>
      <c r="G1527" s="9"/>
      <c r="H1527" s="9"/>
      <c r="I1527" s="8"/>
      <c r="J1527" s="9"/>
      <c r="K1527" s="9"/>
      <c r="L1527" s="9"/>
      <c r="M1527" s="9"/>
      <c r="N1527" s="9"/>
      <c r="O1527" s="9"/>
      <c r="P1527" s="9"/>
    </row>
    <row r="1528">
      <c r="A1528" s="9"/>
      <c r="B1528" s="8"/>
      <c r="C1528" s="8"/>
      <c r="D1528" s="8"/>
      <c r="E1528" s="9"/>
      <c r="F1528" s="9"/>
      <c r="G1528" s="9"/>
      <c r="H1528" s="9"/>
      <c r="I1528" s="8"/>
      <c r="J1528" s="9"/>
      <c r="K1528" s="9"/>
      <c r="L1528" s="9"/>
      <c r="M1528" s="9"/>
      <c r="N1528" s="9"/>
      <c r="O1528" s="9"/>
      <c r="P1528" s="9"/>
    </row>
    <row r="1529">
      <c r="A1529" s="9"/>
      <c r="B1529" s="8"/>
      <c r="C1529" s="8"/>
      <c r="D1529" s="8"/>
      <c r="E1529" s="9"/>
      <c r="F1529" s="9"/>
      <c r="G1529" s="9"/>
      <c r="H1529" s="9"/>
      <c r="I1529" s="8"/>
      <c r="J1529" s="9"/>
      <c r="K1529" s="9"/>
      <c r="L1529" s="9"/>
      <c r="M1529" s="9"/>
      <c r="N1529" s="9"/>
      <c r="O1529" s="9"/>
      <c r="P1529" s="9"/>
    </row>
    <row r="1530">
      <c r="A1530" s="9"/>
      <c r="B1530" s="8"/>
      <c r="C1530" s="8"/>
      <c r="D1530" s="8"/>
      <c r="E1530" s="9"/>
      <c r="F1530" s="9"/>
      <c r="G1530" s="9"/>
      <c r="H1530" s="9"/>
      <c r="I1530" s="8"/>
      <c r="J1530" s="9"/>
      <c r="K1530" s="9"/>
      <c r="L1530" s="9"/>
      <c r="M1530" s="9"/>
      <c r="N1530" s="9"/>
      <c r="O1530" s="9"/>
      <c r="P1530" s="9"/>
    </row>
    <row r="1531">
      <c r="A1531" s="9"/>
      <c r="B1531" s="8"/>
      <c r="C1531" s="8"/>
      <c r="D1531" s="8"/>
      <c r="E1531" s="9"/>
      <c r="F1531" s="9"/>
      <c r="G1531" s="9"/>
      <c r="H1531" s="9"/>
      <c r="I1531" s="8"/>
      <c r="J1531" s="9"/>
      <c r="K1531" s="9"/>
      <c r="L1531" s="9"/>
      <c r="M1531" s="9"/>
      <c r="N1531" s="9"/>
      <c r="O1531" s="9"/>
      <c r="P1531" s="9"/>
    </row>
    <row r="1532">
      <c r="A1532" s="9"/>
      <c r="B1532" s="8"/>
      <c r="C1532" s="8"/>
      <c r="D1532" s="8"/>
      <c r="E1532" s="9"/>
      <c r="F1532" s="9"/>
      <c r="G1532" s="9"/>
      <c r="H1532" s="9"/>
      <c r="I1532" s="8"/>
      <c r="J1532" s="9"/>
      <c r="K1532" s="9"/>
      <c r="L1532" s="9"/>
      <c r="M1532" s="9"/>
      <c r="N1532" s="9"/>
      <c r="O1532" s="9"/>
      <c r="P1532" s="9"/>
    </row>
    <row r="1533">
      <c r="A1533" s="9"/>
      <c r="B1533" s="8"/>
      <c r="C1533" s="8"/>
      <c r="D1533" s="8"/>
      <c r="E1533" s="9"/>
      <c r="F1533" s="9"/>
      <c r="G1533" s="9"/>
      <c r="H1533" s="9"/>
      <c r="I1533" s="8"/>
      <c r="J1533" s="9"/>
      <c r="K1533" s="9"/>
      <c r="L1533" s="9"/>
      <c r="M1533" s="9"/>
      <c r="N1533" s="9"/>
      <c r="O1533" s="9"/>
      <c r="P1533" s="9"/>
    </row>
    <row r="1534">
      <c r="A1534" s="9"/>
      <c r="B1534" s="8"/>
      <c r="C1534" s="8"/>
      <c r="D1534" s="8"/>
      <c r="E1534" s="9"/>
      <c r="F1534" s="9"/>
      <c r="G1534" s="9"/>
      <c r="H1534" s="9"/>
      <c r="I1534" s="8"/>
      <c r="J1534" s="9"/>
      <c r="K1534" s="9"/>
      <c r="L1534" s="9"/>
      <c r="M1534" s="9"/>
      <c r="N1534" s="9"/>
      <c r="O1534" s="9"/>
      <c r="P1534" s="9"/>
    </row>
    <row r="1535">
      <c r="A1535" s="9"/>
      <c r="B1535" s="8"/>
      <c r="C1535" s="8"/>
      <c r="D1535" s="8"/>
      <c r="E1535" s="9"/>
      <c r="F1535" s="9"/>
      <c r="G1535" s="9"/>
      <c r="H1535" s="9"/>
      <c r="I1535" s="8"/>
      <c r="J1535" s="9"/>
      <c r="K1535" s="9"/>
      <c r="L1535" s="9"/>
      <c r="M1535" s="9"/>
      <c r="N1535" s="9"/>
      <c r="O1535" s="9"/>
      <c r="P1535" s="9"/>
    </row>
    <row r="1536">
      <c r="A1536" s="9"/>
      <c r="B1536" s="8"/>
      <c r="C1536" s="8"/>
      <c r="D1536" s="8"/>
      <c r="E1536" s="9"/>
      <c r="F1536" s="9"/>
      <c r="G1536" s="9"/>
      <c r="H1536" s="9"/>
      <c r="I1536" s="8"/>
      <c r="J1536" s="9"/>
      <c r="K1536" s="9"/>
      <c r="L1536" s="9"/>
      <c r="M1536" s="9"/>
      <c r="N1536" s="9"/>
      <c r="O1536" s="9"/>
      <c r="P1536" s="9"/>
    </row>
    <row r="1537">
      <c r="A1537" s="9"/>
      <c r="B1537" s="8"/>
      <c r="C1537" s="8"/>
      <c r="D1537" s="8"/>
      <c r="E1537" s="9"/>
      <c r="F1537" s="9"/>
      <c r="G1537" s="9"/>
      <c r="H1537" s="9"/>
      <c r="I1537" s="8"/>
      <c r="J1537" s="9"/>
      <c r="K1537" s="9"/>
      <c r="L1537" s="9"/>
      <c r="M1537" s="9"/>
      <c r="N1537" s="9"/>
      <c r="O1537" s="9"/>
      <c r="P1537" s="9"/>
    </row>
    <row r="1538">
      <c r="A1538" s="9"/>
      <c r="B1538" s="8"/>
      <c r="C1538" s="8"/>
      <c r="D1538" s="8"/>
      <c r="E1538" s="9"/>
      <c r="F1538" s="9"/>
      <c r="G1538" s="9"/>
      <c r="H1538" s="9"/>
      <c r="I1538" s="8"/>
      <c r="J1538" s="9"/>
      <c r="K1538" s="9"/>
      <c r="L1538" s="9"/>
      <c r="M1538" s="9"/>
      <c r="N1538" s="9"/>
      <c r="O1538" s="9"/>
      <c r="P1538" s="9"/>
    </row>
    <row r="1539">
      <c r="A1539" s="9"/>
      <c r="B1539" s="8"/>
      <c r="C1539" s="8"/>
      <c r="D1539" s="8"/>
      <c r="E1539" s="9"/>
      <c r="F1539" s="9"/>
      <c r="G1539" s="9"/>
      <c r="H1539" s="9"/>
      <c r="I1539" s="8"/>
      <c r="J1539" s="9"/>
      <c r="K1539" s="9"/>
      <c r="L1539" s="9"/>
      <c r="M1539" s="9"/>
      <c r="N1539" s="9"/>
      <c r="O1539" s="9"/>
      <c r="P1539" s="9"/>
    </row>
    <row r="1540">
      <c r="A1540" s="9"/>
      <c r="B1540" s="8"/>
      <c r="C1540" s="8"/>
      <c r="D1540" s="8"/>
      <c r="E1540" s="9"/>
      <c r="F1540" s="9"/>
      <c r="G1540" s="9"/>
      <c r="H1540" s="9"/>
      <c r="I1540" s="8"/>
      <c r="J1540" s="9"/>
      <c r="K1540" s="9"/>
      <c r="L1540" s="9"/>
      <c r="M1540" s="9"/>
      <c r="N1540" s="9"/>
      <c r="O1540" s="9"/>
      <c r="P1540" s="9"/>
    </row>
    <row r="1541">
      <c r="A1541" s="9"/>
      <c r="B1541" s="8"/>
      <c r="C1541" s="8"/>
      <c r="D1541" s="8"/>
      <c r="E1541" s="9"/>
      <c r="F1541" s="9"/>
      <c r="G1541" s="9"/>
      <c r="H1541" s="9"/>
      <c r="I1541" s="8"/>
      <c r="J1541" s="9"/>
      <c r="K1541" s="9"/>
      <c r="L1541" s="9"/>
      <c r="M1541" s="9"/>
      <c r="N1541" s="9"/>
      <c r="O1541" s="9"/>
      <c r="P1541" s="9"/>
    </row>
    <row r="1542">
      <c r="A1542" s="9"/>
      <c r="B1542" s="8"/>
      <c r="C1542" s="8"/>
      <c r="D1542" s="8"/>
      <c r="E1542" s="9"/>
      <c r="F1542" s="9"/>
      <c r="G1542" s="9"/>
      <c r="H1542" s="9"/>
      <c r="I1542" s="8"/>
      <c r="J1542" s="9"/>
      <c r="K1542" s="9"/>
      <c r="L1542" s="9"/>
      <c r="M1542" s="9"/>
      <c r="N1542" s="9"/>
      <c r="O1542" s="9"/>
      <c r="P1542" s="9"/>
    </row>
    <row r="1543">
      <c r="A1543" s="9"/>
      <c r="B1543" s="8"/>
      <c r="C1543" s="8"/>
      <c r="D1543" s="8"/>
      <c r="E1543" s="9"/>
      <c r="F1543" s="9"/>
      <c r="G1543" s="9"/>
      <c r="H1543" s="9"/>
      <c r="I1543" s="8"/>
      <c r="J1543" s="9"/>
      <c r="K1543" s="9"/>
      <c r="L1543" s="9"/>
      <c r="M1543" s="9"/>
      <c r="N1543" s="9"/>
      <c r="O1543" s="9"/>
      <c r="P1543" s="9"/>
    </row>
    <row r="1544">
      <c r="A1544" s="9"/>
      <c r="B1544" s="8"/>
      <c r="C1544" s="8"/>
      <c r="D1544" s="8"/>
      <c r="E1544" s="9"/>
      <c r="F1544" s="9"/>
      <c r="G1544" s="9"/>
      <c r="H1544" s="9"/>
      <c r="I1544" s="8"/>
      <c r="J1544" s="9"/>
      <c r="K1544" s="9"/>
      <c r="L1544" s="9"/>
      <c r="M1544" s="9"/>
      <c r="N1544" s="9"/>
      <c r="O1544" s="9"/>
      <c r="P1544" s="9"/>
    </row>
    <row r="1545">
      <c r="A1545" s="9"/>
      <c r="B1545" s="8"/>
      <c r="C1545" s="8"/>
      <c r="D1545" s="8"/>
      <c r="E1545" s="9"/>
      <c r="F1545" s="9"/>
      <c r="G1545" s="9"/>
      <c r="H1545" s="9"/>
      <c r="I1545" s="8"/>
      <c r="J1545" s="9"/>
      <c r="K1545" s="9"/>
      <c r="L1545" s="9"/>
      <c r="M1545" s="9"/>
      <c r="N1545" s="9"/>
      <c r="O1545" s="9"/>
      <c r="P1545" s="9"/>
    </row>
    <row r="1546">
      <c r="A1546" s="9"/>
      <c r="B1546" s="8"/>
      <c r="C1546" s="8"/>
      <c r="D1546" s="8"/>
      <c r="E1546" s="9"/>
      <c r="F1546" s="9"/>
      <c r="G1546" s="9"/>
      <c r="H1546" s="9"/>
      <c r="I1546" s="8"/>
      <c r="J1546" s="9"/>
      <c r="K1546" s="9"/>
      <c r="L1546" s="9"/>
      <c r="M1546" s="9"/>
      <c r="N1546" s="9"/>
      <c r="O1546" s="9"/>
      <c r="P1546" s="9"/>
    </row>
    <row r="1547">
      <c r="A1547" s="9"/>
      <c r="B1547" s="8"/>
      <c r="C1547" s="8"/>
      <c r="D1547" s="8"/>
      <c r="E1547" s="9"/>
      <c r="F1547" s="9"/>
      <c r="G1547" s="9"/>
      <c r="H1547" s="9"/>
      <c r="I1547" s="8"/>
      <c r="J1547" s="9"/>
      <c r="K1547" s="9"/>
      <c r="L1547" s="9"/>
      <c r="M1547" s="9"/>
      <c r="N1547" s="9"/>
      <c r="O1547" s="9"/>
      <c r="P1547" s="9"/>
    </row>
    <row r="1548">
      <c r="A1548" s="9"/>
      <c r="B1548" s="8"/>
      <c r="C1548" s="8"/>
      <c r="D1548" s="8"/>
      <c r="E1548" s="9"/>
      <c r="F1548" s="9"/>
      <c r="G1548" s="9"/>
      <c r="H1548" s="9"/>
      <c r="I1548" s="8"/>
      <c r="J1548" s="9"/>
      <c r="K1548" s="9"/>
      <c r="L1548" s="9"/>
      <c r="M1548" s="9"/>
      <c r="N1548" s="9"/>
      <c r="O1548" s="9"/>
      <c r="P1548" s="9"/>
    </row>
    <row r="1549">
      <c r="A1549" s="9"/>
      <c r="B1549" s="8"/>
      <c r="C1549" s="8"/>
      <c r="D1549" s="8"/>
      <c r="E1549" s="9"/>
      <c r="F1549" s="9"/>
      <c r="G1549" s="9"/>
      <c r="H1549" s="9"/>
      <c r="I1549" s="8"/>
      <c r="J1549" s="9"/>
      <c r="K1549" s="9"/>
      <c r="L1549" s="9"/>
      <c r="M1549" s="9"/>
      <c r="N1549" s="9"/>
      <c r="O1549" s="9"/>
      <c r="P1549" s="9"/>
    </row>
    <row r="1550">
      <c r="A1550" s="9"/>
      <c r="B1550" s="8"/>
      <c r="C1550" s="8"/>
      <c r="D1550" s="8"/>
      <c r="E1550" s="9"/>
      <c r="F1550" s="9"/>
      <c r="G1550" s="9"/>
      <c r="H1550" s="9"/>
      <c r="I1550" s="8"/>
      <c r="J1550" s="9"/>
      <c r="K1550" s="9"/>
      <c r="L1550" s="9"/>
      <c r="M1550" s="9"/>
      <c r="N1550" s="9"/>
      <c r="O1550" s="9"/>
      <c r="P1550" s="9"/>
    </row>
    <row r="1551">
      <c r="A1551" s="9"/>
      <c r="B1551" s="8"/>
      <c r="C1551" s="8"/>
      <c r="D1551" s="8"/>
      <c r="E1551" s="9"/>
      <c r="F1551" s="9"/>
      <c r="G1551" s="9"/>
      <c r="H1551" s="9"/>
      <c r="I1551" s="8"/>
      <c r="J1551" s="9"/>
      <c r="K1551" s="9"/>
      <c r="L1551" s="9"/>
      <c r="M1551" s="9"/>
      <c r="N1551" s="9"/>
      <c r="O1551" s="9"/>
      <c r="P1551" s="9"/>
    </row>
    <row r="1552">
      <c r="A1552" s="9"/>
      <c r="B1552" s="8"/>
      <c r="C1552" s="8"/>
      <c r="D1552" s="8"/>
      <c r="E1552" s="9"/>
      <c r="F1552" s="9"/>
      <c r="G1552" s="9"/>
      <c r="H1552" s="9"/>
      <c r="I1552" s="8"/>
      <c r="J1552" s="9"/>
      <c r="K1552" s="9"/>
      <c r="L1552" s="9"/>
      <c r="M1552" s="9"/>
      <c r="N1552" s="9"/>
      <c r="O1552" s="9"/>
      <c r="P1552" s="9"/>
    </row>
    <row r="1553">
      <c r="A1553" s="9"/>
      <c r="B1553" s="8"/>
      <c r="C1553" s="8"/>
      <c r="D1553" s="8"/>
      <c r="E1553" s="9"/>
      <c r="F1553" s="9"/>
      <c r="G1553" s="9"/>
      <c r="H1553" s="9"/>
      <c r="I1553" s="8"/>
      <c r="J1553" s="9"/>
      <c r="K1553" s="9"/>
      <c r="L1553" s="9"/>
      <c r="M1553" s="9"/>
      <c r="N1553" s="9"/>
      <c r="O1553" s="9"/>
      <c r="P1553" s="9"/>
    </row>
    <row r="1554">
      <c r="A1554" s="9"/>
      <c r="B1554" s="8"/>
      <c r="C1554" s="8"/>
      <c r="D1554" s="8"/>
      <c r="E1554" s="9"/>
      <c r="F1554" s="9"/>
      <c r="G1554" s="9"/>
      <c r="H1554" s="9"/>
      <c r="I1554" s="8"/>
      <c r="J1554" s="9"/>
      <c r="K1554" s="9"/>
      <c r="L1554" s="9"/>
      <c r="M1554" s="9"/>
      <c r="N1554" s="9"/>
      <c r="O1554" s="9"/>
      <c r="P1554" s="9"/>
    </row>
    <row r="1555">
      <c r="A1555" s="9"/>
      <c r="B1555" s="8"/>
      <c r="C1555" s="8"/>
      <c r="D1555" s="8"/>
      <c r="E1555" s="9"/>
      <c r="F1555" s="9"/>
      <c r="G1555" s="9"/>
      <c r="H1555" s="9"/>
      <c r="I1555" s="8"/>
      <c r="J1555" s="9"/>
      <c r="K1555" s="9"/>
      <c r="L1555" s="9"/>
      <c r="M1555" s="9"/>
      <c r="N1555" s="9"/>
      <c r="O1555" s="9"/>
      <c r="P1555" s="9"/>
    </row>
    <row r="1556">
      <c r="A1556" s="9"/>
      <c r="B1556" s="8"/>
      <c r="C1556" s="8"/>
      <c r="D1556" s="8"/>
      <c r="E1556" s="9"/>
      <c r="F1556" s="9"/>
      <c r="G1556" s="9"/>
      <c r="H1556" s="9"/>
      <c r="I1556" s="8"/>
      <c r="J1556" s="9"/>
      <c r="K1556" s="9"/>
      <c r="L1556" s="9"/>
      <c r="M1556" s="9"/>
      <c r="N1556" s="9"/>
      <c r="O1556" s="9"/>
      <c r="P1556" s="9"/>
    </row>
    <row r="1557">
      <c r="A1557" s="9"/>
      <c r="B1557" s="8"/>
      <c r="C1557" s="8"/>
      <c r="D1557" s="8"/>
      <c r="E1557" s="9"/>
      <c r="F1557" s="9"/>
      <c r="G1557" s="9"/>
      <c r="H1557" s="9"/>
      <c r="I1557" s="8"/>
      <c r="J1557" s="9"/>
      <c r="K1557" s="9"/>
      <c r="L1557" s="9"/>
      <c r="M1557" s="9"/>
      <c r="N1557" s="9"/>
      <c r="O1557" s="9"/>
      <c r="P1557" s="9"/>
    </row>
    <row r="1558">
      <c r="A1558" s="9"/>
      <c r="B1558" s="8"/>
      <c r="C1558" s="8"/>
      <c r="D1558" s="8"/>
      <c r="E1558" s="9"/>
      <c r="F1558" s="9"/>
      <c r="G1558" s="9"/>
      <c r="H1558" s="9"/>
      <c r="I1558" s="8"/>
      <c r="J1558" s="9"/>
      <c r="K1558" s="9"/>
      <c r="L1558" s="9"/>
      <c r="M1558" s="9"/>
      <c r="N1558" s="9"/>
      <c r="O1558" s="9"/>
      <c r="P1558" s="9"/>
    </row>
    <row r="1559">
      <c r="A1559" s="9"/>
      <c r="B1559" s="8"/>
      <c r="C1559" s="8"/>
      <c r="D1559" s="8"/>
      <c r="E1559" s="9"/>
      <c r="F1559" s="9"/>
      <c r="G1559" s="9"/>
      <c r="H1559" s="9"/>
      <c r="I1559" s="8"/>
      <c r="J1559" s="9"/>
      <c r="K1559" s="9"/>
      <c r="L1559" s="9"/>
      <c r="M1559" s="9"/>
      <c r="N1559" s="9"/>
      <c r="O1559" s="9"/>
      <c r="P1559" s="9"/>
    </row>
    <row r="1560">
      <c r="A1560" s="9"/>
      <c r="B1560" s="8"/>
      <c r="C1560" s="8"/>
      <c r="D1560" s="8"/>
      <c r="E1560" s="9"/>
      <c r="F1560" s="9"/>
      <c r="G1560" s="9"/>
      <c r="H1560" s="9"/>
      <c r="I1560" s="8"/>
      <c r="J1560" s="9"/>
      <c r="K1560" s="9"/>
      <c r="L1560" s="9"/>
      <c r="M1560" s="9"/>
      <c r="N1560" s="9"/>
      <c r="O1560" s="9"/>
      <c r="P1560" s="9"/>
    </row>
    <row r="1561">
      <c r="A1561" s="9"/>
      <c r="B1561" s="8"/>
      <c r="C1561" s="8"/>
      <c r="D1561" s="8"/>
      <c r="E1561" s="9"/>
      <c r="F1561" s="9"/>
      <c r="G1561" s="9"/>
      <c r="H1561" s="9"/>
      <c r="I1561" s="8"/>
      <c r="J1561" s="9"/>
      <c r="K1561" s="9"/>
      <c r="L1561" s="9"/>
      <c r="M1561" s="9"/>
      <c r="N1561" s="9"/>
      <c r="O1561" s="9"/>
      <c r="P1561" s="9"/>
    </row>
    <row r="1562">
      <c r="A1562" s="9"/>
      <c r="B1562" s="8"/>
      <c r="C1562" s="8"/>
      <c r="D1562" s="8"/>
      <c r="E1562" s="9"/>
      <c r="F1562" s="9"/>
      <c r="G1562" s="9"/>
      <c r="H1562" s="9"/>
      <c r="I1562" s="8"/>
      <c r="J1562" s="9"/>
      <c r="K1562" s="9"/>
      <c r="L1562" s="9"/>
      <c r="M1562" s="9"/>
      <c r="N1562" s="9"/>
      <c r="O1562" s="9"/>
      <c r="P1562" s="9"/>
    </row>
    <row r="1563">
      <c r="A1563" s="9"/>
      <c r="B1563" s="8"/>
      <c r="C1563" s="8"/>
      <c r="D1563" s="8"/>
      <c r="E1563" s="9"/>
      <c r="F1563" s="9"/>
      <c r="G1563" s="9"/>
      <c r="H1563" s="9"/>
      <c r="I1563" s="8"/>
      <c r="J1563" s="9"/>
      <c r="K1563" s="9"/>
      <c r="L1563" s="9"/>
      <c r="M1563" s="9"/>
      <c r="N1563" s="9"/>
      <c r="O1563" s="9"/>
      <c r="P1563" s="9"/>
    </row>
    <row r="1564">
      <c r="A1564" s="9"/>
      <c r="B1564" s="8"/>
      <c r="C1564" s="8"/>
      <c r="D1564" s="8"/>
      <c r="E1564" s="9"/>
      <c r="F1564" s="9"/>
      <c r="G1564" s="9"/>
      <c r="H1564" s="9"/>
      <c r="I1564" s="8"/>
      <c r="J1564" s="9"/>
      <c r="K1564" s="9"/>
      <c r="L1564" s="9"/>
      <c r="M1564" s="9"/>
      <c r="N1564" s="9"/>
      <c r="O1564" s="9"/>
      <c r="P1564" s="9"/>
    </row>
    <row r="1565">
      <c r="A1565" s="9"/>
      <c r="B1565" s="8"/>
      <c r="C1565" s="8"/>
      <c r="D1565" s="8"/>
      <c r="E1565" s="9"/>
      <c r="F1565" s="9"/>
      <c r="G1565" s="9"/>
      <c r="H1565" s="9"/>
      <c r="I1565" s="8"/>
      <c r="J1565" s="9"/>
      <c r="K1565" s="9"/>
      <c r="L1565" s="9"/>
      <c r="M1565" s="9"/>
      <c r="N1565" s="9"/>
      <c r="O1565" s="9"/>
      <c r="P1565" s="9"/>
    </row>
    <row r="1566">
      <c r="A1566" s="9"/>
      <c r="B1566" s="8"/>
      <c r="C1566" s="8"/>
      <c r="D1566" s="8"/>
      <c r="E1566" s="9"/>
      <c r="F1566" s="9"/>
      <c r="G1566" s="9"/>
      <c r="H1566" s="9"/>
      <c r="I1566" s="8"/>
      <c r="J1566" s="9"/>
      <c r="K1566" s="9"/>
      <c r="L1566" s="9"/>
      <c r="M1566" s="9"/>
      <c r="N1566" s="9"/>
      <c r="O1566" s="9"/>
      <c r="P1566" s="9"/>
    </row>
    <row r="1567">
      <c r="A1567" s="9"/>
      <c r="B1567" s="8"/>
      <c r="C1567" s="8"/>
      <c r="D1567" s="8"/>
      <c r="E1567" s="9"/>
      <c r="F1567" s="9"/>
      <c r="G1567" s="9"/>
      <c r="H1567" s="9"/>
      <c r="I1567" s="8"/>
      <c r="J1567" s="9"/>
      <c r="K1567" s="9"/>
      <c r="L1567" s="9"/>
      <c r="M1567" s="9"/>
      <c r="N1567" s="9"/>
      <c r="O1567" s="9"/>
      <c r="P1567" s="9"/>
    </row>
    <row r="1568">
      <c r="A1568" s="9"/>
      <c r="B1568" s="8"/>
      <c r="C1568" s="8"/>
      <c r="D1568" s="8"/>
      <c r="E1568" s="9"/>
      <c r="F1568" s="9"/>
      <c r="G1568" s="9"/>
      <c r="H1568" s="9"/>
      <c r="I1568" s="8"/>
      <c r="J1568" s="9"/>
      <c r="K1568" s="9"/>
      <c r="L1568" s="9"/>
      <c r="M1568" s="9"/>
      <c r="N1568" s="9"/>
      <c r="O1568" s="9"/>
      <c r="P1568" s="9"/>
    </row>
    <row r="1569">
      <c r="A1569" s="9"/>
      <c r="B1569" s="8"/>
      <c r="C1569" s="8"/>
      <c r="D1569" s="8"/>
      <c r="E1569" s="9"/>
      <c r="F1569" s="9"/>
      <c r="G1569" s="9"/>
      <c r="H1569" s="9"/>
      <c r="I1569" s="8"/>
      <c r="J1569" s="9"/>
      <c r="K1569" s="9"/>
      <c r="L1569" s="9"/>
      <c r="M1569" s="9"/>
      <c r="N1569" s="9"/>
      <c r="O1569" s="9"/>
      <c r="P1569" s="9"/>
    </row>
    <row r="1570">
      <c r="A1570" s="9"/>
      <c r="B1570" s="8"/>
      <c r="C1570" s="8"/>
      <c r="D1570" s="8"/>
      <c r="E1570" s="9"/>
      <c r="F1570" s="9"/>
      <c r="G1570" s="9"/>
      <c r="H1570" s="9"/>
      <c r="I1570" s="8"/>
      <c r="J1570" s="9"/>
      <c r="K1570" s="9"/>
      <c r="L1570" s="9"/>
      <c r="M1570" s="9"/>
      <c r="N1570" s="9"/>
      <c r="O1570" s="9"/>
      <c r="P1570" s="9"/>
    </row>
    <row r="1571">
      <c r="A1571" s="9"/>
      <c r="B1571" s="8"/>
      <c r="C1571" s="8"/>
      <c r="D1571" s="8"/>
      <c r="E1571" s="9"/>
      <c r="F1571" s="9"/>
      <c r="G1571" s="9"/>
      <c r="H1571" s="9"/>
      <c r="I1571" s="8"/>
      <c r="J1571" s="9"/>
      <c r="K1571" s="9"/>
      <c r="L1571" s="9"/>
      <c r="M1571" s="9"/>
      <c r="N1571" s="9"/>
      <c r="O1571" s="9"/>
      <c r="P1571" s="9"/>
    </row>
    <row r="1572">
      <c r="A1572" s="9"/>
      <c r="B1572" s="8"/>
      <c r="C1572" s="8"/>
      <c r="D1572" s="8"/>
      <c r="E1572" s="9"/>
      <c r="F1572" s="9"/>
      <c r="G1572" s="9"/>
      <c r="H1572" s="9"/>
      <c r="I1572" s="8"/>
      <c r="J1572" s="9"/>
      <c r="K1572" s="9"/>
      <c r="L1572" s="9"/>
      <c r="M1572" s="9"/>
      <c r="N1572" s="9"/>
      <c r="O1572" s="9"/>
      <c r="P1572" s="9"/>
    </row>
    <row r="1573">
      <c r="A1573" s="9"/>
      <c r="B1573" s="8"/>
      <c r="C1573" s="8"/>
      <c r="D1573" s="8"/>
      <c r="E1573" s="9"/>
      <c r="F1573" s="9"/>
      <c r="G1573" s="9"/>
      <c r="H1573" s="9"/>
      <c r="I1573" s="8"/>
      <c r="J1573" s="9"/>
      <c r="K1573" s="9"/>
      <c r="L1573" s="9"/>
      <c r="M1573" s="9"/>
      <c r="N1573" s="9"/>
      <c r="O1573" s="9"/>
      <c r="P1573" s="9"/>
    </row>
    <row r="1574">
      <c r="A1574" s="9"/>
      <c r="B1574" s="8"/>
      <c r="C1574" s="8"/>
      <c r="D1574" s="8"/>
      <c r="E1574" s="9"/>
      <c r="F1574" s="9"/>
      <c r="G1574" s="9"/>
      <c r="H1574" s="9"/>
      <c r="I1574" s="8"/>
      <c r="J1574" s="9"/>
      <c r="K1574" s="9"/>
      <c r="L1574" s="9"/>
      <c r="M1574" s="9"/>
      <c r="N1574" s="9"/>
      <c r="O1574" s="9"/>
      <c r="P1574" s="9"/>
    </row>
    <row r="1575">
      <c r="A1575" s="9"/>
      <c r="B1575" s="8"/>
      <c r="C1575" s="8"/>
      <c r="D1575" s="8"/>
      <c r="E1575" s="9"/>
      <c r="F1575" s="9"/>
      <c r="G1575" s="9"/>
      <c r="H1575" s="9"/>
      <c r="I1575" s="8"/>
      <c r="J1575" s="9"/>
      <c r="K1575" s="9"/>
      <c r="L1575" s="9"/>
      <c r="M1575" s="9"/>
      <c r="N1575" s="9"/>
      <c r="O1575" s="9"/>
      <c r="P1575" s="9"/>
    </row>
    <row r="1576">
      <c r="A1576" s="9"/>
      <c r="B1576" s="8"/>
      <c r="C1576" s="8"/>
      <c r="D1576" s="8"/>
      <c r="E1576" s="9"/>
      <c r="F1576" s="9"/>
      <c r="G1576" s="9"/>
      <c r="H1576" s="9"/>
      <c r="I1576" s="8"/>
      <c r="J1576" s="9"/>
      <c r="K1576" s="9"/>
      <c r="L1576" s="9"/>
      <c r="M1576" s="9"/>
      <c r="N1576" s="9"/>
      <c r="O1576" s="9"/>
      <c r="P1576" s="9"/>
    </row>
    <row r="1577">
      <c r="A1577" s="9"/>
      <c r="B1577" s="8"/>
      <c r="C1577" s="8"/>
      <c r="D1577" s="8"/>
      <c r="E1577" s="9"/>
      <c r="F1577" s="9"/>
      <c r="G1577" s="9"/>
      <c r="H1577" s="9"/>
      <c r="I1577" s="8"/>
      <c r="J1577" s="9"/>
      <c r="K1577" s="9"/>
      <c r="L1577" s="9"/>
      <c r="M1577" s="9"/>
      <c r="N1577" s="9"/>
      <c r="O1577" s="9"/>
      <c r="P1577" s="9"/>
    </row>
    <row r="1578">
      <c r="A1578" s="9"/>
      <c r="B1578" s="8"/>
      <c r="C1578" s="8"/>
      <c r="D1578" s="8"/>
      <c r="E1578" s="9"/>
      <c r="F1578" s="9"/>
      <c r="G1578" s="9"/>
      <c r="H1578" s="9"/>
      <c r="I1578" s="8"/>
      <c r="J1578" s="9"/>
      <c r="K1578" s="9"/>
      <c r="L1578" s="9"/>
      <c r="M1578" s="9"/>
      <c r="N1578" s="9"/>
      <c r="O1578" s="9"/>
      <c r="P1578" s="9"/>
    </row>
    <row r="1579">
      <c r="A1579" s="9"/>
      <c r="B1579" s="8"/>
      <c r="C1579" s="8"/>
      <c r="D1579" s="8"/>
      <c r="E1579" s="9"/>
      <c r="F1579" s="9"/>
      <c r="G1579" s="9"/>
      <c r="H1579" s="9"/>
      <c r="I1579" s="8"/>
      <c r="J1579" s="9"/>
      <c r="K1579" s="9"/>
      <c r="L1579" s="9"/>
      <c r="M1579" s="9"/>
      <c r="N1579" s="9"/>
      <c r="O1579" s="9"/>
      <c r="P1579" s="9"/>
    </row>
    <row r="1580">
      <c r="A1580" s="9"/>
      <c r="B1580" s="8"/>
      <c r="C1580" s="8"/>
      <c r="D1580" s="8"/>
      <c r="E1580" s="9"/>
      <c r="F1580" s="9"/>
      <c r="G1580" s="9"/>
      <c r="H1580" s="9"/>
      <c r="I1580" s="8"/>
      <c r="J1580" s="9"/>
      <c r="K1580" s="9"/>
      <c r="L1580" s="9"/>
      <c r="M1580" s="9"/>
      <c r="N1580" s="9"/>
      <c r="O1580" s="9"/>
      <c r="P1580" s="9"/>
    </row>
    <row r="1581">
      <c r="A1581" s="9"/>
      <c r="B1581" s="8"/>
      <c r="C1581" s="8"/>
      <c r="D1581" s="8"/>
      <c r="E1581" s="9"/>
      <c r="F1581" s="9"/>
      <c r="G1581" s="9"/>
      <c r="H1581" s="9"/>
      <c r="I1581" s="8"/>
      <c r="J1581" s="9"/>
      <c r="K1581" s="9"/>
      <c r="L1581" s="9"/>
      <c r="M1581" s="9"/>
      <c r="N1581" s="9"/>
      <c r="O1581" s="9"/>
      <c r="P1581" s="9"/>
    </row>
    <row r="1582">
      <c r="A1582" s="9"/>
      <c r="B1582" s="8"/>
      <c r="C1582" s="8"/>
      <c r="D1582" s="8"/>
      <c r="E1582" s="9"/>
      <c r="F1582" s="9"/>
      <c r="G1582" s="9"/>
      <c r="H1582" s="9"/>
      <c r="I1582" s="8"/>
      <c r="J1582" s="9"/>
      <c r="K1582" s="9"/>
      <c r="L1582" s="9"/>
      <c r="M1582" s="9"/>
      <c r="N1582" s="9"/>
      <c r="O1582" s="9"/>
      <c r="P1582" s="9"/>
    </row>
    <row r="1583">
      <c r="A1583" s="9"/>
      <c r="B1583" s="8"/>
      <c r="C1583" s="8"/>
      <c r="D1583" s="8"/>
      <c r="E1583" s="9"/>
      <c r="F1583" s="9"/>
      <c r="G1583" s="9"/>
      <c r="H1583" s="9"/>
      <c r="I1583" s="8"/>
      <c r="J1583" s="9"/>
      <c r="K1583" s="9"/>
      <c r="L1583" s="9"/>
      <c r="M1583" s="9"/>
      <c r="N1583" s="9"/>
      <c r="O1583" s="9"/>
      <c r="P1583" s="9"/>
    </row>
    <row r="1584">
      <c r="A1584" s="9"/>
      <c r="B1584" s="8"/>
      <c r="C1584" s="8"/>
      <c r="D1584" s="8"/>
      <c r="E1584" s="9"/>
      <c r="F1584" s="9"/>
      <c r="G1584" s="9"/>
      <c r="H1584" s="9"/>
      <c r="I1584" s="8"/>
      <c r="J1584" s="9"/>
      <c r="K1584" s="9"/>
      <c r="L1584" s="9"/>
      <c r="M1584" s="9"/>
      <c r="N1584" s="9"/>
      <c r="O1584" s="9"/>
      <c r="P1584" s="9"/>
    </row>
    <row r="1585">
      <c r="A1585" s="9"/>
      <c r="B1585" s="8"/>
      <c r="C1585" s="8"/>
      <c r="D1585" s="8"/>
      <c r="E1585" s="9"/>
      <c r="F1585" s="9"/>
      <c r="G1585" s="9"/>
      <c r="H1585" s="9"/>
      <c r="I1585" s="8"/>
      <c r="J1585" s="9"/>
      <c r="K1585" s="9"/>
      <c r="L1585" s="9"/>
      <c r="M1585" s="9"/>
      <c r="N1585" s="9"/>
      <c r="O1585" s="9"/>
      <c r="P1585" s="9"/>
    </row>
    <row r="1586">
      <c r="A1586" s="9"/>
      <c r="B1586" s="8"/>
      <c r="C1586" s="8"/>
      <c r="D1586" s="8"/>
      <c r="E1586" s="9"/>
      <c r="F1586" s="9"/>
      <c r="G1586" s="9"/>
      <c r="H1586" s="9"/>
      <c r="I1586" s="8"/>
      <c r="J1586" s="9"/>
      <c r="K1586" s="9"/>
      <c r="L1586" s="9"/>
      <c r="M1586" s="9"/>
      <c r="N1586" s="9"/>
      <c r="O1586" s="9"/>
      <c r="P1586" s="9"/>
    </row>
    <row r="1587">
      <c r="A1587" s="9"/>
      <c r="B1587" s="8"/>
      <c r="C1587" s="8"/>
      <c r="D1587" s="8"/>
      <c r="E1587" s="9"/>
      <c r="F1587" s="9"/>
      <c r="G1587" s="9"/>
      <c r="H1587" s="9"/>
      <c r="I1587" s="8"/>
      <c r="J1587" s="9"/>
      <c r="K1587" s="9"/>
      <c r="L1587" s="9"/>
      <c r="M1587" s="9"/>
      <c r="N1587" s="9"/>
      <c r="O1587" s="9"/>
      <c r="P1587" s="9"/>
    </row>
    <row r="1588">
      <c r="A1588" s="9"/>
      <c r="B1588" s="8"/>
      <c r="C1588" s="8"/>
      <c r="D1588" s="8"/>
      <c r="E1588" s="9"/>
      <c r="F1588" s="9"/>
      <c r="G1588" s="9"/>
      <c r="H1588" s="9"/>
      <c r="I1588" s="8"/>
      <c r="J1588" s="9"/>
      <c r="K1588" s="9"/>
      <c r="L1588" s="9"/>
      <c r="M1588" s="9"/>
      <c r="N1588" s="9"/>
      <c r="O1588" s="9"/>
      <c r="P1588" s="9"/>
    </row>
    <row r="1589">
      <c r="A1589" s="9"/>
      <c r="B1589" s="8"/>
      <c r="C1589" s="8"/>
      <c r="D1589" s="8"/>
      <c r="E1589" s="9"/>
      <c r="F1589" s="9"/>
      <c r="G1589" s="9"/>
      <c r="H1589" s="9"/>
      <c r="I1589" s="8"/>
      <c r="J1589" s="9"/>
      <c r="K1589" s="9"/>
      <c r="L1589" s="9"/>
      <c r="M1589" s="9"/>
      <c r="N1589" s="9"/>
      <c r="O1589" s="9"/>
      <c r="P1589" s="9"/>
    </row>
    <row r="1590">
      <c r="A1590" s="9"/>
      <c r="B1590" s="8"/>
      <c r="C1590" s="8"/>
      <c r="D1590" s="8"/>
      <c r="E1590" s="9"/>
      <c r="F1590" s="9"/>
      <c r="G1590" s="9"/>
      <c r="H1590" s="9"/>
      <c r="I1590" s="8"/>
      <c r="J1590" s="9"/>
      <c r="K1590" s="9"/>
      <c r="L1590" s="9"/>
      <c r="M1590" s="9"/>
      <c r="N1590" s="9"/>
      <c r="O1590" s="9"/>
      <c r="P1590" s="9"/>
    </row>
    <row r="1591">
      <c r="A1591" s="9"/>
      <c r="B1591" s="8"/>
      <c r="C1591" s="8"/>
      <c r="D1591" s="8"/>
      <c r="E1591" s="9"/>
      <c r="F1591" s="9"/>
      <c r="G1591" s="9"/>
      <c r="H1591" s="9"/>
      <c r="I1591" s="8"/>
      <c r="J1591" s="9"/>
      <c r="K1591" s="9"/>
      <c r="L1591" s="9"/>
      <c r="M1591" s="9"/>
      <c r="N1591" s="9"/>
      <c r="O1591" s="9"/>
      <c r="P1591" s="9"/>
    </row>
    <row r="1592">
      <c r="A1592" s="9"/>
      <c r="B1592" s="8"/>
      <c r="C1592" s="8"/>
      <c r="D1592" s="8"/>
      <c r="E1592" s="9"/>
      <c r="F1592" s="9"/>
      <c r="G1592" s="9"/>
      <c r="H1592" s="9"/>
      <c r="I1592" s="8"/>
      <c r="J1592" s="9"/>
      <c r="K1592" s="9"/>
      <c r="L1592" s="9"/>
      <c r="M1592" s="9"/>
      <c r="N1592" s="9"/>
      <c r="O1592" s="9"/>
      <c r="P1592" s="9"/>
    </row>
    <row r="1593">
      <c r="A1593" s="9"/>
      <c r="B1593" s="8"/>
      <c r="C1593" s="8"/>
      <c r="D1593" s="8"/>
      <c r="E1593" s="9"/>
      <c r="F1593" s="9"/>
      <c r="G1593" s="9"/>
      <c r="H1593" s="9"/>
      <c r="I1593" s="8"/>
      <c r="J1593" s="9"/>
      <c r="K1593" s="9"/>
      <c r="L1593" s="9"/>
      <c r="M1593" s="9"/>
      <c r="N1593" s="9"/>
      <c r="O1593" s="9"/>
      <c r="P1593" s="9"/>
    </row>
    <row r="1594">
      <c r="A1594" s="9"/>
      <c r="B1594" s="8"/>
      <c r="C1594" s="8"/>
      <c r="D1594" s="8"/>
      <c r="E1594" s="9"/>
      <c r="F1594" s="9"/>
      <c r="G1594" s="9"/>
      <c r="H1594" s="9"/>
      <c r="I1594" s="8"/>
      <c r="J1594" s="9"/>
      <c r="K1594" s="9"/>
      <c r="L1594" s="9"/>
      <c r="M1594" s="9"/>
      <c r="N1594" s="9"/>
      <c r="O1594" s="9"/>
      <c r="P1594" s="9"/>
    </row>
    <row r="1595">
      <c r="A1595" s="9"/>
      <c r="B1595" s="8"/>
      <c r="C1595" s="8"/>
      <c r="D1595" s="8"/>
      <c r="E1595" s="9"/>
      <c r="F1595" s="9"/>
      <c r="G1595" s="9"/>
      <c r="H1595" s="9"/>
      <c r="I1595" s="8"/>
      <c r="J1595" s="9"/>
      <c r="K1595" s="9"/>
      <c r="L1595" s="9"/>
      <c r="M1595" s="9"/>
      <c r="N1595" s="9"/>
      <c r="O1595" s="9"/>
      <c r="P1595" s="9"/>
    </row>
    <row r="1596">
      <c r="A1596" s="9"/>
      <c r="B1596" s="8"/>
      <c r="C1596" s="8"/>
      <c r="D1596" s="8"/>
      <c r="E1596" s="9"/>
      <c r="F1596" s="9"/>
      <c r="G1596" s="9"/>
      <c r="H1596" s="9"/>
      <c r="I1596" s="8"/>
      <c r="J1596" s="9"/>
      <c r="K1596" s="9"/>
      <c r="L1596" s="9"/>
      <c r="M1596" s="9"/>
      <c r="N1596" s="9"/>
      <c r="O1596" s="9"/>
      <c r="P1596" s="9"/>
    </row>
    <row r="1597">
      <c r="A1597" s="9"/>
      <c r="B1597" s="8"/>
      <c r="C1597" s="8"/>
      <c r="D1597" s="8"/>
      <c r="E1597" s="9"/>
      <c r="F1597" s="9"/>
      <c r="G1597" s="9"/>
      <c r="H1597" s="9"/>
      <c r="I1597" s="8"/>
      <c r="J1597" s="9"/>
      <c r="K1597" s="9"/>
      <c r="L1597" s="9"/>
      <c r="M1597" s="9"/>
      <c r="N1597" s="9"/>
      <c r="O1597" s="9"/>
      <c r="P1597" s="9"/>
    </row>
    <row r="1598">
      <c r="A1598" s="9"/>
      <c r="B1598" s="8"/>
      <c r="C1598" s="8"/>
      <c r="D1598" s="8"/>
      <c r="E1598" s="9"/>
      <c r="F1598" s="9"/>
      <c r="G1598" s="9"/>
      <c r="H1598" s="9"/>
      <c r="I1598" s="8"/>
      <c r="J1598" s="9"/>
      <c r="K1598" s="9"/>
      <c r="L1598" s="9"/>
      <c r="M1598" s="9"/>
      <c r="N1598" s="9"/>
      <c r="O1598" s="9"/>
      <c r="P1598" s="9"/>
    </row>
    <row r="1599">
      <c r="A1599" s="9"/>
      <c r="B1599" s="8"/>
      <c r="C1599" s="8"/>
      <c r="D1599" s="8"/>
      <c r="E1599" s="9"/>
      <c r="F1599" s="9"/>
      <c r="G1599" s="9"/>
      <c r="H1599" s="9"/>
      <c r="I1599" s="8"/>
      <c r="J1599" s="9"/>
      <c r="K1599" s="9"/>
      <c r="L1599" s="9"/>
      <c r="M1599" s="9"/>
      <c r="N1599" s="9"/>
      <c r="O1599" s="9"/>
      <c r="P1599" s="9"/>
    </row>
    <row r="1600">
      <c r="A1600" s="9"/>
      <c r="B1600" s="8"/>
      <c r="C1600" s="8"/>
      <c r="D1600" s="8"/>
      <c r="E1600" s="9"/>
      <c r="F1600" s="9"/>
      <c r="G1600" s="9"/>
      <c r="H1600" s="9"/>
      <c r="I1600" s="8"/>
      <c r="J1600" s="9"/>
      <c r="K1600" s="9"/>
      <c r="L1600" s="9"/>
      <c r="M1600" s="9"/>
      <c r="N1600" s="9"/>
      <c r="O1600" s="9"/>
      <c r="P1600" s="9"/>
    </row>
    <row r="1601">
      <c r="A1601" s="9"/>
      <c r="B1601" s="8"/>
      <c r="C1601" s="8"/>
      <c r="D1601" s="8"/>
      <c r="E1601" s="9"/>
      <c r="F1601" s="9"/>
      <c r="G1601" s="9"/>
      <c r="H1601" s="9"/>
      <c r="I1601" s="8"/>
      <c r="J1601" s="9"/>
      <c r="K1601" s="9"/>
      <c r="L1601" s="9"/>
      <c r="M1601" s="9"/>
      <c r="N1601" s="9"/>
      <c r="O1601" s="9"/>
      <c r="P1601" s="9"/>
    </row>
    <row r="1602">
      <c r="A1602" s="9"/>
      <c r="B1602" s="8"/>
      <c r="C1602" s="8"/>
      <c r="D1602" s="8"/>
      <c r="E1602" s="9"/>
      <c r="F1602" s="9"/>
      <c r="G1602" s="9"/>
      <c r="H1602" s="9"/>
      <c r="I1602" s="8"/>
      <c r="J1602" s="9"/>
      <c r="K1602" s="9"/>
      <c r="L1602" s="9"/>
      <c r="M1602" s="9"/>
      <c r="N1602" s="9"/>
      <c r="O1602" s="9"/>
      <c r="P1602" s="9"/>
    </row>
    <row r="1603">
      <c r="A1603" s="9"/>
      <c r="B1603" s="8"/>
      <c r="C1603" s="8"/>
      <c r="D1603" s="8"/>
      <c r="E1603" s="9"/>
      <c r="F1603" s="9"/>
      <c r="G1603" s="9"/>
      <c r="H1603" s="9"/>
      <c r="I1603" s="8"/>
      <c r="J1603" s="9"/>
      <c r="K1603" s="9"/>
      <c r="L1603" s="9"/>
      <c r="M1603" s="9"/>
      <c r="N1603" s="9"/>
      <c r="O1603" s="9"/>
      <c r="P1603" s="9"/>
    </row>
    <row r="1604">
      <c r="A1604" s="9"/>
      <c r="B1604" s="8"/>
      <c r="C1604" s="8"/>
      <c r="D1604" s="8"/>
      <c r="E1604" s="9"/>
      <c r="F1604" s="9"/>
      <c r="G1604" s="9"/>
      <c r="H1604" s="9"/>
      <c r="I1604" s="8"/>
      <c r="J1604" s="9"/>
      <c r="K1604" s="9"/>
      <c r="L1604" s="9"/>
      <c r="M1604" s="9"/>
      <c r="N1604" s="9"/>
      <c r="O1604" s="9"/>
      <c r="P1604" s="9"/>
    </row>
    <row r="1605">
      <c r="A1605" s="9"/>
      <c r="B1605" s="8"/>
      <c r="C1605" s="8"/>
      <c r="D1605" s="8"/>
      <c r="E1605" s="9"/>
      <c r="F1605" s="9"/>
      <c r="G1605" s="9"/>
      <c r="H1605" s="9"/>
      <c r="I1605" s="8"/>
      <c r="J1605" s="9"/>
      <c r="K1605" s="9"/>
      <c r="L1605" s="9"/>
      <c r="M1605" s="9"/>
      <c r="N1605" s="9"/>
      <c r="O1605" s="9"/>
      <c r="P1605" s="9"/>
    </row>
    <row r="1606">
      <c r="A1606" s="9"/>
      <c r="B1606" s="8"/>
      <c r="C1606" s="8"/>
      <c r="D1606" s="8"/>
      <c r="E1606" s="9"/>
      <c r="F1606" s="9"/>
      <c r="G1606" s="9"/>
      <c r="H1606" s="9"/>
      <c r="I1606" s="8"/>
      <c r="J1606" s="9"/>
      <c r="K1606" s="9"/>
      <c r="L1606" s="9"/>
      <c r="M1606" s="9"/>
      <c r="N1606" s="9"/>
      <c r="O1606" s="9"/>
      <c r="P1606" s="9"/>
    </row>
    <row r="1607">
      <c r="A1607" s="9"/>
      <c r="B1607" s="8"/>
      <c r="C1607" s="8"/>
      <c r="D1607" s="8"/>
      <c r="E1607" s="9"/>
      <c r="F1607" s="9"/>
      <c r="G1607" s="9"/>
      <c r="H1607" s="9"/>
      <c r="I1607" s="8"/>
      <c r="J1607" s="9"/>
      <c r="K1607" s="9"/>
      <c r="L1607" s="9"/>
      <c r="M1607" s="9"/>
      <c r="N1607" s="9"/>
      <c r="O1607" s="9"/>
      <c r="P1607" s="9"/>
    </row>
    <row r="1608">
      <c r="A1608" s="9"/>
      <c r="B1608" s="8"/>
      <c r="C1608" s="8"/>
      <c r="D1608" s="8"/>
      <c r="E1608" s="9"/>
      <c r="F1608" s="9"/>
      <c r="G1608" s="9"/>
      <c r="H1608" s="9"/>
      <c r="I1608" s="8"/>
      <c r="J1608" s="9"/>
      <c r="K1608" s="9"/>
      <c r="L1608" s="9"/>
      <c r="M1608" s="9"/>
      <c r="N1608" s="9"/>
      <c r="O1608" s="9"/>
      <c r="P1608" s="9"/>
    </row>
    <row r="1609">
      <c r="A1609" s="9"/>
      <c r="B1609" s="8"/>
      <c r="C1609" s="8"/>
      <c r="D1609" s="8"/>
      <c r="E1609" s="9"/>
      <c r="F1609" s="9"/>
      <c r="G1609" s="9"/>
      <c r="H1609" s="9"/>
      <c r="I1609" s="8"/>
      <c r="J1609" s="9"/>
      <c r="K1609" s="9"/>
      <c r="L1609" s="9"/>
      <c r="M1609" s="9"/>
      <c r="N1609" s="9"/>
      <c r="O1609" s="9"/>
      <c r="P1609" s="9"/>
    </row>
    <row r="1610">
      <c r="A1610" s="9"/>
      <c r="B1610" s="8"/>
      <c r="C1610" s="8"/>
      <c r="D1610" s="8"/>
      <c r="E1610" s="9"/>
      <c r="F1610" s="9"/>
      <c r="G1610" s="9"/>
      <c r="H1610" s="9"/>
      <c r="I1610" s="8"/>
      <c r="J1610" s="9"/>
      <c r="K1610" s="9"/>
      <c r="L1610" s="9"/>
      <c r="M1610" s="9"/>
      <c r="N1610" s="9"/>
      <c r="O1610" s="9"/>
      <c r="P1610" s="9"/>
    </row>
    <row r="1611">
      <c r="A1611" s="9"/>
      <c r="B1611" s="8"/>
      <c r="C1611" s="8"/>
      <c r="D1611" s="8"/>
      <c r="E1611" s="9"/>
      <c r="F1611" s="9"/>
      <c r="G1611" s="9"/>
      <c r="H1611" s="9"/>
      <c r="I1611" s="8"/>
      <c r="J1611" s="9"/>
      <c r="K1611" s="9"/>
      <c r="L1611" s="9"/>
      <c r="M1611" s="9"/>
      <c r="N1611" s="9"/>
      <c r="O1611" s="9"/>
      <c r="P1611" s="9"/>
    </row>
    <row r="1612">
      <c r="A1612" s="9"/>
      <c r="B1612" s="8"/>
      <c r="C1612" s="8"/>
      <c r="D1612" s="8"/>
      <c r="E1612" s="9"/>
      <c r="F1612" s="9"/>
      <c r="G1612" s="9"/>
      <c r="H1612" s="9"/>
      <c r="I1612" s="8"/>
      <c r="J1612" s="9"/>
      <c r="K1612" s="9"/>
      <c r="L1612" s="9"/>
      <c r="M1612" s="9"/>
      <c r="N1612" s="9"/>
      <c r="O1612" s="9"/>
      <c r="P1612" s="9"/>
    </row>
    <row r="1613">
      <c r="A1613" s="9"/>
      <c r="B1613" s="8"/>
      <c r="C1613" s="8"/>
      <c r="D1613" s="8"/>
      <c r="E1613" s="9"/>
      <c r="F1613" s="9"/>
      <c r="G1613" s="9"/>
      <c r="H1613" s="9"/>
      <c r="I1613" s="8"/>
      <c r="J1613" s="9"/>
      <c r="K1613" s="9"/>
      <c r="L1613" s="9"/>
      <c r="M1613" s="9"/>
      <c r="N1613" s="9"/>
      <c r="O1613" s="9"/>
      <c r="P1613" s="9"/>
    </row>
    <row r="1614">
      <c r="A1614" s="9"/>
      <c r="B1614" s="8"/>
      <c r="C1614" s="8"/>
      <c r="D1614" s="8"/>
      <c r="E1614" s="9"/>
      <c r="F1614" s="9"/>
      <c r="G1614" s="9"/>
      <c r="H1614" s="9"/>
      <c r="I1614" s="8"/>
      <c r="J1614" s="9"/>
      <c r="K1614" s="9"/>
      <c r="L1614" s="9"/>
      <c r="M1614" s="9"/>
      <c r="N1614" s="9"/>
      <c r="O1614" s="9"/>
      <c r="P1614" s="9"/>
    </row>
    <row r="1615">
      <c r="A1615" s="9"/>
      <c r="B1615" s="8"/>
      <c r="C1615" s="8"/>
      <c r="D1615" s="8"/>
      <c r="E1615" s="9"/>
      <c r="F1615" s="9"/>
      <c r="G1615" s="9"/>
      <c r="H1615" s="9"/>
      <c r="I1615" s="8"/>
      <c r="J1615" s="9"/>
      <c r="K1615" s="9"/>
      <c r="L1615" s="9"/>
      <c r="M1615" s="9"/>
      <c r="N1615" s="9"/>
      <c r="O1615" s="9"/>
      <c r="P1615" s="9"/>
    </row>
    <row r="1616">
      <c r="A1616" s="9"/>
      <c r="B1616" s="8"/>
      <c r="C1616" s="8"/>
      <c r="D1616" s="8"/>
      <c r="E1616" s="9"/>
      <c r="F1616" s="9"/>
      <c r="G1616" s="9"/>
      <c r="H1616" s="9"/>
      <c r="I1616" s="8"/>
      <c r="J1616" s="9"/>
      <c r="K1616" s="9"/>
      <c r="L1616" s="9"/>
      <c r="M1616" s="9"/>
      <c r="N1616" s="9"/>
      <c r="O1616" s="9"/>
      <c r="P1616" s="9"/>
    </row>
    <row r="1617">
      <c r="A1617" s="9"/>
      <c r="B1617" s="8"/>
      <c r="C1617" s="8"/>
      <c r="D1617" s="8"/>
      <c r="E1617" s="9"/>
      <c r="F1617" s="9"/>
      <c r="G1617" s="9"/>
      <c r="H1617" s="9"/>
      <c r="I1617" s="8"/>
      <c r="J1617" s="9"/>
      <c r="K1617" s="9"/>
      <c r="L1617" s="9"/>
      <c r="M1617" s="9"/>
      <c r="N1617" s="9"/>
      <c r="O1617" s="9"/>
      <c r="P1617" s="9"/>
    </row>
    <row r="1618">
      <c r="A1618" s="9"/>
      <c r="B1618" s="8"/>
      <c r="C1618" s="8"/>
      <c r="D1618" s="8"/>
      <c r="E1618" s="9"/>
      <c r="F1618" s="9"/>
      <c r="G1618" s="9"/>
      <c r="H1618" s="9"/>
      <c r="I1618" s="8"/>
      <c r="J1618" s="9"/>
      <c r="K1618" s="9"/>
      <c r="L1618" s="9"/>
      <c r="M1618" s="9"/>
      <c r="N1618" s="9"/>
      <c r="O1618" s="9"/>
      <c r="P1618" s="9"/>
    </row>
    <row r="1619">
      <c r="A1619" s="9"/>
      <c r="B1619" s="8"/>
      <c r="C1619" s="8"/>
      <c r="D1619" s="8"/>
      <c r="E1619" s="9"/>
      <c r="F1619" s="9"/>
      <c r="G1619" s="9"/>
      <c r="H1619" s="9"/>
      <c r="I1619" s="8"/>
      <c r="J1619" s="9"/>
      <c r="K1619" s="9"/>
      <c r="L1619" s="9"/>
      <c r="M1619" s="9"/>
      <c r="N1619" s="9"/>
      <c r="O1619" s="9"/>
      <c r="P1619" s="9"/>
    </row>
    <row r="1620">
      <c r="A1620" s="9"/>
      <c r="B1620" s="8"/>
      <c r="C1620" s="8"/>
      <c r="D1620" s="8"/>
      <c r="E1620" s="9"/>
      <c r="F1620" s="9"/>
      <c r="G1620" s="9"/>
      <c r="H1620" s="9"/>
      <c r="I1620" s="8"/>
      <c r="J1620" s="9"/>
      <c r="K1620" s="9"/>
      <c r="L1620" s="9"/>
      <c r="M1620" s="9"/>
      <c r="N1620" s="9"/>
      <c r="O1620" s="9"/>
      <c r="P1620" s="9"/>
    </row>
    <row r="1621">
      <c r="A1621" s="9"/>
      <c r="B1621" s="8"/>
      <c r="C1621" s="8"/>
      <c r="D1621" s="8"/>
      <c r="E1621" s="9"/>
      <c r="F1621" s="9"/>
      <c r="G1621" s="9"/>
      <c r="H1621" s="9"/>
      <c r="I1621" s="8"/>
      <c r="J1621" s="9"/>
      <c r="K1621" s="9"/>
      <c r="L1621" s="9"/>
      <c r="M1621" s="9"/>
      <c r="N1621" s="9"/>
      <c r="O1621" s="9"/>
      <c r="P1621" s="9"/>
    </row>
    <row r="1622">
      <c r="A1622" s="9"/>
      <c r="B1622" s="8"/>
      <c r="C1622" s="8"/>
      <c r="D1622" s="8"/>
      <c r="E1622" s="9"/>
      <c r="F1622" s="9"/>
      <c r="G1622" s="9"/>
      <c r="H1622" s="9"/>
      <c r="I1622" s="8"/>
      <c r="J1622" s="9"/>
      <c r="K1622" s="9"/>
      <c r="L1622" s="9"/>
      <c r="M1622" s="9"/>
      <c r="N1622" s="9"/>
      <c r="O1622" s="9"/>
      <c r="P1622" s="9"/>
    </row>
    <row r="1623">
      <c r="A1623" s="9"/>
      <c r="B1623" s="8"/>
      <c r="C1623" s="8"/>
      <c r="D1623" s="8"/>
      <c r="E1623" s="9"/>
      <c r="F1623" s="9"/>
      <c r="G1623" s="9"/>
      <c r="H1623" s="9"/>
      <c r="I1623" s="8"/>
      <c r="J1623" s="9"/>
      <c r="K1623" s="9"/>
      <c r="L1623" s="9"/>
      <c r="M1623" s="9"/>
      <c r="N1623" s="9"/>
      <c r="O1623" s="9"/>
      <c r="P1623" s="9"/>
    </row>
    <row r="1624">
      <c r="A1624" s="9"/>
      <c r="B1624" s="8"/>
      <c r="C1624" s="8"/>
      <c r="D1624" s="8"/>
      <c r="E1624" s="9"/>
      <c r="F1624" s="9"/>
      <c r="G1624" s="9"/>
      <c r="H1624" s="9"/>
      <c r="I1624" s="8"/>
      <c r="J1624" s="9"/>
      <c r="K1624" s="9"/>
      <c r="L1624" s="9"/>
      <c r="M1624" s="9"/>
      <c r="N1624" s="9"/>
      <c r="O1624" s="9"/>
      <c r="P1624" s="9"/>
    </row>
    <row r="1625">
      <c r="A1625" s="9"/>
      <c r="B1625" s="8"/>
      <c r="C1625" s="8"/>
      <c r="D1625" s="8"/>
      <c r="E1625" s="9"/>
      <c r="F1625" s="9"/>
      <c r="G1625" s="9"/>
      <c r="H1625" s="9"/>
      <c r="I1625" s="8"/>
      <c r="J1625" s="9"/>
      <c r="K1625" s="9"/>
      <c r="L1625" s="9"/>
      <c r="M1625" s="9"/>
      <c r="N1625" s="9"/>
      <c r="O1625" s="9"/>
      <c r="P1625" s="9"/>
    </row>
    <row r="1626">
      <c r="A1626" s="9"/>
      <c r="B1626" s="8"/>
      <c r="C1626" s="8"/>
      <c r="D1626" s="8"/>
      <c r="E1626" s="9"/>
      <c r="F1626" s="9"/>
      <c r="G1626" s="9"/>
      <c r="H1626" s="9"/>
      <c r="I1626" s="8"/>
      <c r="J1626" s="9"/>
      <c r="K1626" s="9"/>
      <c r="L1626" s="9"/>
      <c r="M1626" s="9"/>
      <c r="N1626" s="9"/>
      <c r="O1626" s="9"/>
      <c r="P1626" s="9"/>
    </row>
    <row r="1627">
      <c r="A1627" s="9"/>
      <c r="B1627" s="8"/>
      <c r="C1627" s="8"/>
      <c r="D1627" s="8"/>
      <c r="E1627" s="9"/>
      <c r="F1627" s="9"/>
      <c r="G1627" s="9"/>
      <c r="H1627" s="9"/>
      <c r="I1627" s="8"/>
      <c r="J1627" s="9"/>
      <c r="K1627" s="9"/>
      <c r="L1627" s="9"/>
      <c r="M1627" s="9"/>
      <c r="N1627" s="9"/>
      <c r="O1627" s="9"/>
      <c r="P1627" s="9"/>
    </row>
    <row r="1628">
      <c r="A1628" s="9"/>
      <c r="B1628" s="8"/>
      <c r="C1628" s="8"/>
      <c r="D1628" s="8"/>
      <c r="E1628" s="9"/>
      <c r="F1628" s="9"/>
      <c r="G1628" s="9"/>
      <c r="H1628" s="9"/>
      <c r="I1628" s="8"/>
      <c r="J1628" s="9"/>
      <c r="K1628" s="9"/>
      <c r="L1628" s="9"/>
      <c r="M1628" s="9"/>
      <c r="N1628" s="9"/>
      <c r="O1628" s="9"/>
      <c r="P1628" s="9"/>
    </row>
    <row r="1629">
      <c r="A1629" s="9"/>
      <c r="B1629" s="8"/>
      <c r="C1629" s="8"/>
      <c r="D1629" s="8"/>
      <c r="E1629" s="9"/>
      <c r="F1629" s="9"/>
      <c r="G1629" s="9"/>
      <c r="H1629" s="9"/>
      <c r="I1629" s="8"/>
      <c r="J1629" s="9"/>
      <c r="K1629" s="9"/>
      <c r="L1629" s="9"/>
      <c r="M1629" s="9"/>
      <c r="N1629" s="9"/>
      <c r="O1629" s="9"/>
      <c r="P1629" s="9"/>
    </row>
    <row r="1630">
      <c r="A1630" s="9"/>
      <c r="B1630" s="8"/>
      <c r="C1630" s="8"/>
      <c r="D1630" s="8"/>
      <c r="E1630" s="9"/>
      <c r="F1630" s="9"/>
      <c r="G1630" s="9"/>
      <c r="H1630" s="9"/>
      <c r="I1630" s="8"/>
      <c r="J1630" s="9"/>
      <c r="K1630" s="9"/>
      <c r="L1630" s="9"/>
      <c r="M1630" s="9"/>
      <c r="N1630" s="9"/>
      <c r="O1630" s="9"/>
      <c r="P1630" s="9"/>
    </row>
    <row r="1631">
      <c r="A1631" s="9"/>
      <c r="B1631" s="8"/>
      <c r="C1631" s="8"/>
      <c r="D1631" s="8"/>
      <c r="E1631" s="9"/>
      <c r="F1631" s="9"/>
      <c r="G1631" s="9"/>
      <c r="H1631" s="9"/>
      <c r="I1631" s="8"/>
      <c r="J1631" s="9"/>
      <c r="K1631" s="9"/>
      <c r="L1631" s="9"/>
      <c r="M1631" s="9"/>
      <c r="N1631" s="9"/>
      <c r="O1631" s="9"/>
      <c r="P1631" s="9"/>
    </row>
    <row r="1632">
      <c r="A1632" s="9"/>
      <c r="B1632" s="8"/>
      <c r="C1632" s="8"/>
      <c r="D1632" s="8"/>
      <c r="E1632" s="9"/>
      <c r="F1632" s="9"/>
      <c r="G1632" s="9"/>
      <c r="H1632" s="9"/>
      <c r="I1632" s="8"/>
      <c r="J1632" s="9"/>
      <c r="K1632" s="9"/>
      <c r="L1632" s="9"/>
      <c r="M1632" s="9"/>
      <c r="N1632" s="9"/>
      <c r="O1632" s="9"/>
      <c r="P1632" s="9"/>
    </row>
    <row r="1633">
      <c r="A1633" s="9"/>
      <c r="B1633" s="8"/>
      <c r="C1633" s="8"/>
      <c r="D1633" s="8"/>
      <c r="E1633" s="9"/>
      <c r="F1633" s="9"/>
      <c r="G1633" s="9"/>
      <c r="H1633" s="9"/>
      <c r="I1633" s="8"/>
      <c r="J1633" s="9"/>
      <c r="K1633" s="9"/>
      <c r="L1633" s="9"/>
      <c r="M1633" s="9"/>
      <c r="N1633" s="9"/>
      <c r="O1633" s="9"/>
      <c r="P1633" s="9"/>
    </row>
    <row r="1634">
      <c r="A1634" s="9"/>
      <c r="B1634" s="8"/>
      <c r="C1634" s="8"/>
      <c r="D1634" s="8"/>
      <c r="E1634" s="9"/>
      <c r="F1634" s="9"/>
      <c r="G1634" s="9"/>
      <c r="H1634" s="9"/>
      <c r="I1634" s="8"/>
      <c r="J1634" s="9"/>
      <c r="K1634" s="9"/>
      <c r="L1634" s="9"/>
      <c r="M1634" s="9"/>
      <c r="N1634" s="9"/>
      <c r="O1634" s="9"/>
      <c r="P1634" s="9"/>
    </row>
    <row r="1635">
      <c r="A1635" s="9"/>
      <c r="B1635" s="8"/>
      <c r="C1635" s="8"/>
      <c r="D1635" s="8"/>
      <c r="E1635" s="9"/>
      <c r="F1635" s="9"/>
      <c r="G1635" s="9"/>
      <c r="H1635" s="9"/>
      <c r="I1635" s="8"/>
      <c r="J1635" s="9"/>
      <c r="K1635" s="9"/>
      <c r="L1635" s="9"/>
      <c r="M1635" s="9"/>
      <c r="N1635" s="9"/>
      <c r="O1635" s="9"/>
      <c r="P1635" s="9"/>
    </row>
    <row r="1636">
      <c r="A1636" s="9"/>
      <c r="B1636" s="8"/>
      <c r="C1636" s="8"/>
      <c r="D1636" s="8"/>
      <c r="E1636" s="9"/>
      <c r="F1636" s="9"/>
      <c r="G1636" s="9"/>
      <c r="H1636" s="9"/>
      <c r="I1636" s="8"/>
      <c r="J1636" s="9"/>
      <c r="K1636" s="9"/>
      <c r="L1636" s="9"/>
      <c r="M1636" s="9"/>
      <c r="N1636" s="9"/>
      <c r="O1636" s="9"/>
      <c r="P1636" s="9"/>
    </row>
    <row r="1637">
      <c r="A1637" s="9"/>
      <c r="B1637" s="8"/>
      <c r="C1637" s="8"/>
      <c r="D1637" s="8"/>
      <c r="E1637" s="9"/>
      <c r="F1637" s="9"/>
      <c r="G1637" s="9"/>
      <c r="H1637" s="9"/>
      <c r="I1637" s="8"/>
      <c r="J1637" s="9"/>
      <c r="K1637" s="9"/>
      <c r="L1637" s="9"/>
      <c r="M1637" s="9"/>
      <c r="N1637" s="9"/>
      <c r="O1637" s="9"/>
      <c r="P1637" s="9"/>
    </row>
    <row r="1638">
      <c r="A1638" s="9"/>
      <c r="B1638" s="8"/>
      <c r="C1638" s="8"/>
      <c r="D1638" s="8"/>
      <c r="E1638" s="9"/>
      <c r="F1638" s="9"/>
      <c r="G1638" s="9"/>
      <c r="H1638" s="9"/>
      <c r="I1638" s="8"/>
      <c r="J1638" s="9"/>
      <c r="K1638" s="9"/>
      <c r="L1638" s="9"/>
      <c r="M1638" s="9"/>
      <c r="N1638" s="9"/>
      <c r="O1638" s="9"/>
      <c r="P1638" s="9"/>
    </row>
    <row r="1639">
      <c r="A1639" s="9"/>
      <c r="B1639" s="8"/>
      <c r="C1639" s="8"/>
      <c r="D1639" s="8"/>
      <c r="E1639" s="9"/>
      <c r="F1639" s="9"/>
      <c r="G1639" s="9"/>
      <c r="H1639" s="9"/>
      <c r="I1639" s="8"/>
      <c r="J1639" s="9"/>
      <c r="K1639" s="9"/>
      <c r="L1639" s="9"/>
      <c r="M1639" s="9"/>
      <c r="N1639" s="9"/>
      <c r="O1639" s="9"/>
      <c r="P1639" s="9"/>
    </row>
    <row r="1640">
      <c r="A1640" s="9"/>
      <c r="B1640" s="8"/>
      <c r="C1640" s="8"/>
      <c r="D1640" s="8"/>
      <c r="E1640" s="9"/>
      <c r="F1640" s="9"/>
      <c r="G1640" s="9"/>
      <c r="H1640" s="9"/>
      <c r="I1640" s="8"/>
      <c r="J1640" s="9"/>
      <c r="K1640" s="9"/>
      <c r="L1640" s="9"/>
      <c r="M1640" s="9"/>
      <c r="N1640" s="9"/>
      <c r="O1640" s="9"/>
      <c r="P1640" s="9"/>
    </row>
    <row r="1641">
      <c r="A1641" s="9"/>
      <c r="B1641" s="8"/>
      <c r="C1641" s="8"/>
      <c r="D1641" s="8"/>
      <c r="E1641" s="9"/>
      <c r="F1641" s="9"/>
      <c r="G1641" s="9"/>
      <c r="H1641" s="9"/>
      <c r="I1641" s="8"/>
      <c r="J1641" s="9"/>
      <c r="K1641" s="9"/>
      <c r="L1641" s="9"/>
      <c r="M1641" s="9"/>
      <c r="N1641" s="9"/>
      <c r="O1641" s="9"/>
      <c r="P1641" s="9"/>
    </row>
    <row r="1642">
      <c r="A1642" s="9"/>
      <c r="B1642" s="8"/>
      <c r="C1642" s="8"/>
      <c r="D1642" s="8"/>
      <c r="E1642" s="9"/>
      <c r="F1642" s="9"/>
      <c r="G1642" s="9"/>
      <c r="H1642" s="9"/>
      <c r="I1642" s="8"/>
      <c r="J1642" s="9"/>
      <c r="K1642" s="9"/>
      <c r="L1642" s="9"/>
      <c r="M1642" s="9"/>
      <c r="N1642" s="9"/>
      <c r="O1642" s="9"/>
      <c r="P1642" s="9"/>
    </row>
    <row r="1643">
      <c r="A1643" s="9"/>
      <c r="B1643" s="8"/>
      <c r="C1643" s="8"/>
      <c r="D1643" s="8"/>
      <c r="E1643" s="9"/>
      <c r="F1643" s="9"/>
      <c r="G1643" s="9"/>
      <c r="H1643" s="9"/>
      <c r="I1643" s="8"/>
      <c r="J1643" s="9"/>
      <c r="K1643" s="9"/>
      <c r="L1643" s="9"/>
      <c r="M1643" s="9"/>
      <c r="N1643" s="9"/>
      <c r="O1643" s="9"/>
      <c r="P1643" s="9"/>
    </row>
    <row r="1644">
      <c r="A1644" s="9"/>
      <c r="B1644" s="8"/>
      <c r="C1644" s="8"/>
      <c r="D1644" s="8"/>
      <c r="E1644" s="9"/>
      <c r="F1644" s="9"/>
      <c r="G1644" s="9"/>
      <c r="H1644" s="9"/>
      <c r="I1644" s="8"/>
      <c r="J1644" s="9"/>
      <c r="K1644" s="9"/>
      <c r="L1644" s="9"/>
      <c r="M1644" s="9"/>
      <c r="N1644" s="9"/>
      <c r="O1644" s="9"/>
      <c r="P1644" s="9"/>
    </row>
    <row r="1645">
      <c r="A1645" s="9"/>
      <c r="B1645" s="8"/>
      <c r="C1645" s="8"/>
      <c r="D1645" s="8"/>
      <c r="E1645" s="9"/>
      <c r="F1645" s="9"/>
      <c r="G1645" s="9"/>
      <c r="H1645" s="9"/>
      <c r="I1645" s="8"/>
      <c r="J1645" s="9"/>
      <c r="K1645" s="9"/>
      <c r="L1645" s="9"/>
      <c r="M1645" s="9"/>
      <c r="N1645" s="9"/>
      <c r="O1645" s="9"/>
      <c r="P1645" s="9"/>
    </row>
    <row r="1646">
      <c r="A1646" s="9"/>
      <c r="B1646" s="8"/>
      <c r="C1646" s="8"/>
      <c r="D1646" s="8"/>
      <c r="E1646" s="9"/>
      <c r="F1646" s="9"/>
      <c r="G1646" s="9"/>
      <c r="H1646" s="9"/>
      <c r="I1646" s="8"/>
      <c r="J1646" s="9"/>
      <c r="K1646" s="9"/>
      <c r="L1646" s="9"/>
      <c r="M1646" s="9"/>
      <c r="N1646" s="9"/>
      <c r="O1646" s="9"/>
      <c r="P1646" s="9"/>
    </row>
    <row r="1647">
      <c r="A1647" s="9"/>
      <c r="B1647" s="8"/>
      <c r="C1647" s="8"/>
      <c r="D1647" s="8"/>
      <c r="E1647" s="9"/>
      <c r="F1647" s="9"/>
      <c r="G1647" s="9"/>
      <c r="H1647" s="9"/>
      <c r="I1647" s="8"/>
      <c r="J1647" s="9"/>
      <c r="K1647" s="9"/>
      <c r="L1647" s="9"/>
      <c r="M1647" s="9"/>
      <c r="N1647" s="9"/>
      <c r="O1647" s="9"/>
      <c r="P1647" s="9"/>
    </row>
    <row r="1648">
      <c r="A1648" s="9"/>
      <c r="B1648" s="8"/>
      <c r="C1648" s="8"/>
      <c r="D1648" s="8"/>
      <c r="E1648" s="9"/>
      <c r="F1648" s="9"/>
      <c r="G1648" s="9"/>
      <c r="H1648" s="9"/>
      <c r="I1648" s="8"/>
      <c r="J1648" s="9"/>
      <c r="K1648" s="9"/>
      <c r="L1648" s="9"/>
      <c r="M1648" s="9"/>
      <c r="N1648" s="9"/>
      <c r="O1648" s="9"/>
      <c r="P1648" s="9"/>
    </row>
    <row r="1649">
      <c r="A1649" s="9"/>
      <c r="B1649" s="8"/>
      <c r="C1649" s="8"/>
      <c r="D1649" s="8"/>
      <c r="E1649" s="9"/>
      <c r="F1649" s="9"/>
      <c r="G1649" s="9"/>
      <c r="H1649" s="9"/>
      <c r="I1649" s="8"/>
      <c r="J1649" s="9"/>
      <c r="K1649" s="9"/>
      <c r="L1649" s="9"/>
      <c r="M1649" s="9"/>
      <c r="N1649" s="9"/>
      <c r="O1649" s="9"/>
      <c r="P1649" s="9"/>
    </row>
    <row r="1650">
      <c r="A1650" s="9"/>
      <c r="B1650" s="8"/>
      <c r="C1650" s="8"/>
      <c r="D1650" s="8"/>
      <c r="E1650" s="9"/>
      <c r="F1650" s="9"/>
      <c r="G1650" s="9"/>
      <c r="H1650" s="9"/>
      <c r="I1650" s="8"/>
      <c r="J1650" s="9"/>
      <c r="K1650" s="9"/>
      <c r="L1650" s="9"/>
      <c r="M1650" s="9"/>
      <c r="N1650" s="9"/>
      <c r="O1650" s="9"/>
      <c r="P1650" s="9"/>
    </row>
    <row r="1651">
      <c r="A1651" s="9"/>
      <c r="B1651" s="8"/>
      <c r="C1651" s="8"/>
      <c r="D1651" s="8"/>
      <c r="E1651" s="9"/>
      <c r="F1651" s="9"/>
      <c r="G1651" s="9"/>
      <c r="H1651" s="9"/>
      <c r="I1651" s="8"/>
      <c r="J1651" s="9"/>
      <c r="K1651" s="9"/>
      <c r="L1651" s="9"/>
      <c r="M1651" s="9"/>
      <c r="N1651" s="9"/>
      <c r="O1651" s="9"/>
      <c r="P1651" s="9"/>
    </row>
    <row r="1652">
      <c r="A1652" s="9"/>
      <c r="B1652" s="8"/>
      <c r="C1652" s="8"/>
      <c r="D1652" s="8"/>
      <c r="E1652" s="9"/>
      <c r="F1652" s="9"/>
      <c r="G1652" s="9"/>
      <c r="H1652" s="9"/>
      <c r="I1652" s="8"/>
      <c r="J1652" s="9"/>
      <c r="K1652" s="9"/>
      <c r="L1652" s="9"/>
      <c r="M1652" s="9"/>
      <c r="N1652" s="9"/>
      <c r="O1652" s="9"/>
      <c r="P1652" s="9"/>
    </row>
    <row r="1653">
      <c r="A1653" s="9"/>
      <c r="B1653" s="8"/>
      <c r="C1653" s="8"/>
      <c r="D1653" s="8"/>
      <c r="E1653" s="9"/>
      <c r="F1653" s="9"/>
      <c r="G1653" s="9"/>
      <c r="H1653" s="9"/>
      <c r="I1653" s="8"/>
      <c r="J1653" s="9"/>
      <c r="K1653" s="9"/>
      <c r="L1653" s="9"/>
      <c r="M1653" s="9"/>
      <c r="N1653" s="9"/>
      <c r="O1653" s="9"/>
      <c r="P1653" s="9"/>
    </row>
    <row r="1654">
      <c r="A1654" s="9"/>
      <c r="B1654" s="8"/>
      <c r="C1654" s="8"/>
      <c r="D1654" s="8"/>
      <c r="E1654" s="9"/>
      <c r="F1654" s="9"/>
      <c r="G1654" s="9"/>
      <c r="H1654" s="9"/>
      <c r="I1654" s="8"/>
      <c r="J1654" s="9"/>
      <c r="K1654" s="9"/>
      <c r="L1654" s="9"/>
      <c r="M1654" s="9"/>
      <c r="N1654" s="9"/>
      <c r="O1654" s="9"/>
      <c r="P1654" s="9"/>
    </row>
    <row r="1655">
      <c r="A1655" s="9"/>
      <c r="B1655" s="8"/>
      <c r="C1655" s="8"/>
      <c r="D1655" s="8"/>
      <c r="E1655" s="9"/>
      <c r="F1655" s="9"/>
      <c r="G1655" s="9"/>
      <c r="H1655" s="9"/>
      <c r="I1655" s="8"/>
      <c r="J1655" s="9"/>
      <c r="K1655" s="9"/>
      <c r="L1655" s="9"/>
      <c r="M1655" s="9"/>
      <c r="N1655" s="9"/>
      <c r="O1655" s="9"/>
      <c r="P1655" s="9"/>
    </row>
    <row r="1656">
      <c r="A1656" s="9"/>
      <c r="B1656" s="8"/>
      <c r="C1656" s="8"/>
      <c r="D1656" s="8"/>
      <c r="E1656" s="9"/>
      <c r="F1656" s="9"/>
      <c r="G1656" s="9"/>
      <c r="H1656" s="9"/>
      <c r="I1656" s="8"/>
      <c r="J1656" s="9"/>
      <c r="K1656" s="9"/>
      <c r="L1656" s="9"/>
      <c r="M1656" s="9"/>
      <c r="N1656" s="9"/>
      <c r="O1656" s="9"/>
      <c r="P1656" s="9"/>
    </row>
    <row r="1657">
      <c r="A1657" s="9"/>
      <c r="B1657" s="8"/>
      <c r="C1657" s="8"/>
      <c r="D1657" s="8"/>
      <c r="E1657" s="9"/>
      <c r="F1657" s="9"/>
      <c r="G1657" s="9"/>
      <c r="H1657" s="9"/>
      <c r="I1657" s="8"/>
      <c r="J1657" s="9"/>
      <c r="K1657" s="9"/>
      <c r="L1657" s="9"/>
      <c r="M1657" s="9"/>
      <c r="N1657" s="9"/>
      <c r="O1657" s="9"/>
      <c r="P1657" s="9"/>
    </row>
    <row r="1658">
      <c r="A1658" s="9"/>
      <c r="B1658" s="8"/>
      <c r="C1658" s="8"/>
      <c r="D1658" s="8"/>
      <c r="E1658" s="9"/>
      <c r="F1658" s="9"/>
      <c r="G1658" s="9"/>
      <c r="H1658" s="9"/>
      <c r="I1658" s="8"/>
      <c r="J1658" s="9"/>
      <c r="K1658" s="9"/>
      <c r="L1658" s="9"/>
      <c r="M1658" s="9"/>
      <c r="N1658" s="9"/>
      <c r="O1658" s="9"/>
      <c r="P1658" s="9"/>
    </row>
    <row r="1659">
      <c r="A1659" s="9"/>
      <c r="B1659" s="8"/>
      <c r="C1659" s="8"/>
      <c r="D1659" s="8"/>
      <c r="E1659" s="9"/>
      <c r="F1659" s="9"/>
      <c r="G1659" s="9"/>
      <c r="H1659" s="9"/>
      <c r="I1659" s="8"/>
      <c r="J1659" s="9"/>
      <c r="K1659" s="9"/>
      <c r="L1659" s="9"/>
      <c r="M1659" s="9"/>
      <c r="N1659" s="9"/>
      <c r="O1659" s="9"/>
      <c r="P1659" s="9"/>
    </row>
    <row r="1660">
      <c r="A1660" s="9"/>
      <c r="B1660" s="8"/>
      <c r="C1660" s="8"/>
      <c r="D1660" s="8"/>
      <c r="E1660" s="9"/>
      <c r="F1660" s="9"/>
      <c r="G1660" s="9"/>
      <c r="H1660" s="9"/>
      <c r="I1660" s="8"/>
      <c r="J1660" s="9"/>
      <c r="K1660" s="9"/>
      <c r="L1660" s="9"/>
      <c r="M1660" s="9"/>
      <c r="N1660" s="9"/>
      <c r="O1660" s="9"/>
      <c r="P1660" s="9"/>
    </row>
    <row r="1661">
      <c r="A1661" s="9"/>
      <c r="B1661" s="8"/>
      <c r="C1661" s="8"/>
      <c r="D1661" s="8"/>
      <c r="E1661" s="9"/>
      <c r="F1661" s="9"/>
      <c r="G1661" s="9"/>
      <c r="H1661" s="9"/>
      <c r="I1661" s="8"/>
      <c r="J1661" s="9"/>
      <c r="K1661" s="9"/>
      <c r="L1661" s="9"/>
      <c r="M1661" s="9"/>
      <c r="N1661" s="9"/>
      <c r="O1661" s="9"/>
      <c r="P1661" s="9"/>
    </row>
    <row r="1662">
      <c r="A1662" s="9"/>
      <c r="B1662" s="8"/>
      <c r="C1662" s="8"/>
      <c r="D1662" s="8"/>
      <c r="E1662" s="9"/>
      <c r="F1662" s="9"/>
      <c r="G1662" s="9"/>
      <c r="H1662" s="9"/>
      <c r="I1662" s="8"/>
      <c r="J1662" s="9"/>
      <c r="K1662" s="9"/>
      <c r="L1662" s="9"/>
      <c r="M1662" s="9"/>
      <c r="N1662" s="9"/>
      <c r="O1662" s="9"/>
      <c r="P1662" s="9"/>
    </row>
    <row r="1663">
      <c r="A1663" s="9"/>
      <c r="B1663" s="8"/>
      <c r="C1663" s="8"/>
      <c r="D1663" s="8"/>
      <c r="E1663" s="9"/>
      <c r="F1663" s="9"/>
      <c r="G1663" s="9"/>
      <c r="H1663" s="9"/>
      <c r="I1663" s="8"/>
      <c r="J1663" s="9"/>
      <c r="K1663" s="9"/>
      <c r="L1663" s="9"/>
      <c r="M1663" s="9"/>
      <c r="N1663" s="9"/>
      <c r="O1663" s="9"/>
      <c r="P1663" s="9"/>
    </row>
    <row r="1664">
      <c r="A1664" s="9"/>
      <c r="B1664" s="8"/>
      <c r="C1664" s="8"/>
      <c r="D1664" s="8"/>
      <c r="E1664" s="9"/>
      <c r="F1664" s="9"/>
      <c r="G1664" s="9"/>
      <c r="H1664" s="9"/>
      <c r="I1664" s="8"/>
      <c r="J1664" s="9"/>
      <c r="K1664" s="9"/>
      <c r="L1664" s="9"/>
      <c r="M1664" s="9"/>
      <c r="N1664" s="9"/>
      <c r="O1664" s="9"/>
      <c r="P1664" s="9"/>
    </row>
    <row r="1665">
      <c r="A1665" s="9"/>
      <c r="B1665" s="8"/>
      <c r="C1665" s="8"/>
      <c r="D1665" s="8"/>
      <c r="E1665" s="9"/>
      <c r="F1665" s="9"/>
      <c r="G1665" s="9"/>
      <c r="H1665" s="9"/>
      <c r="I1665" s="8"/>
      <c r="J1665" s="9"/>
      <c r="K1665" s="9"/>
      <c r="L1665" s="9"/>
      <c r="M1665" s="9"/>
      <c r="N1665" s="9"/>
      <c r="O1665" s="9"/>
      <c r="P1665" s="9"/>
    </row>
    <row r="1666">
      <c r="A1666" s="9"/>
      <c r="B1666" s="8"/>
      <c r="C1666" s="8"/>
      <c r="D1666" s="8"/>
      <c r="E1666" s="9"/>
      <c r="F1666" s="9"/>
      <c r="G1666" s="9"/>
      <c r="H1666" s="9"/>
      <c r="I1666" s="8"/>
      <c r="J1666" s="9"/>
      <c r="K1666" s="9"/>
      <c r="L1666" s="9"/>
      <c r="M1666" s="9"/>
      <c r="N1666" s="9"/>
      <c r="O1666" s="9"/>
      <c r="P1666" s="9"/>
    </row>
    <row r="1667">
      <c r="A1667" s="9"/>
      <c r="B1667" s="8"/>
      <c r="C1667" s="8"/>
      <c r="D1667" s="8"/>
      <c r="E1667" s="9"/>
      <c r="F1667" s="9"/>
      <c r="G1667" s="9"/>
      <c r="H1667" s="9"/>
      <c r="I1667" s="8"/>
      <c r="J1667" s="9"/>
      <c r="K1667" s="9"/>
      <c r="L1667" s="9"/>
      <c r="M1667" s="9"/>
      <c r="N1667" s="9"/>
      <c r="O1667" s="9"/>
      <c r="P1667" s="9"/>
    </row>
    <row r="1668">
      <c r="A1668" s="9"/>
      <c r="B1668" s="8"/>
      <c r="C1668" s="8"/>
      <c r="D1668" s="8"/>
      <c r="E1668" s="9"/>
      <c r="F1668" s="9"/>
      <c r="G1668" s="9"/>
      <c r="H1668" s="9"/>
      <c r="I1668" s="8"/>
      <c r="J1668" s="9"/>
      <c r="K1668" s="9"/>
      <c r="L1668" s="9"/>
      <c r="M1668" s="9"/>
      <c r="N1668" s="9"/>
      <c r="O1668" s="9"/>
      <c r="P1668" s="9"/>
    </row>
    <row r="1669">
      <c r="A1669" s="9"/>
      <c r="B1669" s="8"/>
      <c r="C1669" s="8"/>
      <c r="D1669" s="8"/>
      <c r="E1669" s="9"/>
      <c r="F1669" s="9"/>
      <c r="G1669" s="9"/>
      <c r="H1669" s="9"/>
      <c r="I1669" s="8"/>
      <c r="J1669" s="9"/>
      <c r="K1669" s="9"/>
      <c r="L1669" s="9"/>
      <c r="M1669" s="9"/>
      <c r="N1669" s="9"/>
      <c r="O1669" s="9"/>
      <c r="P1669" s="9"/>
    </row>
    <row r="1670">
      <c r="A1670" s="9"/>
      <c r="B1670" s="8"/>
      <c r="C1670" s="8"/>
      <c r="D1670" s="8"/>
      <c r="E1670" s="9"/>
      <c r="F1670" s="9"/>
      <c r="G1670" s="9"/>
      <c r="H1670" s="9"/>
      <c r="I1670" s="8"/>
      <c r="J1670" s="9"/>
      <c r="K1670" s="9"/>
      <c r="L1670" s="9"/>
      <c r="M1670" s="9"/>
      <c r="N1670" s="9"/>
      <c r="O1670" s="9"/>
      <c r="P1670" s="9"/>
    </row>
    <row r="1671">
      <c r="A1671" s="9"/>
      <c r="B1671" s="8"/>
      <c r="C1671" s="8"/>
      <c r="D1671" s="8"/>
      <c r="E1671" s="9"/>
      <c r="F1671" s="9"/>
      <c r="G1671" s="9"/>
      <c r="H1671" s="9"/>
      <c r="I1671" s="8"/>
      <c r="J1671" s="9"/>
      <c r="K1671" s="9"/>
      <c r="L1671" s="9"/>
      <c r="M1671" s="9"/>
      <c r="N1671" s="9"/>
      <c r="O1671" s="9"/>
      <c r="P1671" s="9"/>
    </row>
    <row r="1672">
      <c r="A1672" s="9"/>
      <c r="B1672" s="8"/>
      <c r="C1672" s="8"/>
      <c r="D1672" s="8"/>
      <c r="E1672" s="9"/>
      <c r="F1672" s="9"/>
      <c r="G1672" s="9"/>
      <c r="H1672" s="9"/>
      <c r="I1672" s="8"/>
      <c r="J1672" s="9"/>
      <c r="K1672" s="9"/>
      <c r="L1672" s="9"/>
      <c r="M1672" s="9"/>
      <c r="N1672" s="9"/>
      <c r="O1672" s="9"/>
      <c r="P1672" s="9"/>
    </row>
    <row r="1673">
      <c r="A1673" s="9"/>
      <c r="B1673" s="8"/>
      <c r="C1673" s="8"/>
      <c r="D1673" s="8"/>
      <c r="E1673" s="9"/>
      <c r="F1673" s="9"/>
      <c r="G1673" s="9"/>
      <c r="H1673" s="9"/>
      <c r="I1673" s="8"/>
      <c r="J1673" s="9"/>
      <c r="K1673" s="9"/>
      <c r="L1673" s="9"/>
      <c r="M1673" s="9"/>
      <c r="N1673" s="9"/>
      <c r="O1673" s="9"/>
      <c r="P1673" s="9"/>
    </row>
    <row r="1674">
      <c r="A1674" s="9"/>
      <c r="B1674" s="8"/>
      <c r="C1674" s="8"/>
      <c r="D1674" s="8"/>
      <c r="E1674" s="9"/>
      <c r="F1674" s="9"/>
      <c r="G1674" s="9"/>
      <c r="H1674" s="9"/>
      <c r="I1674" s="8"/>
      <c r="J1674" s="9"/>
      <c r="K1674" s="9"/>
      <c r="L1674" s="9"/>
      <c r="M1674" s="9"/>
      <c r="N1674" s="9"/>
      <c r="O1674" s="9"/>
      <c r="P1674" s="9"/>
    </row>
    <row r="1675">
      <c r="A1675" s="9"/>
      <c r="B1675" s="8"/>
      <c r="C1675" s="8"/>
      <c r="D1675" s="8"/>
      <c r="E1675" s="9"/>
      <c r="F1675" s="9"/>
      <c r="G1675" s="9"/>
      <c r="H1675" s="9"/>
      <c r="I1675" s="8"/>
      <c r="J1675" s="9"/>
      <c r="K1675" s="9"/>
      <c r="L1675" s="9"/>
      <c r="M1675" s="9"/>
      <c r="N1675" s="9"/>
      <c r="O1675" s="9"/>
      <c r="P1675" s="9"/>
    </row>
    <row r="1676">
      <c r="A1676" s="9"/>
      <c r="B1676" s="8"/>
      <c r="C1676" s="8"/>
      <c r="D1676" s="8"/>
      <c r="E1676" s="9"/>
      <c r="F1676" s="9"/>
      <c r="G1676" s="9"/>
      <c r="H1676" s="9"/>
      <c r="I1676" s="8"/>
      <c r="J1676" s="9"/>
      <c r="K1676" s="9"/>
      <c r="L1676" s="9"/>
      <c r="M1676" s="9"/>
      <c r="N1676" s="9"/>
      <c r="O1676" s="9"/>
      <c r="P1676" s="9"/>
    </row>
    <row r="1677">
      <c r="A1677" s="9"/>
      <c r="B1677" s="8"/>
      <c r="C1677" s="8"/>
      <c r="D1677" s="8"/>
      <c r="E1677" s="9"/>
      <c r="F1677" s="9"/>
      <c r="G1677" s="9"/>
      <c r="H1677" s="9"/>
      <c r="I1677" s="8"/>
      <c r="J1677" s="9"/>
      <c r="K1677" s="9"/>
      <c r="L1677" s="9"/>
      <c r="M1677" s="9"/>
      <c r="N1677" s="9"/>
      <c r="O1677" s="9"/>
      <c r="P1677" s="9"/>
    </row>
    <row r="1678">
      <c r="A1678" s="9"/>
      <c r="B1678" s="8"/>
      <c r="C1678" s="8"/>
      <c r="D1678" s="8"/>
      <c r="E1678" s="9"/>
      <c r="F1678" s="9"/>
      <c r="G1678" s="9"/>
      <c r="H1678" s="9"/>
      <c r="I1678" s="8"/>
      <c r="J1678" s="9"/>
      <c r="K1678" s="9"/>
      <c r="L1678" s="9"/>
      <c r="M1678" s="9"/>
      <c r="N1678" s="9"/>
      <c r="O1678" s="9"/>
      <c r="P1678" s="9"/>
    </row>
    <row r="1679">
      <c r="A1679" s="9"/>
      <c r="B1679" s="8"/>
      <c r="C1679" s="8"/>
      <c r="D1679" s="8"/>
      <c r="E1679" s="9"/>
      <c r="F1679" s="9"/>
      <c r="G1679" s="9"/>
      <c r="H1679" s="9"/>
      <c r="I1679" s="8"/>
      <c r="J1679" s="9"/>
      <c r="K1679" s="9"/>
      <c r="L1679" s="9"/>
      <c r="M1679" s="9"/>
      <c r="N1679" s="9"/>
      <c r="O1679" s="9"/>
      <c r="P1679" s="9"/>
    </row>
    <row r="1680">
      <c r="A1680" s="9"/>
      <c r="B1680" s="8"/>
      <c r="C1680" s="8"/>
      <c r="D1680" s="8"/>
      <c r="E1680" s="9"/>
      <c r="F1680" s="9"/>
      <c r="G1680" s="9"/>
      <c r="H1680" s="9"/>
      <c r="I1680" s="8"/>
      <c r="J1680" s="9"/>
      <c r="K1680" s="9"/>
      <c r="L1680" s="9"/>
      <c r="M1680" s="9"/>
      <c r="N1680" s="9"/>
      <c r="O1680" s="9"/>
      <c r="P1680" s="9"/>
    </row>
    <row r="1681">
      <c r="A1681" s="9"/>
      <c r="B1681" s="8"/>
      <c r="C1681" s="8"/>
      <c r="D1681" s="8"/>
      <c r="E1681" s="9"/>
      <c r="F1681" s="9"/>
      <c r="G1681" s="9"/>
      <c r="H1681" s="9"/>
      <c r="I1681" s="8"/>
      <c r="J1681" s="9"/>
      <c r="K1681" s="9"/>
      <c r="L1681" s="9"/>
      <c r="M1681" s="9"/>
      <c r="N1681" s="9"/>
      <c r="O1681" s="9"/>
      <c r="P1681" s="9"/>
    </row>
    <row r="1682">
      <c r="A1682" s="9"/>
      <c r="B1682" s="8"/>
      <c r="C1682" s="8"/>
      <c r="D1682" s="8"/>
      <c r="E1682" s="9"/>
      <c r="F1682" s="9"/>
      <c r="G1682" s="9"/>
      <c r="H1682" s="9"/>
      <c r="I1682" s="8"/>
      <c r="J1682" s="9"/>
      <c r="K1682" s="9"/>
      <c r="L1682" s="9"/>
      <c r="M1682" s="9"/>
      <c r="N1682" s="9"/>
      <c r="O1682" s="9"/>
      <c r="P1682" s="9"/>
    </row>
    <row r="1683">
      <c r="A1683" s="9"/>
      <c r="B1683" s="8"/>
      <c r="C1683" s="8"/>
      <c r="D1683" s="8"/>
      <c r="E1683" s="9"/>
      <c r="F1683" s="9"/>
      <c r="G1683" s="9"/>
      <c r="H1683" s="9"/>
      <c r="I1683" s="8"/>
      <c r="J1683" s="9"/>
      <c r="K1683" s="9"/>
      <c r="L1683" s="9"/>
      <c r="M1683" s="9"/>
      <c r="N1683" s="9"/>
      <c r="O1683" s="9"/>
      <c r="P1683" s="9"/>
    </row>
    <row r="1684">
      <c r="A1684" s="9"/>
      <c r="B1684" s="8"/>
      <c r="C1684" s="8"/>
      <c r="D1684" s="8"/>
      <c r="E1684" s="9"/>
      <c r="F1684" s="9"/>
      <c r="G1684" s="9"/>
      <c r="H1684" s="9"/>
      <c r="I1684" s="8"/>
      <c r="J1684" s="9"/>
      <c r="K1684" s="9"/>
      <c r="L1684" s="9"/>
      <c r="M1684" s="9"/>
      <c r="N1684" s="9"/>
      <c r="O1684" s="9"/>
      <c r="P1684" s="9"/>
    </row>
    <row r="1685">
      <c r="A1685" s="9"/>
      <c r="B1685" s="8"/>
      <c r="C1685" s="8"/>
      <c r="D1685" s="8"/>
      <c r="E1685" s="9"/>
      <c r="F1685" s="9"/>
      <c r="G1685" s="9"/>
      <c r="H1685" s="9"/>
      <c r="I1685" s="8"/>
      <c r="J1685" s="9"/>
      <c r="K1685" s="9"/>
      <c r="L1685" s="9"/>
      <c r="M1685" s="9"/>
      <c r="N1685" s="9"/>
      <c r="O1685" s="9"/>
      <c r="P1685" s="9"/>
    </row>
    <row r="1686">
      <c r="A1686" s="9"/>
      <c r="B1686" s="8"/>
      <c r="C1686" s="8"/>
      <c r="D1686" s="8"/>
      <c r="E1686" s="9"/>
      <c r="F1686" s="9"/>
      <c r="G1686" s="9"/>
      <c r="H1686" s="9"/>
      <c r="I1686" s="8"/>
      <c r="J1686" s="9"/>
      <c r="K1686" s="9"/>
      <c r="L1686" s="9"/>
      <c r="M1686" s="9"/>
      <c r="N1686" s="9"/>
      <c r="O1686" s="9"/>
      <c r="P1686" s="9"/>
    </row>
    <row r="1687">
      <c r="A1687" s="9"/>
      <c r="B1687" s="8"/>
      <c r="C1687" s="8"/>
      <c r="D1687" s="8"/>
      <c r="E1687" s="9"/>
      <c r="F1687" s="9"/>
      <c r="G1687" s="9"/>
      <c r="H1687" s="9"/>
      <c r="I1687" s="8"/>
      <c r="J1687" s="9"/>
      <c r="K1687" s="9"/>
      <c r="L1687" s="9"/>
      <c r="M1687" s="9"/>
      <c r="N1687" s="9"/>
      <c r="O1687" s="9"/>
      <c r="P1687" s="9"/>
    </row>
    <row r="1688">
      <c r="A1688" s="9"/>
      <c r="B1688" s="8"/>
      <c r="C1688" s="8"/>
      <c r="D1688" s="8"/>
      <c r="E1688" s="9"/>
      <c r="F1688" s="9"/>
      <c r="G1688" s="9"/>
      <c r="H1688" s="9"/>
      <c r="I1688" s="8"/>
      <c r="J1688" s="9"/>
      <c r="K1688" s="9"/>
      <c r="L1688" s="9"/>
      <c r="M1688" s="9"/>
      <c r="N1688" s="9"/>
      <c r="O1688" s="9"/>
      <c r="P1688" s="9"/>
    </row>
    <row r="1689">
      <c r="A1689" s="9"/>
      <c r="B1689" s="8"/>
      <c r="C1689" s="8"/>
      <c r="D1689" s="8"/>
      <c r="E1689" s="9"/>
      <c r="F1689" s="9"/>
      <c r="G1689" s="9"/>
      <c r="H1689" s="9"/>
      <c r="I1689" s="8"/>
      <c r="J1689" s="9"/>
      <c r="K1689" s="9"/>
      <c r="L1689" s="9"/>
      <c r="M1689" s="9"/>
      <c r="N1689" s="9"/>
      <c r="O1689" s="9"/>
      <c r="P1689" s="9"/>
    </row>
    <row r="1690">
      <c r="A1690" s="9"/>
      <c r="B1690" s="8"/>
      <c r="C1690" s="8"/>
      <c r="D1690" s="8"/>
      <c r="E1690" s="9"/>
      <c r="F1690" s="9"/>
      <c r="G1690" s="9"/>
      <c r="H1690" s="9"/>
      <c r="I1690" s="8"/>
      <c r="J1690" s="9"/>
      <c r="K1690" s="9"/>
      <c r="L1690" s="9"/>
      <c r="M1690" s="9"/>
      <c r="N1690" s="9"/>
      <c r="O1690" s="9"/>
      <c r="P1690" s="9"/>
    </row>
    <row r="1691">
      <c r="A1691" s="9"/>
      <c r="B1691" s="8"/>
      <c r="C1691" s="8"/>
      <c r="D1691" s="8"/>
      <c r="E1691" s="9"/>
      <c r="F1691" s="9"/>
      <c r="G1691" s="9"/>
      <c r="H1691" s="9"/>
      <c r="I1691" s="8"/>
      <c r="J1691" s="9"/>
      <c r="K1691" s="9"/>
      <c r="L1691" s="9"/>
      <c r="M1691" s="9"/>
      <c r="N1691" s="9"/>
      <c r="O1691" s="9"/>
      <c r="P1691" s="9"/>
    </row>
    <row r="1692">
      <c r="A1692" s="9"/>
      <c r="B1692" s="8"/>
      <c r="C1692" s="8"/>
      <c r="D1692" s="8"/>
      <c r="E1692" s="9"/>
      <c r="F1692" s="9"/>
      <c r="G1692" s="9"/>
      <c r="H1692" s="9"/>
      <c r="I1692" s="8"/>
      <c r="J1692" s="9"/>
      <c r="K1692" s="9"/>
      <c r="L1692" s="9"/>
      <c r="M1692" s="9"/>
      <c r="N1692" s="9"/>
      <c r="O1692" s="9"/>
      <c r="P1692" s="9"/>
    </row>
    <row r="1693">
      <c r="A1693" s="9"/>
      <c r="B1693" s="8"/>
      <c r="C1693" s="8"/>
      <c r="D1693" s="8"/>
      <c r="E1693" s="9"/>
      <c r="F1693" s="9"/>
      <c r="G1693" s="9"/>
      <c r="H1693" s="9"/>
      <c r="I1693" s="8"/>
      <c r="J1693" s="9"/>
      <c r="K1693" s="9"/>
      <c r="L1693" s="9"/>
      <c r="M1693" s="9"/>
      <c r="N1693" s="9"/>
      <c r="O1693" s="9"/>
      <c r="P1693" s="9"/>
    </row>
    <row r="1694">
      <c r="A1694" s="9"/>
      <c r="B1694" s="8"/>
      <c r="C1694" s="8"/>
      <c r="D1694" s="8"/>
      <c r="E1694" s="9"/>
      <c r="F1694" s="9"/>
      <c r="G1694" s="9"/>
      <c r="H1694" s="9"/>
      <c r="I1694" s="8"/>
      <c r="J1694" s="9"/>
      <c r="K1694" s="9"/>
      <c r="L1694" s="9"/>
      <c r="M1694" s="9"/>
      <c r="N1694" s="9"/>
      <c r="O1694" s="9"/>
      <c r="P1694" s="9"/>
    </row>
    <row r="1695">
      <c r="A1695" s="9"/>
      <c r="B1695" s="8"/>
      <c r="C1695" s="8"/>
      <c r="D1695" s="8"/>
      <c r="E1695" s="9"/>
      <c r="F1695" s="9"/>
      <c r="G1695" s="9"/>
      <c r="H1695" s="9"/>
      <c r="I1695" s="8"/>
      <c r="J1695" s="9"/>
      <c r="K1695" s="9"/>
      <c r="L1695" s="9"/>
      <c r="M1695" s="9"/>
      <c r="N1695" s="9"/>
      <c r="O1695" s="9"/>
      <c r="P1695" s="9"/>
    </row>
    <row r="1696">
      <c r="A1696" s="9"/>
      <c r="B1696" s="8"/>
      <c r="C1696" s="8"/>
      <c r="D1696" s="8"/>
      <c r="E1696" s="9"/>
      <c r="F1696" s="9"/>
      <c r="G1696" s="9"/>
      <c r="H1696" s="9"/>
      <c r="I1696" s="8"/>
      <c r="J1696" s="9"/>
      <c r="K1696" s="9"/>
      <c r="L1696" s="9"/>
      <c r="M1696" s="9"/>
      <c r="N1696" s="9"/>
      <c r="O1696" s="9"/>
      <c r="P1696" s="9"/>
    </row>
    <row r="1697">
      <c r="A1697" s="9"/>
      <c r="B1697" s="8"/>
      <c r="C1697" s="8"/>
      <c r="D1697" s="8"/>
      <c r="E1697" s="9"/>
      <c r="F1697" s="9"/>
      <c r="G1697" s="9"/>
      <c r="H1697" s="9"/>
      <c r="I1697" s="8"/>
      <c r="J1697" s="9"/>
      <c r="K1697" s="9"/>
      <c r="L1697" s="9"/>
      <c r="M1697" s="9"/>
      <c r="N1697" s="9"/>
      <c r="O1697" s="9"/>
      <c r="P1697" s="9"/>
    </row>
    <row r="1698">
      <c r="A1698" s="9"/>
      <c r="B1698" s="8"/>
      <c r="C1698" s="8"/>
      <c r="D1698" s="8"/>
      <c r="E1698" s="9"/>
      <c r="F1698" s="9"/>
      <c r="G1698" s="9"/>
      <c r="H1698" s="9"/>
      <c r="I1698" s="8"/>
      <c r="J1698" s="9"/>
      <c r="K1698" s="9"/>
      <c r="L1698" s="9"/>
      <c r="M1698" s="9"/>
      <c r="N1698" s="9"/>
      <c r="O1698" s="9"/>
      <c r="P1698" s="9"/>
    </row>
    <row r="1699">
      <c r="A1699" s="9"/>
      <c r="B1699" s="8"/>
      <c r="C1699" s="8"/>
      <c r="D1699" s="8"/>
      <c r="E1699" s="9"/>
      <c r="F1699" s="9"/>
      <c r="G1699" s="9"/>
      <c r="H1699" s="9"/>
      <c r="I1699" s="8"/>
      <c r="J1699" s="9"/>
      <c r="K1699" s="9"/>
      <c r="L1699" s="9"/>
      <c r="M1699" s="9"/>
      <c r="N1699" s="9"/>
      <c r="O1699" s="9"/>
      <c r="P1699" s="9"/>
    </row>
    <row r="1700">
      <c r="A1700" s="9"/>
      <c r="B1700" s="8"/>
      <c r="C1700" s="8"/>
      <c r="D1700" s="8"/>
      <c r="E1700" s="9"/>
      <c r="F1700" s="9"/>
      <c r="G1700" s="9"/>
      <c r="H1700" s="9"/>
      <c r="I1700" s="8"/>
      <c r="J1700" s="9"/>
      <c r="K1700" s="9"/>
      <c r="L1700" s="9"/>
      <c r="M1700" s="9"/>
      <c r="N1700" s="9"/>
      <c r="O1700" s="9"/>
      <c r="P1700" s="9"/>
    </row>
    <row r="1701">
      <c r="A1701" s="9"/>
      <c r="B1701" s="8"/>
      <c r="C1701" s="8"/>
      <c r="D1701" s="8"/>
      <c r="E1701" s="9"/>
      <c r="F1701" s="9"/>
      <c r="G1701" s="9"/>
      <c r="H1701" s="9"/>
      <c r="I1701" s="8"/>
      <c r="J1701" s="9"/>
      <c r="K1701" s="9"/>
      <c r="L1701" s="9"/>
      <c r="M1701" s="9"/>
      <c r="N1701" s="9"/>
      <c r="O1701" s="9"/>
      <c r="P1701" s="9"/>
    </row>
    <row r="1702">
      <c r="A1702" s="9"/>
      <c r="B1702" s="8"/>
      <c r="C1702" s="8"/>
      <c r="D1702" s="8"/>
      <c r="E1702" s="9"/>
      <c r="F1702" s="9"/>
      <c r="G1702" s="9"/>
      <c r="H1702" s="9"/>
      <c r="I1702" s="8"/>
      <c r="J1702" s="9"/>
      <c r="K1702" s="9"/>
      <c r="L1702" s="9"/>
      <c r="M1702" s="9"/>
      <c r="N1702" s="9"/>
      <c r="O1702" s="9"/>
      <c r="P1702" s="9"/>
    </row>
    <row r="1703">
      <c r="A1703" s="9"/>
      <c r="B1703" s="8"/>
      <c r="C1703" s="8"/>
      <c r="D1703" s="8"/>
      <c r="E1703" s="9"/>
      <c r="F1703" s="9"/>
      <c r="G1703" s="9"/>
      <c r="H1703" s="9"/>
      <c r="I1703" s="8"/>
      <c r="J1703" s="9"/>
      <c r="K1703" s="9"/>
      <c r="L1703" s="9"/>
      <c r="M1703" s="9"/>
      <c r="N1703" s="9"/>
      <c r="O1703" s="9"/>
      <c r="P1703" s="9"/>
    </row>
    <row r="1704">
      <c r="A1704" s="9"/>
      <c r="B1704" s="8"/>
      <c r="C1704" s="8"/>
      <c r="D1704" s="8"/>
      <c r="E1704" s="9"/>
      <c r="F1704" s="9"/>
      <c r="G1704" s="9"/>
      <c r="H1704" s="9"/>
      <c r="I1704" s="8"/>
      <c r="J1704" s="9"/>
      <c r="K1704" s="9"/>
      <c r="L1704" s="9"/>
      <c r="M1704" s="9"/>
      <c r="N1704" s="9"/>
      <c r="O1704" s="9"/>
      <c r="P1704" s="9"/>
    </row>
    <row r="1705">
      <c r="A1705" s="9"/>
      <c r="B1705" s="8"/>
      <c r="C1705" s="8"/>
      <c r="D1705" s="8"/>
      <c r="E1705" s="9"/>
      <c r="F1705" s="9"/>
      <c r="G1705" s="9"/>
      <c r="H1705" s="9"/>
      <c r="I1705" s="8"/>
      <c r="J1705" s="9"/>
      <c r="K1705" s="9"/>
      <c r="L1705" s="9"/>
      <c r="M1705" s="9"/>
      <c r="N1705" s="9"/>
      <c r="O1705" s="9"/>
      <c r="P1705" s="9"/>
    </row>
    <row r="1706">
      <c r="A1706" s="9"/>
      <c r="B1706" s="8"/>
      <c r="C1706" s="8"/>
      <c r="D1706" s="8"/>
      <c r="E1706" s="9"/>
      <c r="F1706" s="9"/>
      <c r="G1706" s="9"/>
      <c r="H1706" s="9"/>
      <c r="I1706" s="8"/>
      <c r="J1706" s="9"/>
      <c r="K1706" s="9"/>
      <c r="L1706" s="9"/>
      <c r="M1706" s="9"/>
      <c r="N1706" s="9"/>
      <c r="O1706" s="9"/>
      <c r="P1706" s="9"/>
    </row>
    <row r="1707">
      <c r="A1707" s="9"/>
      <c r="B1707" s="8"/>
      <c r="C1707" s="8"/>
      <c r="D1707" s="8"/>
      <c r="E1707" s="9"/>
      <c r="F1707" s="9"/>
      <c r="G1707" s="9"/>
      <c r="H1707" s="9"/>
      <c r="I1707" s="8"/>
      <c r="J1707" s="9"/>
      <c r="K1707" s="9"/>
      <c r="L1707" s="9"/>
      <c r="M1707" s="9"/>
      <c r="N1707" s="9"/>
      <c r="O1707" s="9"/>
      <c r="P1707" s="9"/>
    </row>
    <row r="1708">
      <c r="A1708" s="9"/>
      <c r="B1708" s="8"/>
      <c r="C1708" s="8"/>
      <c r="D1708" s="8"/>
      <c r="E1708" s="9"/>
      <c r="F1708" s="9"/>
      <c r="G1708" s="9"/>
      <c r="H1708" s="9"/>
      <c r="I1708" s="8"/>
      <c r="J1708" s="9"/>
      <c r="K1708" s="9"/>
      <c r="L1708" s="9"/>
      <c r="M1708" s="9"/>
      <c r="N1708" s="9"/>
      <c r="O1708" s="9"/>
      <c r="P1708" s="9"/>
    </row>
    <row r="1709">
      <c r="A1709" s="9"/>
      <c r="B1709" s="8"/>
      <c r="C1709" s="8"/>
      <c r="D1709" s="8"/>
      <c r="E1709" s="9"/>
      <c r="F1709" s="9"/>
      <c r="G1709" s="9"/>
      <c r="H1709" s="9"/>
      <c r="I1709" s="8"/>
      <c r="J1709" s="9"/>
      <c r="K1709" s="9"/>
      <c r="L1709" s="9"/>
      <c r="M1709" s="9"/>
      <c r="N1709" s="9"/>
      <c r="O1709" s="9"/>
      <c r="P1709" s="9"/>
    </row>
    <row r="1710">
      <c r="A1710" s="9"/>
      <c r="B1710" s="8"/>
      <c r="C1710" s="8"/>
      <c r="D1710" s="8"/>
      <c r="E1710" s="9"/>
      <c r="F1710" s="9"/>
      <c r="G1710" s="9"/>
      <c r="H1710" s="9"/>
      <c r="I1710" s="8"/>
      <c r="J1710" s="9"/>
      <c r="K1710" s="9"/>
      <c r="L1710" s="9"/>
      <c r="M1710" s="9"/>
      <c r="N1710" s="9"/>
      <c r="O1710" s="9"/>
      <c r="P1710" s="9"/>
    </row>
    <row r="1711">
      <c r="A1711" s="9"/>
      <c r="B1711" s="8"/>
      <c r="C1711" s="8"/>
      <c r="D1711" s="8"/>
      <c r="E1711" s="9"/>
      <c r="F1711" s="9"/>
      <c r="G1711" s="9"/>
      <c r="H1711" s="9"/>
      <c r="I1711" s="8"/>
      <c r="J1711" s="9"/>
      <c r="K1711" s="9"/>
      <c r="L1711" s="9"/>
      <c r="M1711" s="9"/>
      <c r="N1711" s="9"/>
      <c r="O1711" s="9"/>
      <c r="P1711" s="9"/>
    </row>
    <row r="1712">
      <c r="A1712" s="9"/>
      <c r="B1712" s="8"/>
      <c r="C1712" s="8"/>
      <c r="D1712" s="8"/>
      <c r="E1712" s="9"/>
      <c r="F1712" s="9"/>
      <c r="G1712" s="9"/>
      <c r="H1712" s="9"/>
      <c r="I1712" s="8"/>
      <c r="J1712" s="9"/>
      <c r="K1712" s="9"/>
      <c r="L1712" s="9"/>
      <c r="M1712" s="9"/>
      <c r="N1712" s="9"/>
      <c r="O1712" s="9"/>
      <c r="P1712" s="9"/>
    </row>
    <row r="1713">
      <c r="A1713" s="9"/>
      <c r="B1713" s="8"/>
      <c r="C1713" s="8"/>
      <c r="D1713" s="8"/>
      <c r="E1713" s="9"/>
      <c r="F1713" s="9"/>
      <c r="G1713" s="9"/>
      <c r="H1713" s="9"/>
      <c r="I1713" s="8"/>
      <c r="J1713" s="9"/>
      <c r="K1713" s="9"/>
      <c r="L1713" s="9"/>
      <c r="M1713" s="9"/>
      <c r="N1713" s="9"/>
      <c r="O1713" s="9"/>
      <c r="P1713" s="9"/>
    </row>
    <row r="1714">
      <c r="A1714" s="9"/>
      <c r="B1714" s="8"/>
      <c r="C1714" s="8"/>
      <c r="D1714" s="8"/>
      <c r="E1714" s="9"/>
      <c r="F1714" s="9"/>
      <c r="G1714" s="9"/>
      <c r="H1714" s="9"/>
      <c r="I1714" s="8"/>
      <c r="J1714" s="9"/>
      <c r="K1714" s="9"/>
      <c r="L1714" s="9"/>
      <c r="M1714" s="9"/>
      <c r="N1714" s="9"/>
      <c r="O1714" s="9"/>
      <c r="P1714" s="9"/>
    </row>
    <row r="1715">
      <c r="A1715" s="9"/>
      <c r="B1715" s="8"/>
      <c r="C1715" s="8"/>
      <c r="D1715" s="8"/>
      <c r="E1715" s="9"/>
      <c r="F1715" s="9"/>
      <c r="G1715" s="9"/>
      <c r="H1715" s="9"/>
      <c r="I1715" s="8"/>
      <c r="J1715" s="9"/>
      <c r="K1715" s="9"/>
      <c r="L1715" s="9"/>
      <c r="M1715" s="9"/>
      <c r="N1715" s="9"/>
      <c r="O1715" s="9"/>
      <c r="P1715" s="9"/>
    </row>
    <row r="1716">
      <c r="A1716" s="9"/>
      <c r="B1716" s="8"/>
      <c r="C1716" s="8"/>
      <c r="D1716" s="8"/>
      <c r="E1716" s="9"/>
      <c r="F1716" s="9"/>
      <c r="G1716" s="9"/>
      <c r="H1716" s="9"/>
      <c r="I1716" s="8"/>
      <c r="J1716" s="9"/>
      <c r="K1716" s="9"/>
      <c r="L1716" s="9"/>
      <c r="M1716" s="9"/>
      <c r="N1716" s="9"/>
      <c r="O1716" s="9"/>
      <c r="P1716" s="9"/>
    </row>
    <row r="1717">
      <c r="A1717" s="9"/>
      <c r="B1717" s="8"/>
      <c r="C1717" s="8"/>
      <c r="D1717" s="8"/>
      <c r="E1717" s="9"/>
      <c r="F1717" s="9"/>
      <c r="G1717" s="9"/>
      <c r="H1717" s="9"/>
      <c r="I1717" s="8"/>
      <c r="J1717" s="9"/>
      <c r="K1717" s="9"/>
      <c r="L1717" s="9"/>
      <c r="M1717" s="9"/>
      <c r="N1717" s="9"/>
      <c r="O1717" s="9"/>
      <c r="P1717" s="9"/>
    </row>
    <row r="1718">
      <c r="A1718" s="9"/>
      <c r="B1718" s="8"/>
      <c r="C1718" s="8"/>
      <c r="D1718" s="8"/>
      <c r="E1718" s="9"/>
      <c r="F1718" s="9"/>
      <c r="G1718" s="9"/>
      <c r="H1718" s="9"/>
      <c r="I1718" s="8"/>
      <c r="J1718" s="9"/>
      <c r="K1718" s="9"/>
      <c r="L1718" s="9"/>
      <c r="M1718" s="9"/>
      <c r="N1718" s="9"/>
      <c r="O1718" s="9"/>
      <c r="P1718" s="9"/>
    </row>
    <row r="1719">
      <c r="A1719" s="9"/>
      <c r="B1719" s="8"/>
      <c r="C1719" s="8"/>
      <c r="D1719" s="8"/>
      <c r="E1719" s="9"/>
      <c r="F1719" s="9"/>
      <c r="G1719" s="9"/>
      <c r="H1719" s="9"/>
      <c r="I1719" s="8"/>
      <c r="J1719" s="9"/>
      <c r="K1719" s="9"/>
      <c r="L1719" s="9"/>
      <c r="M1719" s="9"/>
      <c r="N1719" s="9"/>
      <c r="O1719" s="9"/>
      <c r="P1719" s="9"/>
    </row>
    <row r="1720">
      <c r="A1720" s="9"/>
      <c r="B1720" s="8"/>
      <c r="C1720" s="8"/>
      <c r="D1720" s="8"/>
      <c r="E1720" s="9"/>
      <c r="F1720" s="9"/>
      <c r="G1720" s="9"/>
      <c r="H1720" s="9"/>
      <c r="I1720" s="8"/>
      <c r="J1720" s="9"/>
      <c r="K1720" s="9"/>
      <c r="L1720" s="9"/>
      <c r="M1720" s="9"/>
      <c r="N1720" s="9"/>
      <c r="O1720" s="9"/>
      <c r="P1720" s="9"/>
    </row>
    <row r="1721">
      <c r="A1721" s="9"/>
      <c r="B1721" s="8"/>
      <c r="C1721" s="8"/>
      <c r="D1721" s="8"/>
      <c r="E1721" s="9"/>
      <c r="F1721" s="9"/>
      <c r="G1721" s="9"/>
      <c r="H1721" s="9"/>
      <c r="I1721" s="8"/>
      <c r="J1721" s="9"/>
      <c r="K1721" s="9"/>
      <c r="L1721" s="9"/>
      <c r="M1721" s="9"/>
      <c r="N1721" s="9"/>
      <c r="O1721" s="9"/>
      <c r="P1721" s="9"/>
    </row>
    <row r="1722">
      <c r="A1722" s="9"/>
      <c r="B1722" s="8"/>
      <c r="C1722" s="8"/>
      <c r="D1722" s="8"/>
      <c r="E1722" s="9"/>
      <c r="F1722" s="9"/>
      <c r="G1722" s="9"/>
      <c r="H1722" s="9"/>
      <c r="I1722" s="8"/>
      <c r="J1722" s="9"/>
      <c r="K1722" s="9"/>
      <c r="L1722" s="9"/>
      <c r="M1722" s="9"/>
      <c r="N1722" s="9"/>
      <c r="O1722" s="9"/>
      <c r="P1722" s="9"/>
    </row>
    <row r="1723">
      <c r="A1723" s="9"/>
      <c r="B1723" s="8"/>
      <c r="C1723" s="8"/>
      <c r="D1723" s="8"/>
      <c r="E1723" s="9"/>
      <c r="F1723" s="9"/>
      <c r="G1723" s="9"/>
      <c r="H1723" s="9"/>
      <c r="I1723" s="8"/>
      <c r="J1723" s="9"/>
      <c r="K1723" s="9"/>
      <c r="L1723" s="9"/>
      <c r="M1723" s="9"/>
      <c r="N1723" s="9"/>
      <c r="O1723" s="9"/>
      <c r="P1723" s="9"/>
    </row>
    <row r="1724">
      <c r="A1724" s="9"/>
      <c r="B1724" s="8"/>
      <c r="C1724" s="8"/>
      <c r="D1724" s="8"/>
      <c r="E1724" s="9"/>
      <c r="F1724" s="9"/>
      <c r="G1724" s="9"/>
      <c r="H1724" s="9"/>
      <c r="I1724" s="8"/>
      <c r="J1724" s="9"/>
      <c r="K1724" s="9"/>
      <c r="L1724" s="9"/>
      <c r="M1724" s="9"/>
      <c r="N1724" s="9"/>
      <c r="O1724" s="9"/>
      <c r="P1724" s="9"/>
    </row>
    <row r="1725">
      <c r="A1725" s="9"/>
      <c r="B1725" s="8"/>
      <c r="C1725" s="8"/>
      <c r="D1725" s="8"/>
      <c r="E1725" s="9"/>
      <c r="F1725" s="9"/>
      <c r="G1725" s="9"/>
      <c r="H1725" s="9"/>
      <c r="I1725" s="8"/>
      <c r="J1725" s="9"/>
      <c r="K1725" s="9"/>
      <c r="L1725" s="9"/>
      <c r="M1725" s="9"/>
      <c r="N1725" s="9"/>
      <c r="O1725" s="9"/>
      <c r="P1725" s="9"/>
    </row>
    <row r="1726">
      <c r="A1726" s="9"/>
      <c r="B1726" s="8"/>
      <c r="C1726" s="8"/>
      <c r="D1726" s="8"/>
      <c r="E1726" s="9"/>
      <c r="F1726" s="9"/>
      <c r="G1726" s="9"/>
      <c r="H1726" s="9"/>
      <c r="I1726" s="8"/>
      <c r="J1726" s="9"/>
      <c r="K1726" s="9"/>
      <c r="L1726" s="9"/>
      <c r="M1726" s="9"/>
      <c r="N1726" s="9"/>
      <c r="O1726" s="9"/>
      <c r="P1726" s="9"/>
    </row>
    <row r="1727">
      <c r="A1727" s="9"/>
      <c r="B1727" s="8"/>
      <c r="C1727" s="8"/>
      <c r="D1727" s="8"/>
      <c r="E1727" s="9"/>
      <c r="F1727" s="9"/>
      <c r="G1727" s="9"/>
      <c r="H1727" s="9"/>
      <c r="I1727" s="8"/>
      <c r="J1727" s="9"/>
      <c r="K1727" s="9"/>
      <c r="L1727" s="9"/>
      <c r="M1727" s="9"/>
      <c r="N1727" s="9"/>
      <c r="O1727" s="9"/>
      <c r="P1727" s="9"/>
    </row>
    <row r="1728">
      <c r="A1728" s="9"/>
      <c r="B1728" s="8"/>
      <c r="C1728" s="8"/>
      <c r="D1728" s="8"/>
      <c r="E1728" s="9"/>
      <c r="F1728" s="9"/>
      <c r="G1728" s="9"/>
      <c r="H1728" s="9"/>
      <c r="I1728" s="8"/>
      <c r="J1728" s="9"/>
      <c r="K1728" s="9"/>
      <c r="L1728" s="9"/>
      <c r="M1728" s="9"/>
      <c r="N1728" s="9"/>
      <c r="O1728" s="9"/>
      <c r="P1728" s="9"/>
    </row>
    <row r="1729">
      <c r="A1729" s="9"/>
      <c r="B1729" s="8"/>
      <c r="C1729" s="8"/>
      <c r="D1729" s="8"/>
      <c r="E1729" s="9"/>
      <c r="F1729" s="9"/>
      <c r="G1729" s="9"/>
      <c r="H1729" s="9"/>
      <c r="I1729" s="8"/>
      <c r="J1729" s="9"/>
      <c r="K1729" s="9"/>
      <c r="L1729" s="9"/>
      <c r="M1729" s="9"/>
      <c r="N1729" s="9"/>
      <c r="O1729" s="9"/>
      <c r="P1729" s="9"/>
    </row>
    <row r="1730">
      <c r="A1730" s="9"/>
      <c r="B1730" s="8"/>
      <c r="C1730" s="8"/>
      <c r="D1730" s="8"/>
      <c r="E1730" s="9"/>
      <c r="F1730" s="9"/>
      <c r="G1730" s="9"/>
      <c r="H1730" s="9"/>
      <c r="I1730" s="8"/>
      <c r="J1730" s="9"/>
      <c r="K1730" s="9"/>
      <c r="L1730" s="9"/>
      <c r="M1730" s="9"/>
      <c r="N1730" s="9"/>
      <c r="O1730" s="9"/>
      <c r="P1730" s="9"/>
    </row>
    <row r="1731">
      <c r="A1731" s="9"/>
      <c r="B1731" s="8"/>
      <c r="C1731" s="8"/>
      <c r="D1731" s="8"/>
      <c r="E1731" s="9"/>
      <c r="F1731" s="9"/>
      <c r="G1731" s="9"/>
      <c r="H1731" s="9"/>
      <c r="I1731" s="8"/>
      <c r="J1731" s="9"/>
      <c r="K1731" s="9"/>
      <c r="L1731" s="9"/>
      <c r="M1731" s="9"/>
      <c r="N1731" s="9"/>
      <c r="O1731" s="9"/>
      <c r="P1731" s="9"/>
    </row>
    <row r="1732">
      <c r="A1732" s="9"/>
      <c r="B1732" s="8"/>
      <c r="C1732" s="8"/>
      <c r="D1732" s="8"/>
      <c r="E1732" s="9"/>
      <c r="F1732" s="9"/>
      <c r="G1732" s="9"/>
      <c r="H1732" s="9"/>
      <c r="I1732" s="8"/>
      <c r="J1732" s="9"/>
      <c r="K1732" s="9"/>
      <c r="L1732" s="9"/>
      <c r="M1732" s="9"/>
      <c r="N1732" s="9"/>
      <c r="O1732" s="9"/>
      <c r="P1732" s="9"/>
    </row>
    <row r="1733">
      <c r="A1733" s="9"/>
      <c r="B1733" s="8"/>
      <c r="C1733" s="8"/>
      <c r="D1733" s="8"/>
      <c r="E1733" s="9"/>
      <c r="F1733" s="9"/>
      <c r="G1733" s="9"/>
      <c r="H1733" s="9"/>
      <c r="I1733" s="8"/>
      <c r="J1733" s="9"/>
      <c r="K1733" s="9"/>
      <c r="L1733" s="9"/>
      <c r="M1733" s="9"/>
      <c r="N1733" s="9"/>
      <c r="O1733" s="9"/>
      <c r="P1733" s="9"/>
    </row>
    <row r="1734">
      <c r="A1734" s="9"/>
      <c r="B1734" s="8"/>
      <c r="C1734" s="8"/>
      <c r="D1734" s="8"/>
      <c r="E1734" s="9"/>
      <c r="F1734" s="9"/>
      <c r="G1734" s="9"/>
      <c r="H1734" s="9"/>
      <c r="I1734" s="8"/>
      <c r="J1734" s="9"/>
      <c r="K1734" s="9"/>
      <c r="L1734" s="9"/>
      <c r="M1734" s="9"/>
      <c r="N1734" s="9"/>
      <c r="O1734" s="9"/>
      <c r="P1734" s="9"/>
    </row>
    <row r="1735">
      <c r="A1735" s="9"/>
      <c r="B1735" s="8"/>
      <c r="C1735" s="8"/>
      <c r="D1735" s="8"/>
      <c r="E1735" s="9"/>
      <c r="F1735" s="9"/>
      <c r="G1735" s="9"/>
      <c r="H1735" s="9"/>
      <c r="I1735" s="8"/>
      <c r="J1735" s="9"/>
      <c r="K1735" s="9"/>
      <c r="L1735" s="9"/>
      <c r="M1735" s="9"/>
      <c r="N1735" s="9"/>
      <c r="O1735" s="9"/>
      <c r="P1735" s="9"/>
    </row>
    <row r="1736">
      <c r="A1736" s="9"/>
      <c r="B1736" s="8"/>
      <c r="C1736" s="8"/>
      <c r="D1736" s="8"/>
      <c r="E1736" s="9"/>
      <c r="F1736" s="9"/>
      <c r="G1736" s="9"/>
      <c r="H1736" s="9"/>
      <c r="I1736" s="8"/>
      <c r="J1736" s="9"/>
      <c r="K1736" s="9"/>
      <c r="L1736" s="9"/>
      <c r="M1736" s="9"/>
      <c r="N1736" s="9"/>
      <c r="O1736" s="9"/>
      <c r="P1736" s="9"/>
    </row>
    <row r="1737">
      <c r="A1737" s="9"/>
      <c r="B1737" s="8"/>
      <c r="C1737" s="8"/>
      <c r="D1737" s="8"/>
      <c r="E1737" s="9"/>
      <c r="F1737" s="9"/>
      <c r="G1737" s="9"/>
      <c r="H1737" s="9"/>
      <c r="I1737" s="8"/>
      <c r="J1737" s="9"/>
      <c r="K1737" s="9"/>
      <c r="L1737" s="9"/>
      <c r="M1737" s="9"/>
      <c r="N1737" s="9"/>
      <c r="O1737" s="9"/>
      <c r="P1737" s="9"/>
    </row>
    <row r="1738">
      <c r="A1738" s="9"/>
      <c r="B1738" s="8"/>
      <c r="C1738" s="8"/>
      <c r="D1738" s="8"/>
      <c r="E1738" s="9"/>
      <c r="F1738" s="9"/>
      <c r="G1738" s="9"/>
      <c r="H1738" s="9"/>
      <c r="I1738" s="8"/>
      <c r="J1738" s="9"/>
      <c r="K1738" s="9"/>
      <c r="L1738" s="9"/>
      <c r="M1738" s="9"/>
      <c r="N1738" s="9"/>
      <c r="O1738" s="9"/>
      <c r="P1738" s="9"/>
    </row>
    <row r="1739">
      <c r="A1739" s="9"/>
      <c r="B1739" s="8"/>
      <c r="C1739" s="8"/>
      <c r="D1739" s="8"/>
      <c r="E1739" s="9"/>
      <c r="F1739" s="9"/>
      <c r="G1739" s="9"/>
      <c r="H1739" s="9"/>
      <c r="I1739" s="8"/>
      <c r="J1739" s="9"/>
      <c r="K1739" s="9"/>
      <c r="L1739" s="9"/>
      <c r="M1739" s="9"/>
      <c r="N1739" s="9"/>
      <c r="O1739" s="9"/>
      <c r="P1739" s="9"/>
    </row>
    <row r="1740">
      <c r="A1740" s="9"/>
      <c r="B1740" s="8"/>
      <c r="C1740" s="8"/>
      <c r="D1740" s="8"/>
      <c r="E1740" s="9"/>
      <c r="F1740" s="9"/>
      <c r="G1740" s="9"/>
      <c r="H1740" s="9"/>
      <c r="I1740" s="8"/>
      <c r="J1740" s="9"/>
      <c r="K1740" s="9"/>
      <c r="L1740" s="9"/>
      <c r="M1740" s="9"/>
      <c r="N1740" s="9"/>
      <c r="O1740" s="9"/>
      <c r="P1740" s="9"/>
    </row>
    <row r="1741">
      <c r="A1741" s="9"/>
      <c r="B1741" s="8"/>
      <c r="C1741" s="8"/>
      <c r="D1741" s="8"/>
      <c r="E1741" s="9"/>
      <c r="F1741" s="9"/>
      <c r="G1741" s="9"/>
      <c r="H1741" s="9"/>
      <c r="I1741" s="8"/>
      <c r="J1741" s="9"/>
      <c r="K1741" s="9"/>
      <c r="L1741" s="9"/>
      <c r="M1741" s="9"/>
      <c r="N1741" s="9"/>
      <c r="O1741" s="9"/>
      <c r="P1741" s="9"/>
    </row>
    <row r="1742">
      <c r="A1742" s="9"/>
      <c r="B1742" s="8"/>
      <c r="C1742" s="8"/>
      <c r="D1742" s="8"/>
      <c r="E1742" s="9"/>
      <c r="F1742" s="9"/>
      <c r="G1742" s="9"/>
      <c r="H1742" s="9"/>
      <c r="I1742" s="8"/>
      <c r="J1742" s="9"/>
      <c r="K1742" s="9"/>
      <c r="L1742" s="9"/>
      <c r="M1742" s="9"/>
      <c r="N1742" s="9"/>
      <c r="O1742" s="9"/>
      <c r="P1742" s="9"/>
    </row>
    <row r="1743">
      <c r="A1743" s="9"/>
      <c r="B1743" s="8"/>
      <c r="C1743" s="8"/>
      <c r="D1743" s="8"/>
      <c r="E1743" s="9"/>
      <c r="F1743" s="9"/>
      <c r="G1743" s="9"/>
      <c r="H1743" s="9"/>
      <c r="I1743" s="8"/>
      <c r="J1743" s="9"/>
      <c r="K1743" s="9"/>
      <c r="L1743" s="9"/>
      <c r="M1743" s="9"/>
      <c r="N1743" s="9"/>
      <c r="O1743" s="9"/>
      <c r="P1743" s="9"/>
    </row>
    <row r="1744">
      <c r="A1744" s="9"/>
      <c r="B1744" s="8"/>
      <c r="C1744" s="8"/>
      <c r="D1744" s="8"/>
      <c r="E1744" s="9"/>
      <c r="F1744" s="9"/>
      <c r="G1744" s="9"/>
      <c r="H1744" s="9"/>
      <c r="I1744" s="8"/>
      <c r="J1744" s="9"/>
      <c r="K1744" s="9"/>
      <c r="L1744" s="9"/>
      <c r="M1744" s="9"/>
      <c r="N1744" s="9"/>
      <c r="O1744" s="9"/>
      <c r="P1744" s="9"/>
    </row>
    <row r="1745">
      <c r="A1745" s="9"/>
      <c r="B1745" s="8"/>
      <c r="C1745" s="8"/>
      <c r="D1745" s="8"/>
      <c r="E1745" s="9"/>
      <c r="F1745" s="9"/>
      <c r="G1745" s="9"/>
      <c r="H1745" s="9"/>
      <c r="I1745" s="8"/>
      <c r="J1745" s="9"/>
      <c r="K1745" s="9"/>
      <c r="L1745" s="9"/>
      <c r="M1745" s="9"/>
      <c r="N1745" s="9"/>
      <c r="O1745" s="9"/>
      <c r="P1745" s="9"/>
    </row>
    <row r="1746">
      <c r="A1746" s="9"/>
      <c r="B1746" s="8"/>
      <c r="C1746" s="8"/>
      <c r="D1746" s="8"/>
      <c r="E1746" s="9"/>
      <c r="F1746" s="9"/>
      <c r="G1746" s="9"/>
      <c r="H1746" s="9"/>
      <c r="I1746" s="8"/>
      <c r="J1746" s="9"/>
      <c r="K1746" s="9"/>
      <c r="L1746" s="9"/>
      <c r="M1746" s="9"/>
      <c r="N1746" s="9"/>
      <c r="O1746" s="9"/>
      <c r="P1746" s="9"/>
    </row>
    <row r="1747">
      <c r="A1747" s="9"/>
      <c r="B1747" s="8"/>
      <c r="C1747" s="8"/>
      <c r="D1747" s="8"/>
      <c r="E1747" s="9"/>
      <c r="F1747" s="9"/>
      <c r="G1747" s="9"/>
      <c r="H1747" s="9"/>
      <c r="I1747" s="8"/>
      <c r="J1747" s="9"/>
      <c r="K1747" s="9"/>
      <c r="L1747" s="9"/>
      <c r="M1747" s="9"/>
      <c r="N1747" s="9"/>
      <c r="O1747" s="9"/>
      <c r="P1747" s="9"/>
    </row>
    <row r="1748">
      <c r="A1748" s="9"/>
      <c r="B1748" s="8"/>
      <c r="C1748" s="8"/>
      <c r="D1748" s="8"/>
      <c r="E1748" s="9"/>
      <c r="F1748" s="9"/>
      <c r="G1748" s="9"/>
      <c r="H1748" s="9"/>
      <c r="I1748" s="8"/>
      <c r="J1748" s="9"/>
      <c r="K1748" s="9"/>
      <c r="L1748" s="9"/>
      <c r="M1748" s="9"/>
      <c r="N1748" s="9"/>
      <c r="O1748" s="9"/>
      <c r="P1748" s="9"/>
    </row>
    <row r="1749">
      <c r="A1749" s="9"/>
      <c r="B1749" s="8"/>
      <c r="C1749" s="8"/>
      <c r="D1749" s="8"/>
      <c r="E1749" s="9"/>
      <c r="F1749" s="9"/>
      <c r="G1749" s="9"/>
      <c r="H1749" s="9"/>
      <c r="I1749" s="8"/>
      <c r="J1749" s="9"/>
      <c r="K1749" s="9"/>
      <c r="L1749" s="9"/>
      <c r="M1749" s="9"/>
      <c r="N1749" s="9"/>
      <c r="O1749" s="9"/>
      <c r="P1749" s="9"/>
    </row>
    <row r="1750">
      <c r="A1750" s="9"/>
      <c r="B1750" s="8"/>
      <c r="C1750" s="8"/>
      <c r="D1750" s="8"/>
      <c r="E1750" s="9"/>
      <c r="F1750" s="9"/>
      <c r="G1750" s="9"/>
      <c r="H1750" s="9"/>
      <c r="I1750" s="8"/>
      <c r="J1750" s="9"/>
      <c r="K1750" s="9"/>
      <c r="L1750" s="9"/>
      <c r="M1750" s="9"/>
      <c r="N1750" s="9"/>
      <c r="O1750" s="9"/>
      <c r="P1750" s="9"/>
    </row>
    <row r="1751">
      <c r="A1751" s="9"/>
      <c r="B1751" s="8"/>
      <c r="C1751" s="8"/>
      <c r="D1751" s="8"/>
      <c r="E1751" s="9"/>
      <c r="F1751" s="9"/>
      <c r="G1751" s="9"/>
      <c r="H1751" s="9"/>
      <c r="I1751" s="8"/>
      <c r="J1751" s="9"/>
      <c r="K1751" s="9"/>
      <c r="L1751" s="9"/>
      <c r="M1751" s="9"/>
      <c r="N1751" s="9"/>
      <c r="O1751" s="9"/>
      <c r="P1751" s="9"/>
    </row>
    <row r="1752">
      <c r="A1752" s="9"/>
      <c r="B1752" s="8"/>
      <c r="C1752" s="8"/>
      <c r="D1752" s="8"/>
      <c r="E1752" s="9"/>
      <c r="F1752" s="9"/>
      <c r="G1752" s="9"/>
      <c r="H1752" s="9"/>
      <c r="I1752" s="8"/>
      <c r="J1752" s="9"/>
      <c r="K1752" s="9"/>
      <c r="L1752" s="9"/>
      <c r="M1752" s="9"/>
      <c r="N1752" s="9"/>
      <c r="O1752" s="9"/>
      <c r="P1752" s="9"/>
    </row>
    <row r="1753">
      <c r="A1753" s="9"/>
      <c r="B1753" s="8"/>
      <c r="C1753" s="8"/>
      <c r="D1753" s="8"/>
      <c r="E1753" s="9"/>
      <c r="F1753" s="9"/>
      <c r="G1753" s="9"/>
      <c r="H1753" s="9"/>
      <c r="I1753" s="8"/>
      <c r="J1753" s="9"/>
      <c r="K1753" s="9"/>
      <c r="L1753" s="9"/>
      <c r="M1753" s="9"/>
      <c r="N1753" s="9"/>
      <c r="O1753" s="9"/>
      <c r="P1753" s="9"/>
    </row>
    <row r="1754">
      <c r="A1754" s="9"/>
      <c r="B1754" s="8"/>
      <c r="C1754" s="8"/>
      <c r="D1754" s="8"/>
      <c r="E1754" s="9"/>
      <c r="F1754" s="9"/>
      <c r="G1754" s="9"/>
      <c r="H1754" s="9"/>
      <c r="I1754" s="8"/>
      <c r="J1754" s="9"/>
      <c r="K1754" s="9"/>
      <c r="L1754" s="9"/>
      <c r="M1754" s="9"/>
      <c r="N1754" s="9"/>
      <c r="O1754" s="9"/>
      <c r="P1754" s="9"/>
    </row>
    <row r="1755">
      <c r="A1755" s="9"/>
      <c r="B1755" s="8"/>
      <c r="C1755" s="8"/>
      <c r="D1755" s="8"/>
      <c r="E1755" s="9"/>
      <c r="F1755" s="9"/>
      <c r="G1755" s="9"/>
      <c r="H1755" s="9"/>
      <c r="I1755" s="8"/>
      <c r="J1755" s="9"/>
      <c r="K1755" s="9"/>
      <c r="L1755" s="9"/>
      <c r="M1755" s="9"/>
      <c r="N1755" s="9"/>
      <c r="O1755" s="9"/>
      <c r="P1755" s="9"/>
    </row>
    <row r="1756">
      <c r="A1756" s="9"/>
      <c r="B1756" s="8"/>
      <c r="C1756" s="8"/>
      <c r="D1756" s="8"/>
      <c r="E1756" s="9"/>
      <c r="F1756" s="9"/>
      <c r="G1756" s="9"/>
      <c r="H1756" s="9"/>
      <c r="I1756" s="8"/>
      <c r="J1756" s="9"/>
      <c r="K1756" s="9"/>
      <c r="L1756" s="9"/>
      <c r="M1756" s="9"/>
      <c r="N1756" s="9"/>
      <c r="O1756" s="9"/>
      <c r="P1756" s="9"/>
    </row>
    <row r="1757">
      <c r="A1757" s="9"/>
      <c r="B1757" s="8"/>
      <c r="C1757" s="8"/>
      <c r="D1757" s="8"/>
      <c r="E1757" s="9"/>
      <c r="F1757" s="9"/>
      <c r="G1757" s="9"/>
      <c r="H1757" s="9"/>
      <c r="I1757" s="8"/>
      <c r="J1757" s="9"/>
      <c r="K1757" s="9"/>
      <c r="L1757" s="9"/>
      <c r="M1757" s="9"/>
      <c r="N1757" s="9"/>
      <c r="O1757" s="9"/>
      <c r="P1757" s="9"/>
    </row>
    <row r="1758">
      <c r="A1758" s="9"/>
      <c r="B1758" s="8"/>
      <c r="C1758" s="8"/>
      <c r="D1758" s="8"/>
      <c r="E1758" s="9"/>
      <c r="F1758" s="9"/>
      <c r="G1758" s="9"/>
      <c r="H1758" s="9"/>
      <c r="I1758" s="8"/>
      <c r="J1758" s="9"/>
      <c r="K1758" s="9"/>
      <c r="L1758" s="9"/>
      <c r="M1758" s="9"/>
      <c r="N1758" s="9"/>
      <c r="O1758" s="9"/>
      <c r="P1758" s="9"/>
    </row>
    <row r="1759">
      <c r="A1759" s="9"/>
      <c r="B1759" s="8"/>
      <c r="C1759" s="8"/>
      <c r="D1759" s="8"/>
      <c r="E1759" s="9"/>
      <c r="F1759" s="9"/>
      <c r="G1759" s="9"/>
      <c r="H1759" s="9"/>
      <c r="I1759" s="8"/>
      <c r="J1759" s="9"/>
      <c r="K1759" s="9"/>
      <c r="L1759" s="9"/>
      <c r="M1759" s="9"/>
      <c r="N1759" s="9"/>
      <c r="O1759" s="9"/>
      <c r="P1759" s="9"/>
    </row>
    <row r="1760">
      <c r="A1760" s="9"/>
      <c r="B1760" s="8"/>
      <c r="C1760" s="8"/>
      <c r="D1760" s="8"/>
      <c r="E1760" s="9"/>
      <c r="F1760" s="9"/>
      <c r="G1760" s="9"/>
      <c r="H1760" s="9"/>
      <c r="I1760" s="8"/>
      <c r="J1760" s="9"/>
      <c r="K1760" s="9"/>
      <c r="L1760" s="9"/>
      <c r="M1760" s="9"/>
      <c r="N1760" s="9"/>
      <c r="O1760" s="9"/>
      <c r="P1760" s="9"/>
    </row>
    <row r="1761">
      <c r="A1761" s="9"/>
      <c r="B1761" s="8"/>
      <c r="C1761" s="8"/>
      <c r="D1761" s="8"/>
      <c r="E1761" s="9"/>
      <c r="F1761" s="9"/>
      <c r="G1761" s="9"/>
      <c r="H1761" s="9"/>
      <c r="I1761" s="8"/>
      <c r="J1761" s="9"/>
      <c r="K1761" s="9"/>
      <c r="L1761" s="9"/>
      <c r="M1761" s="9"/>
      <c r="N1761" s="9"/>
      <c r="O1761" s="9"/>
      <c r="P1761" s="9"/>
    </row>
    <row r="1762">
      <c r="A1762" s="9"/>
      <c r="B1762" s="8"/>
      <c r="C1762" s="8"/>
      <c r="D1762" s="8"/>
      <c r="E1762" s="9"/>
      <c r="F1762" s="9"/>
      <c r="G1762" s="9"/>
      <c r="H1762" s="9"/>
      <c r="I1762" s="8"/>
      <c r="J1762" s="9"/>
      <c r="K1762" s="9"/>
      <c r="L1762" s="9"/>
      <c r="M1762" s="9"/>
      <c r="N1762" s="9"/>
      <c r="O1762" s="9"/>
      <c r="P1762" s="9"/>
    </row>
    <row r="1763">
      <c r="A1763" s="9"/>
      <c r="B1763" s="8"/>
      <c r="C1763" s="8"/>
      <c r="D1763" s="8"/>
      <c r="E1763" s="9"/>
      <c r="F1763" s="9"/>
      <c r="G1763" s="9"/>
      <c r="H1763" s="9"/>
      <c r="I1763" s="8"/>
      <c r="J1763" s="9"/>
      <c r="K1763" s="9"/>
      <c r="L1763" s="9"/>
      <c r="M1763" s="9"/>
      <c r="N1763" s="9"/>
      <c r="O1763" s="9"/>
      <c r="P1763" s="9"/>
    </row>
    <row r="1764">
      <c r="A1764" s="9"/>
      <c r="B1764" s="8"/>
      <c r="C1764" s="8"/>
      <c r="D1764" s="8"/>
      <c r="E1764" s="9"/>
      <c r="F1764" s="9"/>
      <c r="G1764" s="9"/>
      <c r="H1764" s="9"/>
      <c r="I1764" s="8"/>
      <c r="J1764" s="9"/>
      <c r="K1764" s="9"/>
      <c r="L1764" s="9"/>
      <c r="M1764" s="9"/>
      <c r="N1764" s="9"/>
      <c r="O1764" s="9"/>
      <c r="P1764" s="9"/>
    </row>
    <row r="1765">
      <c r="A1765" s="9"/>
      <c r="B1765" s="8"/>
      <c r="C1765" s="8"/>
      <c r="D1765" s="8"/>
      <c r="E1765" s="9"/>
      <c r="F1765" s="9"/>
      <c r="G1765" s="9"/>
      <c r="H1765" s="9"/>
      <c r="I1765" s="8"/>
      <c r="J1765" s="9"/>
      <c r="K1765" s="9"/>
      <c r="L1765" s="9"/>
      <c r="M1765" s="9"/>
      <c r="N1765" s="9"/>
      <c r="O1765" s="9"/>
      <c r="P1765" s="9"/>
    </row>
    <row r="1766">
      <c r="A1766" s="9"/>
      <c r="B1766" s="8"/>
      <c r="C1766" s="8"/>
      <c r="D1766" s="8"/>
      <c r="E1766" s="9"/>
      <c r="F1766" s="9"/>
      <c r="G1766" s="9"/>
      <c r="H1766" s="9"/>
      <c r="I1766" s="8"/>
      <c r="J1766" s="9"/>
      <c r="K1766" s="9"/>
      <c r="L1766" s="9"/>
      <c r="M1766" s="9"/>
      <c r="N1766" s="9"/>
      <c r="O1766" s="9"/>
      <c r="P1766" s="9"/>
    </row>
    <row r="1767">
      <c r="A1767" s="9"/>
      <c r="B1767" s="8"/>
      <c r="C1767" s="8"/>
      <c r="D1767" s="8"/>
      <c r="E1767" s="9"/>
      <c r="F1767" s="9"/>
      <c r="G1767" s="9"/>
      <c r="H1767" s="9"/>
      <c r="I1767" s="8"/>
      <c r="J1767" s="9"/>
      <c r="K1767" s="9"/>
      <c r="L1767" s="9"/>
      <c r="M1767" s="9"/>
      <c r="N1767" s="9"/>
      <c r="O1767" s="9"/>
      <c r="P1767" s="9"/>
    </row>
    <row r="1768">
      <c r="A1768" s="9"/>
      <c r="B1768" s="8"/>
      <c r="C1768" s="8"/>
      <c r="D1768" s="8"/>
      <c r="E1768" s="9"/>
      <c r="F1768" s="9"/>
      <c r="G1768" s="9"/>
      <c r="H1768" s="9"/>
      <c r="I1768" s="8"/>
      <c r="J1768" s="9"/>
      <c r="K1768" s="9"/>
      <c r="L1768" s="9"/>
      <c r="M1768" s="9"/>
      <c r="N1768" s="9"/>
      <c r="O1768" s="9"/>
      <c r="P1768" s="9"/>
    </row>
    <row r="1769">
      <c r="A1769" s="9"/>
      <c r="B1769" s="8"/>
      <c r="C1769" s="8"/>
      <c r="D1769" s="8"/>
      <c r="E1769" s="9"/>
      <c r="F1769" s="9"/>
      <c r="G1769" s="9"/>
      <c r="H1769" s="9"/>
      <c r="I1769" s="8"/>
      <c r="J1769" s="9"/>
      <c r="K1769" s="9"/>
      <c r="L1769" s="9"/>
      <c r="M1769" s="9"/>
      <c r="N1769" s="9"/>
      <c r="O1769" s="9"/>
      <c r="P1769" s="9"/>
    </row>
    <row r="1770">
      <c r="A1770" s="9"/>
      <c r="B1770" s="8"/>
      <c r="C1770" s="8"/>
      <c r="D1770" s="8"/>
      <c r="E1770" s="9"/>
      <c r="F1770" s="9"/>
      <c r="G1770" s="9"/>
      <c r="H1770" s="9"/>
      <c r="I1770" s="8"/>
      <c r="J1770" s="9"/>
      <c r="K1770" s="9"/>
      <c r="L1770" s="9"/>
      <c r="M1770" s="9"/>
      <c r="N1770" s="9"/>
      <c r="O1770" s="9"/>
      <c r="P1770" s="9"/>
    </row>
    <row r="1771">
      <c r="A1771" s="9"/>
      <c r="B1771" s="8"/>
      <c r="C1771" s="8"/>
      <c r="D1771" s="8"/>
      <c r="E1771" s="9"/>
      <c r="F1771" s="9"/>
      <c r="G1771" s="9"/>
      <c r="H1771" s="9"/>
      <c r="I1771" s="8"/>
      <c r="J1771" s="9"/>
      <c r="K1771" s="9"/>
      <c r="L1771" s="9"/>
      <c r="M1771" s="9"/>
      <c r="N1771" s="9"/>
      <c r="O1771" s="9"/>
      <c r="P1771" s="9"/>
    </row>
    <row r="1772">
      <c r="A1772" s="9"/>
      <c r="B1772" s="8"/>
      <c r="C1772" s="8"/>
      <c r="D1772" s="8"/>
      <c r="E1772" s="9"/>
      <c r="F1772" s="9"/>
      <c r="G1772" s="9"/>
      <c r="H1772" s="9"/>
      <c r="I1772" s="8"/>
      <c r="J1772" s="9"/>
      <c r="K1772" s="9"/>
      <c r="L1772" s="9"/>
      <c r="M1772" s="9"/>
      <c r="N1772" s="9"/>
      <c r="O1772" s="9"/>
      <c r="P1772" s="9"/>
    </row>
    <row r="1773">
      <c r="A1773" s="9"/>
      <c r="B1773" s="8"/>
      <c r="C1773" s="8"/>
      <c r="D1773" s="8"/>
      <c r="E1773" s="9"/>
      <c r="F1773" s="9"/>
      <c r="G1773" s="9"/>
      <c r="H1773" s="9"/>
      <c r="I1773" s="8"/>
      <c r="J1773" s="9"/>
      <c r="K1773" s="9"/>
      <c r="L1773" s="9"/>
      <c r="M1773" s="9"/>
      <c r="N1773" s="9"/>
      <c r="O1773" s="9"/>
      <c r="P1773" s="9"/>
    </row>
    <row r="1774">
      <c r="A1774" s="9"/>
      <c r="B1774" s="8"/>
      <c r="C1774" s="8"/>
      <c r="D1774" s="8"/>
      <c r="E1774" s="9"/>
      <c r="F1774" s="9"/>
      <c r="G1774" s="9"/>
      <c r="H1774" s="9"/>
      <c r="I1774" s="8"/>
      <c r="J1774" s="9"/>
      <c r="K1774" s="9"/>
      <c r="L1774" s="9"/>
      <c r="M1774" s="9"/>
      <c r="N1774" s="9"/>
      <c r="O1774" s="9"/>
      <c r="P1774" s="9"/>
    </row>
    <row r="1775">
      <c r="A1775" s="9"/>
      <c r="B1775" s="8"/>
      <c r="C1775" s="8"/>
      <c r="D1775" s="8"/>
      <c r="E1775" s="9"/>
      <c r="F1775" s="9"/>
      <c r="G1775" s="9"/>
      <c r="H1775" s="9"/>
      <c r="I1775" s="8"/>
      <c r="J1775" s="9"/>
      <c r="K1775" s="9"/>
      <c r="L1775" s="9"/>
      <c r="M1775" s="9"/>
      <c r="N1775" s="9"/>
      <c r="O1775" s="9"/>
      <c r="P1775" s="9"/>
    </row>
    <row r="1776">
      <c r="A1776" s="9"/>
      <c r="B1776" s="8"/>
      <c r="C1776" s="8"/>
      <c r="D1776" s="8"/>
      <c r="E1776" s="9"/>
      <c r="F1776" s="9"/>
      <c r="G1776" s="9"/>
      <c r="H1776" s="9"/>
      <c r="I1776" s="8"/>
      <c r="J1776" s="9"/>
      <c r="K1776" s="9"/>
      <c r="L1776" s="9"/>
      <c r="M1776" s="9"/>
      <c r="N1776" s="9"/>
      <c r="O1776" s="9"/>
      <c r="P1776" s="9"/>
    </row>
    <row r="1777">
      <c r="A1777" s="9"/>
      <c r="B1777" s="8"/>
      <c r="C1777" s="8"/>
      <c r="D1777" s="8"/>
      <c r="E1777" s="9"/>
      <c r="F1777" s="9"/>
      <c r="G1777" s="9"/>
      <c r="H1777" s="9"/>
      <c r="I1777" s="8"/>
      <c r="J1777" s="9"/>
      <c r="K1777" s="9"/>
      <c r="L1777" s="9"/>
      <c r="M1777" s="9"/>
      <c r="N1777" s="9"/>
      <c r="O1777" s="9"/>
      <c r="P1777" s="9"/>
    </row>
    <row r="1778">
      <c r="A1778" s="9"/>
      <c r="B1778" s="8"/>
      <c r="C1778" s="8"/>
      <c r="D1778" s="8"/>
      <c r="E1778" s="9"/>
      <c r="F1778" s="9"/>
      <c r="G1778" s="9"/>
      <c r="H1778" s="9"/>
      <c r="I1778" s="8"/>
      <c r="J1778" s="9"/>
      <c r="K1778" s="9"/>
      <c r="L1778" s="9"/>
      <c r="M1778" s="9"/>
      <c r="N1778" s="9"/>
      <c r="O1778" s="9"/>
      <c r="P1778" s="9"/>
    </row>
    <row r="1779">
      <c r="A1779" s="9"/>
      <c r="B1779" s="8"/>
      <c r="C1779" s="8"/>
      <c r="D1779" s="8"/>
      <c r="E1779" s="9"/>
      <c r="F1779" s="9"/>
      <c r="G1779" s="9"/>
      <c r="H1779" s="9"/>
      <c r="I1779" s="8"/>
      <c r="J1779" s="9"/>
      <c r="K1779" s="9"/>
      <c r="L1779" s="9"/>
      <c r="M1779" s="9"/>
      <c r="N1779" s="9"/>
      <c r="O1779" s="9"/>
      <c r="P1779" s="9"/>
    </row>
    <row r="1780">
      <c r="A1780" s="9"/>
      <c r="B1780" s="8"/>
      <c r="C1780" s="8"/>
      <c r="D1780" s="8"/>
      <c r="E1780" s="9"/>
      <c r="F1780" s="9"/>
      <c r="G1780" s="9"/>
      <c r="H1780" s="9"/>
      <c r="I1780" s="8"/>
      <c r="J1780" s="9"/>
      <c r="K1780" s="9"/>
      <c r="L1780" s="9"/>
      <c r="M1780" s="9"/>
      <c r="N1780" s="9"/>
      <c r="O1780" s="9"/>
      <c r="P1780" s="9"/>
    </row>
    <row r="1781">
      <c r="A1781" s="9"/>
      <c r="B1781" s="8"/>
      <c r="C1781" s="8"/>
      <c r="D1781" s="8"/>
      <c r="E1781" s="9"/>
      <c r="F1781" s="9"/>
      <c r="G1781" s="9"/>
      <c r="H1781" s="9"/>
      <c r="I1781" s="8"/>
      <c r="J1781" s="9"/>
      <c r="K1781" s="9"/>
      <c r="L1781" s="9"/>
      <c r="M1781" s="9"/>
      <c r="N1781" s="9"/>
      <c r="O1781" s="9"/>
      <c r="P1781" s="9"/>
    </row>
    <row r="1782">
      <c r="A1782" s="9"/>
      <c r="B1782" s="8"/>
      <c r="C1782" s="8"/>
      <c r="D1782" s="8"/>
      <c r="E1782" s="9"/>
      <c r="F1782" s="9"/>
      <c r="G1782" s="9"/>
      <c r="H1782" s="9"/>
      <c r="I1782" s="8"/>
      <c r="J1782" s="9"/>
      <c r="K1782" s="9"/>
      <c r="L1782" s="9"/>
      <c r="M1782" s="9"/>
      <c r="N1782" s="9"/>
      <c r="O1782" s="9"/>
      <c r="P1782" s="9"/>
    </row>
    <row r="1783">
      <c r="A1783" s="9"/>
      <c r="B1783" s="8"/>
      <c r="C1783" s="8"/>
      <c r="D1783" s="8"/>
      <c r="E1783" s="9"/>
      <c r="F1783" s="9"/>
      <c r="G1783" s="9"/>
      <c r="H1783" s="9"/>
      <c r="I1783" s="8"/>
      <c r="J1783" s="9"/>
      <c r="K1783" s="9"/>
      <c r="L1783" s="9"/>
      <c r="M1783" s="9"/>
      <c r="N1783" s="9"/>
      <c r="O1783" s="9"/>
      <c r="P1783" s="9"/>
    </row>
    <row r="1784">
      <c r="A1784" s="9"/>
      <c r="B1784" s="8"/>
      <c r="C1784" s="8"/>
      <c r="D1784" s="8"/>
      <c r="E1784" s="9"/>
      <c r="F1784" s="9"/>
      <c r="G1784" s="9"/>
      <c r="H1784" s="9"/>
      <c r="I1784" s="8"/>
      <c r="J1784" s="9"/>
      <c r="K1784" s="9"/>
      <c r="L1784" s="9"/>
      <c r="M1784" s="9"/>
      <c r="N1784" s="9"/>
      <c r="O1784" s="9"/>
      <c r="P1784" s="9"/>
    </row>
    <row r="1785">
      <c r="A1785" s="9"/>
      <c r="B1785" s="8"/>
      <c r="C1785" s="8"/>
      <c r="D1785" s="8"/>
      <c r="E1785" s="9"/>
      <c r="F1785" s="9"/>
      <c r="G1785" s="9"/>
      <c r="H1785" s="9"/>
      <c r="I1785" s="8"/>
      <c r="J1785" s="9"/>
      <c r="K1785" s="9"/>
      <c r="L1785" s="9"/>
      <c r="M1785" s="9"/>
      <c r="N1785" s="9"/>
      <c r="O1785" s="9"/>
      <c r="P1785" s="9"/>
    </row>
    <row r="1786">
      <c r="A1786" s="9"/>
      <c r="B1786" s="8"/>
      <c r="C1786" s="8"/>
      <c r="D1786" s="8"/>
      <c r="E1786" s="9"/>
      <c r="F1786" s="9"/>
      <c r="G1786" s="9"/>
      <c r="H1786" s="9"/>
      <c r="I1786" s="8"/>
      <c r="J1786" s="9"/>
      <c r="K1786" s="9"/>
      <c r="L1786" s="9"/>
      <c r="M1786" s="9"/>
      <c r="N1786" s="9"/>
      <c r="O1786" s="9"/>
      <c r="P1786" s="9"/>
    </row>
    <row r="1787">
      <c r="A1787" s="9"/>
      <c r="B1787" s="8"/>
      <c r="C1787" s="8"/>
      <c r="D1787" s="8"/>
      <c r="E1787" s="9"/>
      <c r="F1787" s="9"/>
      <c r="G1787" s="9"/>
      <c r="H1787" s="9"/>
      <c r="I1787" s="8"/>
      <c r="J1787" s="9"/>
      <c r="K1787" s="9"/>
      <c r="L1787" s="9"/>
      <c r="M1787" s="9"/>
      <c r="N1787" s="9"/>
      <c r="O1787" s="9"/>
      <c r="P1787" s="9"/>
    </row>
    <row r="1788">
      <c r="A1788" s="9"/>
      <c r="B1788" s="8"/>
      <c r="C1788" s="8"/>
      <c r="D1788" s="8"/>
      <c r="E1788" s="9"/>
      <c r="F1788" s="9"/>
      <c r="G1788" s="9"/>
      <c r="H1788" s="9"/>
      <c r="I1788" s="8"/>
      <c r="J1788" s="9"/>
      <c r="K1788" s="9"/>
      <c r="L1788" s="9"/>
      <c r="M1788" s="9"/>
      <c r="N1788" s="9"/>
      <c r="O1788" s="9"/>
      <c r="P1788" s="9"/>
    </row>
    <row r="1789">
      <c r="A1789" s="9"/>
      <c r="B1789" s="8"/>
      <c r="C1789" s="8"/>
      <c r="D1789" s="8"/>
      <c r="E1789" s="9"/>
      <c r="F1789" s="9"/>
      <c r="G1789" s="9"/>
      <c r="H1789" s="9"/>
      <c r="I1789" s="8"/>
      <c r="J1789" s="9"/>
      <c r="K1789" s="9"/>
      <c r="L1789" s="9"/>
      <c r="M1789" s="9"/>
      <c r="N1789" s="9"/>
      <c r="O1789" s="9"/>
      <c r="P1789" s="9"/>
    </row>
    <row r="1790">
      <c r="A1790" s="9"/>
      <c r="B1790" s="8"/>
      <c r="C1790" s="8"/>
      <c r="D1790" s="8"/>
      <c r="E1790" s="9"/>
      <c r="F1790" s="9"/>
      <c r="G1790" s="9"/>
      <c r="H1790" s="9"/>
      <c r="I1790" s="8"/>
      <c r="J1790" s="9"/>
      <c r="K1790" s="9"/>
      <c r="L1790" s="9"/>
      <c r="M1790" s="9"/>
      <c r="N1790" s="9"/>
      <c r="O1790" s="9"/>
      <c r="P1790" s="9"/>
    </row>
    <row r="1791">
      <c r="A1791" s="9"/>
      <c r="B1791" s="8"/>
      <c r="C1791" s="8"/>
      <c r="D1791" s="8"/>
      <c r="E1791" s="9"/>
      <c r="F1791" s="9"/>
      <c r="G1791" s="9"/>
      <c r="H1791" s="9"/>
      <c r="I1791" s="8"/>
      <c r="J1791" s="9"/>
      <c r="K1791" s="9"/>
      <c r="L1791" s="9"/>
      <c r="M1791" s="9"/>
      <c r="N1791" s="9"/>
      <c r="O1791" s="9"/>
      <c r="P1791" s="9"/>
    </row>
    <row r="1792">
      <c r="A1792" s="9"/>
      <c r="B1792" s="8"/>
      <c r="C1792" s="8"/>
      <c r="D1792" s="8"/>
      <c r="E1792" s="9"/>
      <c r="F1792" s="9"/>
      <c r="G1792" s="9"/>
      <c r="H1792" s="9"/>
      <c r="I1792" s="8"/>
      <c r="J1792" s="9"/>
      <c r="K1792" s="9"/>
      <c r="L1792" s="9"/>
      <c r="M1792" s="9"/>
      <c r="N1792" s="9"/>
      <c r="O1792" s="9"/>
      <c r="P1792" s="9"/>
    </row>
    <row r="1793">
      <c r="A1793" s="9"/>
      <c r="B1793" s="8"/>
      <c r="C1793" s="8"/>
      <c r="D1793" s="8"/>
      <c r="E1793" s="9"/>
      <c r="F1793" s="9"/>
      <c r="G1793" s="9"/>
      <c r="H1793" s="9"/>
      <c r="I1793" s="8"/>
      <c r="J1793" s="9"/>
      <c r="K1793" s="9"/>
      <c r="L1793" s="9"/>
      <c r="M1793" s="9"/>
      <c r="N1793" s="9"/>
      <c r="O1793" s="9"/>
      <c r="P1793" s="9"/>
    </row>
    <row r="1794">
      <c r="A1794" s="9"/>
      <c r="B1794" s="8"/>
      <c r="C1794" s="8"/>
      <c r="D1794" s="8"/>
      <c r="E1794" s="9"/>
      <c r="F1794" s="9"/>
      <c r="G1794" s="9"/>
      <c r="H1794" s="9"/>
      <c r="I1794" s="8"/>
      <c r="J1794" s="9"/>
      <c r="K1794" s="9"/>
      <c r="L1794" s="9"/>
      <c r="M1794" s="9"/>
      <c r="N1794" s="9"/>
      <c r="O1794" s="9"/>
      <c r="P1794" s="9"/>
    </row>
    <row r="1795">
      <c r="A1795" s="9"/>
      <c r="B1795" s="8"/>
      <c r="C1795" s="8"/>
      <c r="D1795" s="8"/>
      <c r="E1795" s="9"/>
      <c r="F1795" s="9"/>
      <c r="G1795" s="9"/>
      <c r="H1795" s="9"/>
      <c r="I1795" s="8"/>
      <c r="J1795" s="9"/>
      <c r="K1795" s="9"/>
      <c r="L1795" s="9"/>
      <c r="M1795" s="9"/>
      <c r="N1795" s="9"/>
      <c r="O1795" s="9"/>
      <c r="P1795" s="9"/>
    </row>
    <row r="1796">
      <c r="A1796" s="9"/>
      <c r="B1796" s="8"/>
      <c r="C1796" s="8"/>
      <c r="D1796" s="8"/>
      <c r="E1796" s="9"/>
      <c r="F1796" s="9"/>
      <c r="G1796" s="9"/>
      <c r="H1796" s="9"/>
      <c r="I1796" s="8"/>
      <c r="J1796" s="9"/>
      <c r="K1796" s="9"/>
      <c r="L1796" s="9"/>
      <c r="M1796" s="9"/>
      <c r="N1796" s="9"/>
      <c r="O1796" s="9"/>
      <c r="P1796" s="9"/>
    </row>
    <row r="1797">
      <c r="A1797" s="9"/>
      <c r="B1797" s="8"/>
      <c r="C1797" s="8"/>
      <c r="D1797" s="8"/>
      <c r="E1797" s="9"/>
      <c r="F1797" s="9"/>
      <c r="G1797" s="9"/>
      <c r="H1797" s="9"/>
      <c r="I1797" s="8"/>
      <c r="J1797" s="9"/>
      <c r="K1797" s="9"/>
      <c r="L1797" s="9"/>
      <c r="M1797" s="9"/>
      <c r="N1797" s="9"/>
      <c r="O1797" s="9"/>
      <c r="P1797" s="9"/>
    </row>
    <row r="1798">
      <c r="A1798" s="9"/>
      <c r="B1798" s="8"/>
      <c r="C1798" s="8"/>
      <c r="D1798" s="8"/>
      <c r="E1798" s="9"/>
      <c r="F1798" s="9"/>
      <c r="G1798" s="9"/>
      <c r="H1798" s="9"/>
      <c r="I1798" s="8"/>
      <c r="J1798" s="9"/>
      <c r="K1798" s="9"/>
      <c r="L1798" s="9"/>
      <c r="M1798" s="9"/>
      <c r="N1798" s="9"/>
      <c r="O1798" s="9"/>
      <c r="P1798" s="9"/>
    </row>
    <row r="1799">
      <c r="A1799" s="9"/>
      <c r="B1799" s="8"/>
      <c r="C1799" s="8"/>
      <c r="D1799" s="8"/>
      <c r="E1799" s="9"/>
      <c r="F1799" s="9"/>
      <c r="G1799" s="9"/>
      <c r="H1799" s="9"/>
      <c r="I1799" s="8"/>
      <c r="J1799" s="9"/>
      <c r="K1799" s="9"/>
      <c r="L1799" s="9"/>
      <c r="M1799" s="9"/>
      <c r="N1799" s="9"/>
      <c r="O1799" s="9"/>
      <c r="P1799" s="9"/>
    </row>
    <row r="1800">
      <c r="A1800" s="9"/>
      <c r="B1800" s="8"/>
      <c r="C1800" s="8"/>
      <c r="D1800" s="8"/>
      <c r="E1800" s="9"/>
      <c r="F1800" s="9"/>
      <c r="G1800" s="9"/>
      <c r="H1800" s="9"/>
      <c r="I1800" s="8"/>
      <c r="J1800" s="9"/>
      <c r="K1800" s="9"/>
      <c r="L1800" s="9"/>
      <c r="M1800" s="9"/>
      <c r="N1800" s="9"/>
      <c r="O1800" s="9"/>
      <c r="P1800" s="9"/>
    </row>
    <row r="1801">
      <c r="A1801" s="9"/>
      <c r="B1801" s="8"/>
      <c r="C1801" s="8"/>
      <c r="D1801" s="8"/>
      <c r="E1801" s="9"/>
      <c r="F1801" s="9"/>
      <c r="G1801" s="9"/>
      <c r="H1801" s="9"/>
      <c r="I1801" s="8"/>
      <c r="J1801" s="9"/>
      <c r="K1801" s="9"/>
      <c r="L1801" s="9"/>
      <c r="M1801" s="9"/>
      <c r="N1801" s="9"/>
      <c r="O1801" s="9"/>
      <c r="P1801" s="9"/>
    </row>
    <row r="1802">
      <c r="A1802" s="9"/>
      <c r="B1802" s="8"/>
      <c r="C1802" s="8"/>
      <c r="D1802" s="8"/>
      <c r="E1802" s="9"/>
      <c r="F1802" s="9"/>
      <c r="G1802" s="9"/>
      <c r="H1802" s="9"/>
      <c r="I1802" s="8"/>
      <c r="J1802" s="9"/>
      <c r="K1802" s="9"/>
      <c r="L1802" s="9"/>
      <c r="M1802" s="9"/>
      <c r="N1802" s="9"/>
      <c r="O1802" s="9"/>
      <c r="P1802" s="9"/>
    </row>
    <row r="1803">
      <c r="A1803" s="9"/>
      <c r="B1803" s="8"/>
      <c r="C1803" s="8"/>
      <c r="D1803" s="8"/>
      <c r="E1803" s="9"/>
      <c r="F1803" s="9"/>
      <c r="G1803" s="9"/>
      <c r="H1803" s="9"/>
      <c r="I1803" s="8"/>
      <c r="J1803" s="9"/>
      <c r="K1803" s="9"/>
      <c r="L1803" s="9"/>
      <c r="M1803" s="9"/>
      <c r="N1803" s="9"/>
      <c r="O1803" s="9"/>
      <c r="P1803" s="9"/>
    </row>
    <row r="1804">
      <c r="A1804" s="9"/>
      <c r="B1804" s="8"/>
      <c r="C1804" s="8"/>
      <c r="D1804" s="8"/>
      <c r="E1804" s="9"/>
      <c r="F1804" s="9"/>
      <c r="G1804" s="9"/>
      <c r="H1804" s="9"/>
      <c r="I1804" s="8"/>
      <c r="J1804" s="9"/>
      <c r="K1804" s="9"/>
      <c r="L1804" s="9"/>
      <c r="M1804" s="9"/>
      <c r="N1804" s="9"/>
      <c r="O1804" s="9"/>
      <c r="P1804" s="9"/>
    </row>
    <row r="1805">
      <c r="A1805" s="9"/>
      <c r="B1805" s="8"/>
      <c r="C1805" s="8"/>
      <c r="D1805" s="8"/>
      <c r="E1805" s="9"/>
      <c r="F1805" s="9"/>
      <c r="G1805" s="9"/>
      <c r="H1805" s="9"/>
      <c r="I1805" s="8"/>
      <c r="J1805" s="9"/>
      <c r="K1805" s="9"/>
      <c r="L1805" s="9"/>
      <c r="M1805" s="9"/>
      <c r="N1805" s="9"/>
      <c r="O1805" s="9"/>
      <c r="P1805" s="9"/>
    </row>
    <row r="1806">
      <c r="A1806" s="9"/>
      <c r="B1806" s="8"/>
      <c r="C1806" s="8"/>
      <c r="D1806" s="8"/>
      <c r="E1806" s="9"/>
      <c r="F1806" s="9"/>
      <c r="G1806" s="9"/>
      <c r="H1806" s="9"/>
      <c r="I1806" s="8"/>
      <c r="J1806" s="9"/>
      <c r="K1806" s="9"/>
      <c r="L1806" s="9"/>
      <c r="M1806" s="9"/>
      <c r="N1806" s="9"/>
      <c r="O1806" s="9"/>
      <c r="P1806" s="9"/>
    </row>
    <row r="1807">
      <c r="A1807" s="9"/>
      <c r="B1807" s="8"/>
      <c r="C1807" s="8"/>
      <c r="D1807" s="8"/>
      <c r="E1807" s="9"/>
      <c r="F1807" s="9"/>
      <c r="G1807" s="9"/>
      <c r="H1807" s="9"/>
      <c r="I1807" s="8"/>
      <c r="J1807" s="9"/>
      <c r="K1807" s="9"/>
      <c r="L1807" s="9"/>
      <c r="M1807" s="9"/>
      <c r="N1807" s="9"/>
      <c r="O1807" s="9"/>
      <c r="P1807" s="9"/>
    </row>
    <row r="1808">
      <c r="A1808" s="9"/>
      <c r="B1808" s="8"/>
      <c r="C1808" s="8"/>
      <c r="D1808" s="8"/>
      <c r="E1808" s="9"/>
      <c r="F1808" s="9"/>
      <c r="G1808" s="9"/>
      <c r="H1808" s="9"/>
      <c r="I1808" s="8"/>
      <c r="J1808" s="9"/>
      <c r="K1808" s="9"/>
      <c r="L1808" s="9"/>
      <c r="M1808" s="9"/>
      <c r="N1808" s="9"/>
      <c r="O1808" s="9"/>
      <c r="P1808" s="9"/>
    </row>
    <row r="1809">
      <c r="A1809" s="9"/>
      <c r="B1809" s="8"/>
      <c r="C1809" s="8"/>
      <c r="D1809" s="8"/>
      <c r="E1809" s="9"/>
      <c r="F1809" s="9"/>
      <c r="G1809" s="9"/>
      <c r="H1809" s="9"/>
      <c r="I1809" s="8"/>
      <c r="J1809" s="9"/>
      <c r="K1809" s="9"/>
      <c r="L1809" s="9"/>
      <c r="M1809" s="9"/>
      <c r="N1809" s="9"/>
      <c r="O1809" s="9"/>
      <c r="P1809" s="9"/>
    </row>
    <row r="1810">
      <c r="A1810" s="9"/>
      <c r="B1810" s="8"/>
      <c r="C1810" s="8"/>
      <c r="D1810" s="8"/>
      <c r="E1810" s="9"/>
      <c r="F1810" s="9"/>
      <c r="G1810" s="9"/>
      <c r="H1810" s="9"/>
      <c r="I1810" s="8"/>
      <c r="J1810" s="9"/>
      <c r="K1810" s="9"/>
      <c r="L1810" s="9"/>
      <c r="M1810" s="9"/>
      <c r="N1810" s="9"/>
      <c r="O1810" s="9"/>
      <c r="P1810" s="9"/>
    </row>
    <row r="1811">
      <c r="A1811" s="9"/>
      <c r="B1811" s="8"/>
      <c r="C1811" s="8"/>
      <c r="D1811" s="8"/>
      <c r="E1811" s="9"/>
      <c r="F1811" s="9"/>
      <c r="G1811" s="9"/>
      <c r="H1811" s="9"/>
      <c r="I1811" s="8"/>
      <c r="J1811" s="9"/>
      <c r="K1811" s="9"/>
      <c r="L1811" s="9"/>
      <c r="M1811" s="9"/>
      <c r="N1811" s="9"/>
      <c r="O1811" s="9"/>
      <c r="P1811" s="9"/>
    </row>
    <row r="1812">
      <c r="A1812" s="9"/>
      <c r="B1812" s="8"/>
      <c r="C1812" s="8"/>
      <c r="D1812" s="8"/>
      <c r="E1812" s="9"/>
      <c r="F1812" s="9"/>
      <c r="G1812" s="9"/>
      <c r="H1812" s="9"/>
      <c r="I1812" s="8"/>
      <c r="J1812" s="9"/>
      <c r="K1812" s="9"/>
      <c r="L1812" s="9"/>
      <c r="M1812" s="9"/>
      <c r="N1812" s="9"/>
      <c r="O1812" s="9"/>
      <c r="P1812" s="9"/>
    </row>
    <row r="1813">
      <c r="A1813" s="9"/>
      <c r="B1813" s="8"/>
      <c r="C1813" s="8"/>
      <c r="D1813" s="8"/>
      <c r="E1813" s="9"/>
      <c r="F1813" s="9"/>
      <c r="G1813" s="9"/>
      <c r="H1813" s="9"/>
      <c r="I1813" s="8"/>
      <c r="J1813" s="9"/>
      <c r="K1813" s="9"/>
      <c r="L1813" s="9"/>
      <c r="M1813" s="9"/>
      <c r="N1813" s="9"/>
      <c r="O1813" s="9"/>
      <c r="P1813" s="9"/>
    </row>
    <row r="1814">
      <c r="A1814" s="9"/>
      <c r="B1814" s="8"/>
      <c r="C1814" s="8"/>
      <c r="D1814" s="8"/>
      <c r="E1814" s="9"/>
      <c r="F1814" s="9"/>
      <c r="G1814" s="9"/>
      <c r="H1814" s="9"/>
      <c r="I1814" s="8"/>
      <c r="J1814" s="9"/>
      <c r="K1814" s="9"/>
      <c r="L1814" s="9"/>
      <c r="M1814" s="9"/>
      <c r="N1814" s="9"/>
      <c r="O1814" s="9"/>
      <c r="P1814" s="9"/>
    </row>
    <row r="1815">
      <c r="A1815" s="9"/>
      <c r="B1815" s="8"/>
      <c r="C1815" s="8"/>
      <c r="D1815" s="8"/>
      <c r="E1815" s="9"/>
      <c r="F1815" s="9"/>
      <c r="G1815" s="9"/>
      <c r="H1815" s="9"/>
      <c r="I1815" s="8"/>
      <c r="J1815" s="9"/>
      <c r="K1815" s="9"/>
      <c r="L1815" s="9"/>
      <c r="M1815" s="9"/>
      <c r="N1815" s="9"/>
      <c r="O1815" s="9"/>
      <c r="P1815" s="9"/>
    </row>
    <row r="1816">
      <c r="A1816" s="9"/>
      <c r="B1816" s="8"/>
      <c r="C1816" s="8"/>
      <c r="D1816" s="8"/>
      <c r="E1816" s="9"/>
      <c r="F1816" s="9"/>
      <c r="G1816" s="9"/>
      <c r="H1816" s="9"/>
      <c r="I1816" s="8"/>
      <c r="J1816" s="9"/>
      <c r="K1816" s="9"/>
      <c r="L1816" s="9"/>
      <c r="M1816" s="9"/>
      <c r="N1816" s="9"/>
      <c r="O1816" s="9"/>
      <c r="P1816" s="9"/>
    </row>
    <row r="1817">
      <c r="A1817" s="9"/>
      <c r="B1817" s="8"/>
      <c r="C1817" s="8"/>
      <c r="D1817" s="8"/>
      <c r="E1817" s="9"/>
      <c r="F1817" s="9"/>
      <c r="G1817" s="9"/>
      <c r="H1817" s="9"/>
      <c r="I1817" s="8"/>
      <c r="J1817" s="9"/>
      <c r="K1817" s="9"/>
      <c r="L1817" s="9"/>
      <c r="M1817" s="9"/>
      <c r="N1817" s="9"/>
      <c r="O1817" s="9"/>
      <c r="P1817" s="9"/>
    </row>
    <row r="1818">
      <c r="A1818" s="9"/>
      <c r="B1818" s="8"/>
      <c r="C1818" s="8"/>
      <c r="D1818" s="8"/>
      <c r="E1818" s="9"/>
      <c r="F1818" s="9"/>
      <c r="G1818" s="9"/>
      <c r="H1818" s="9"/>
      <c r="I1818" s="8"/>
      <c r="J1818" s="9"/>
      <c r="K1818" s="9"/>
      <c r="L1818" s="9"/>
      <c r="M1818" s="9"/>
      <c r="N1818" s="9"/>
      <c r="O1818" s="9"/>
      <c r="P1818" s="9"/>
    </row>
    <row r="1819">
      <c r="A1819" s="9"/>
      <c r="B1819" s="8"/>
      <c r="C1819" s="8"/>
      <c r="D1819" s="8"/>
      <c r="E1819" s="9"/>
      <c r="F1819" s="9"/>
      <c r="G1819" s="9"/>
      <c r="H1819" s="9"/>
      <c r="I1819" s="8"/>
      <c r="J1819" s="9"/>
      <c r="K1819" s="9"/>
      <c r="L1819" s="9"/>
      <c r="M1819" s="9"/>
      <c r="N1819" s="9"/>
      <c r="O1819" s="9"/>
      <c r="P1819" s="9"/>
    </row>
    <row r="1820">
      <c r="A1820" s="9"/>
      <c r="B1820" s="8"/>
      <c r="C1820" s="8"/>
      <c r="D1820" s="8"/>
      <c r="E1820" s="9"/>
      <c r="F1820" s="9"/>
      <c r="G1820" s="9"/>
      <c r="H1820" s="9"/>
      <c r="I1820" s="8"/>
      <c r="J1820" s="9"/>
      <c r="K1820" s="9"/>
      <c r="L1820" s="9"/>
      <c r="M1820" s="9"/>
      <c r="N1820" s="9"/>
      <c r="O1820" s="9"/>
      <c r="P1820" s="9"/>
    </row>
    <row r="1821">
      <c r="A1821" s="9"/>
      <c r="B1821" s="8"/>
      <c r="C1821" s="8"/>
      <c r="D1821" s="8"/>
      <c r="E1821" s="9"/>
      <c r="F1821" s="9"/>
      <c r="G1821" s="9"/>
      <c r="H1821" s="9"/>
      <c r="I1821" s="8"/>
      <c r="J1821" s="9"/>
      <c r="K1821" s="9"/>
      <c r="L1821" s="9"/>
      <c r="M1821" s="9"/>
      <c r="N1821" s="9"/>
      <c r="O1821" s="9"/>
      <c r="P1821" s="9"/>
    </row>
    <row r="1822">
      <c r="A1822" s="9"/>
      <c r="B1822" s="8"/>
      <c r="C1822" s="8"/>
      <c r="D1822" s="8"/>
      <c r="E1822" s="9"/>
      <c r="F1822" s="9"/>
      <c r="G1822" s="9"/>
      <c r="H1822" s="9"/>
      <c r="I1822" s="8"/>
      <c r="J1822" s="9"/>
      <c r="K1822" s="9"/>
      <c r="L1822" s="9"/>
      <c r="M1822" s="9"/>
      <c r="N1822" s="9"/>
      <c r="O1822" s="9"/>
      <c r="P1822" s="9"/>
    </row>
    <row r="1823">
      <c r="A1823" s="9"/>
      <c r="B1823" s="8"/>
      <c r="C1823" s="8"/>
      <c r="D1823" s="8"/>
      <c r="E1823" s="9"/>
      <c r="F1823" s="9"/>
      <c r="G1823" s="9"/>
      <c r="H1823" s="9"/>
      <c r="I1823" s="8"/>
      <c r="J1823" s="9"/>
      <c r="K1823" s="9"/>
      <c r="L1823" s="9"/>
      <c r="M1823" s="9"/>
      <c r="N1823" s="9"/>
      <c r="O1823" s="9"/>
      <c r="P1823" s="9"/>
    </row>
    <row r="1824">
      <c r="A1824" s="9"/>
      <c r="B1824" s="8"/>
      <c r="C1824" s="8"/>
      <c r="D1824" s="8"/>
      <c r="E1824" s="9"/>
      <c r="F1824" s="9"/>
      <c r="G1824" s="9"/>
      <c r="H1824" s="9"/>
      <c r="I1824" s="8"/>
      <c r="J1824" s="9"/>
      <c r="K1824" s="9"/>
      <c r="L1824" s="9"/>
      <c r="M1824" s="9"/>
      <c r="N1824" s="9"/>
      <c r="O1824" s="9"/>
      <c r="P1824" s="9"/>
    </row>
    <row r="1825">
      <c r="A1825" s="9"/>
      <c r="B1825" s="8"/>
      <c r="C1825" s="8"/>
      <c r="D1825" s="8"/>
      <c r="E1825" s="9"/>
      <c r="F1825" s="9"/>
      <c r="G1825" s="9"/>
      <c r="H1825" s="9"/>
      <c r="I1825" s="8"/>
      <c r="J1825" s="9"/>
      <c r="K1825" s="9"/>
      <c r="L1825" s="9"/>
      <c r="M1825" s="9"/>
      <c r="N1825" s="9"/>
      <c r="O1825" s="9"/>
      <c r="P1825" s="9"/>
    </row>
    <row r="1826">
      <c r="A1826" s="9"/>
      <c r="B1826" s="8"/>
      <c r="C1826" s="8"/>
      <c r="D1826" s="8"/>
      <c r="E1826" s="9"/>
      <c r="F1826" s="9"/>
      <c r="G1826" s="9"/>
      <c r="H1826" s="9"/>
      <c r="I1826" s="8"/>
      <c r="J1826" s="9"/>
      <c r="K1826" s="9"/>
      <c r="L1826" s="9"/>
      <c r="M1826" s="9"/>
      <c r="N1826" s="9"/>
      <c r="O1826" s="9"/>
      <c r="P1826" s="9"/>
    </row>
    <row r="1827">
      <c r="A1827" s="9"/>
      <c r="B1827" s="8"/>
      <c r="C1827" s="8"/>
      <c r="D1827" s="8"/>
      <c r="E1827" s="9"/>
      <c r="F1827" s="9"/>
      <c r="G1827" s="9"/>
      <c r="H1827" s="9"/>
      <c r="I1827" s="8"/>
      <c r="J1827" s="9"/>
      <c r="K1827" s="9"/>
      <c r="L1827" s="9"/>
      <c r="M1827" s="9"/>
      <c r="N1827" s="9"/>
      <c r="O1827" s="9"/>
      <c r="P1827" s="9"/>
    </row>
    <row r="1828">
      <c r="A1828" s="9"/>
      <c r="B1828" s="8"/>
      <c r="C1828" s="8"/>
      <c r="D1828" s="8"/>
      <c r="E1828" s="9"/>
      <c r="F1828" s="9"/>
      <c r="G1828" s="9"/>
      <c r="H1828" s="9"/>
      <c r="I1828" s="8"/>
      <c r="J1828" s="9"/>
      <c r="K1828" s="9"/>
      <c r="L1828" s="9"/>
      <c r="M1828" s="9"/>
      <c r="N1828" s="9"/>
      <c r="O1828" s="9"/>
      <c r="P1828" s="9"/>
    </row>
    <row r="1829">
      <c r="A1829" s="9"/>
      <c r="B1829" s="8"/>
      <c r="C1829" s="8"/>
      <c r="D1829" s="8"/>
      <c r="E1829" s="9"/>
      <c r="F1829" s="9"/>
      <c r="G1829" s="9"/>
      <c r="H1829" s="9"/>
      <c r="I1829" s="8"/>
      <c r="J1829" s="9"/>
      <c r="K1829" s="9"/>
      <c r="L1829" s="9"/>
      <c r="M1829" s="9"/>
      <c r="N1829" s="9"/>
      <c r="O1829" s="9"/>
      <c r="P1829" s="9"/>
    </row>
    <row r="1830">
      <c r="A1830" s="9"/>
      <c r="B1830" s="8"/>
      <c r="C1830" s="8"/>
      <c r="D1830" s="8"/>
      <c r="E1830" s="9"/>
      <c r="F1830" s="9"/>
      <c r="G1830" s="9"/>
      <c r="H1830" s="9"/>
      <c r="I1830" s="8"/>
      <c r="J1830" s="9"/>
      <c r="K1830" s="9"/>
      <c r="L1830" s="9"/>
      <c r="M1830" s="9"/>
      <c r="N1830" s="9"/>
      <c r="O1830" s="9"/>
      <c r="P1830" s="9"/>
    </row>
    <row r="1831">
      <c r="A1831" s="9"/>
      <c r="B1831" s="8"/>
      <c r="C1831" s="8"/>
      <c r="D1831" s="8"/>
      <c r="E1831" s="9"/>
      <c r="F1831" s="9"/>
      <c r="G1831" s="9"/>
      <c r="H1831" s="9"/>
      <c r="I1831" s="8"/>
      <c r="J1831" s="9"/>
      <c r="K1831" s="9"/>
      <c r="L1831" s="9"/>
      <c r="M1831" s="9"/>
      <c r="N1831" s="9"/>
      <c r="O1831" s="9"/>
      <c r="P1831" s="9"/>
    </row>
    <row r="1832">
      <c r="A1832" s="9"/>
      <c r="B1832" s="8"/>
      <c r="C1832" s="8"/>
      <c r="D1832" s="8"/>
      <c r="E1832" s="9"/>
      <c r="F1832" s="9"/>
      <c r="G1832" s="9"/>
      <c r="H1832" s="9"/>
      <c r="I1832" s="8"/>
      <c r="J1832" s="9"/>
      <c r="K1832" s="9"/>
      <c r="L1832" s="9"/>
      <c r="M1832" s="9"/>
      <c r="N1832" s="9"/>
      <c r="O1832" s="9"/>
      <c r="P1832" s="9"/>
    </row>
    <row r="1833">
      <c r="A1833" s="9"/>
      <c r="B1833" s="8"/>
      <c r="C1833" s="8"/>
      <c r="D1833" s="8"/>
      <c r="E1833" s="9"/>
      <c r="F1833" s="9"/>
      <c r="G1833" s="9"/>
      <c r="H1833" s="9"/>
      <c r="I1833" s="8"/>
      <c r="J1833" s="9"/>
      <c r="K1833" s="9"/>
      <c r="L1833" s="9"/>
      <c r="M1833" s="9"/>
      <c r="N1833" s="9"/>
      <c r="O1833" s="9"/>
      <c r="P1833" s="9"/>
    </row>
    <row r="1834">
      <c r="A1834" s="9"/>
      <c r="B1834" s="8"/>
      <c r="C1834" s="8"/>
      <c r="D1834" s="8"/>
      <c r="E1834" s="9"/>
      <c r="F1834" s="9"/>
      <c r="G1834" s="9"/>
      <c r="H1834" s="9"/>
      <c r="I1834" s="8"/>
      <c r="J1834" s="9"/>
      <c r="K1834" s="9"/>
      <c r="L1834" s="9"/>
      <c r="M1834" s="9"/>
      <c r="N1834" s="9"/>
      <c r="O1834" s="9"/>
      <c r="P1834" s="9"/>
    </row>
    <row r="1835">
      <c r="A1835" s="9"/>
      <c r="B1835" s="8"/>
      <c r="C1835" s="8"/>
      <c r="D1835" s="8"/>
      <c r="E1835" s="9"/>
      <c r="F1835" s="9"/>
      <c r="G1835" s="9"/>
      <c r="H1835" s="9"/>
      <c r="I1835" s="8"/>
      <c r="J1835" s="9"/>
      <c r="K1835" s="9"/>
      <c r="L1835" s="9"/>
      <c r="M1835" s="9"/>
      <c r="N1835" s="9"/>
      <c r="O1835" s="9"/>
      <c r="P1835" s="9"/>
    </row>
    <row r="1836">
      <c r="A1836" s="9"/>
      <c r="B1836" s="8"/>
      <c r="C1836" s="8"/>
      <c r="D1836" s="8"/>
      <c r="E1836" s="9"/>
      <c r="F1836" s="9"/>
      <c r="G1836" s="9"/>
      <c r="H1836" s="9"/>
      <c r="I1836" s="8"/>
      <c r="J1836" s="9"/>
      <c r="K1836" s="9"/>
      <c r="L1836" s="9"/>
      <c r="M1836" s="9"/>
      <c r="N1836" s="9"/>
      <c r="O1836" s="9"/>
      <c r="P1836" s="9"/>
    </row>
    <row r="1837">
      <c r="A1837" s="9"/>
      <c r="B1837" s="8"/>
      <c r="C1837" s="8"/>
      <c r="D1837" s="8"/>
      <c r="E1837" s="9"/>
      <c r="F1837" s="9"/>
      <c r="G1837" s="9"/>
      <c r="H1837" s="9"/>
      <c r="I1837" s="8"/>
      <c r="J1837" s="9"/>
      <c r="K1837" s="9"/>
      <c r="L1837" s="9"/>
      <c r="M1837" s="9"/>
      <c r="N1837" s="9"/>
      <c r="O1837" s="9"/>
      <c r="P1837" s="9"/>
    </row>
    <row r="1838">
      <c r="A1838" s="9"/>
      <c r="B1838" s="8"/>
      <c r="C1838" s="8"/>
      <c r="D1838" s="8"/>
      <c r="E1838" s="9"/>
      <c r="F1838" s="9"/>
      <c r="G1838" s="9"/>
      <c r="H1838" s="9"/>
      <c r="I1838" s="8"/>
      <c r="J1838" s="9"/>
      <c r="K1838" s="9"/>
      <c r="L1838" s="9"/>
      <c r="M1838" s="9"/>
      <c r="N1838" s="9"/>
      <c r="O1838" s="9"/>
      <c r="P1838" s="9"/>
    </row>
    <row r="1839">
      <c r="A1839" s="9"/>
      <c r="B1839" s="8"/>
      <c r="C1839" s="8"/>
      <c r="D1839" s="8"/>
      <c r="E1839" s="9"/>
      <c r="F1839" s="9"/>
      <c r="G1839" s="9"/>
      <c r="H1839" s="9"/>
      <c r="I1839" s="8"/>
      <c r="J1839" s="9"/>
      <c r="K1839" s="9"/>
      <c r="L1839" s="9"/>
      <c r="M1839" s="9"/>
      <c r="N1839" s="9"/>
      <c r="O1839" s="9"/>
      <c r="P1839" s="9"/>
    </row>
    <row r="1840">
      <c r="A1840" s="9"/>
      <c r="B1840" s="8"/>
      <c r="C1840" s="8"/>
      <c r="D1840" s="8"/>
      <c r="E1840" s="9"/>
      <c r="F1840" s="9"/>
      <c r="G1840" s="9"/>
      <c r="H1840" s="9"/>
      <c r="I1840" s="8"/>
      <c r="J1840" s="9"/>
      <c r="K1840" s="9"/>
      <c r="L1840" s="9"/>
      <c r="M1840" s="9"/>
      <c r="N1840" s="9"/>
      <c r="O1840" s="9"/>
      <c r="P1840" s="9"/>
    </row>
    <row r="1841">
      <c r="A1841" s="9"/>
      <c r="B1841" s="8"/>
      <c r="C1841" s="8"/>
      <c r="D1841" s="8"/>
      <c r="E1841" s="9"/>
      <c r="F1841" s="9"/>
      <c r="G1841" s="9"/>
      <c r="H1841" s="9"/>
      <c r="I1841" s="8"/>
      <c r="J1841" s="9"/>
      <c r="K1841" s="9"/>
      <c r="L1841" s="9"/>
      <c r="M1841" s="9"/>
      <c r="N1841" s="9"/>
      <c r="O1841" s="9"/>
      <c r="P1841" s="9"/>
    </row>
    <row r="1842">
      <c r="A1842" s="9"/>
      <c r="B1842" s="8"/>
      <c r="C1842" s="8"/>
      <c r="D1842" s="8"/>
      <c r="E1842" s="9"/>
      <c r="F1842" s="9"/>
      <c r="G1842" s="9"/>
      <c r="H1842" s="9"/>
      <c r="I1842" s="8"/>
      <c r="J1842" s="9"/>
      <c r="K1842" s="9"/>
      <c r="L1842" s="9"/>
      <c r="M1842" s="9"/>
      <c r="N1842" s="9"/>
      <c r="O1842" s="9"/>
      <c r="P1842" s="9"/>
    </row>
    <row r="1843">
      <c r="A1843" s="9"/>
      <c r="B1843" s="8"/>
      <c r="C1843" s="8"/>
      <c r="D1843" s="8"/>
      <c r="E1843" s="9"/>
      <c r="F1843" s="9"/>
      <c r="G1843" s="9"/>
      <c r="H1843" s="9"/>
      <c r="I1843" s="8"/>
      <c r="J1843" s="9"/>
      <c r="K1843" s="9"/>
      <c r="L1843" s="9"/>
      <c r="M1843" s="9"/>
      <c r="N1843" s="9"/>
      <c r="O1843" s="9"/>
      <c r="P1843" s="9"/>
    </row>
    <row r="1844">
      <c r="A1844" s="9"/>
      <c r="B1844" s="8"/>
      <c r="C1844" s="8"/>
      <c r="D1844" s="8"/>
      <c r="E1844" s="9"/>
      <c r="F1844" s="9"/>
      <c r="G1844" s="9"/>
      <c r="H1844" s="9"/>
      <c r="I1844" s="8"/>
      <c r="J1844" s="9"/>
      <c r="K1844" s="9"/>
      <c r="L1844" s="9"/>
      <c r="M1844" s="9"/>
      <c r="N1844" s="9"/>
      <c r="O1844" s="9"/>
      <c r="P1844" s="9"/>
    </row>
    <row r="1845">
      <c r="A1845" s="9"/>
      <c r="B1845" s="8"/>
      <c r="C1845" s="8"/>
      <c r="D1845" s="8"/>
      <c r="E1845" s="9"/>
      <c r="F1845" s="9"/>
      <c r="G1845" s="9"/>
      <c r="H1845" s="9"/>
      <c r="I1845" s="8"/>
      <c r="J1845" s="9"/>
      <c r="K1845" s="9"/>
      <c r="L1845" s="9"/>
      <c r="M1845" s="9"/>
      <c r="N1845" s="9"/>
      <c r="O1845" s="9"/>
      <c r="P1845" s="9"/>
    </row>
    <row r="1846">
      <c r="A1846" s="9"/>
      <c r="B1846" s="8"/>
      <c r="C1846" s="8"/>
      <c r="D1846" s="8"/>
      <c r="E1846" s="9"/>
      <c r="F1846" s="9"/>
      <c r="G1846" s="9"/>
      <c r="H1846" s="9"/>
      <c r="I1846" s="8"/>
      <c r="J1846" s="9"/>
      <c r="K1846" s="9"/>
      <c r="L1846" s="9"/>
      <c r="M1846" s="9"/>
      <c r="N1846" s="9"/>
      <c r="O1846" s="9"/>
      <c r="P1846" s="9"/>
    </row>
    <row r="1847">
      <c r="A1847" s="9"/>
      <c r="B1847" s="8"/>
      <c r="C1847" s="8"/>
      <c r="D1847" s="8"/>
      <c r="E1847" s="9"/>
      <c r="F1847" s="9"/>
      <c r="G1847" s="9"/>
      <c r="H1847" s="9"/>
      <c r="I1847" s="8"/>
      <c r="J1847" s="9"/>
      <c r="K1847" s="9"/>
      <c r="L1847" s="9"/>
      <c r="M1847" s="9"/>
      <c r="N1847" s="9"/>
      <c r="O1847" s="9"/>
      <c r="P1847" s="9"/>
    </row>
    <row r="1848">
      <c r="A1848" s="9"/>
      <c r="B1848" s="8"/>
      <c r="C1848" s="8"/>
      <c r="D1848" s="8"/>
      <c r="E1848" s="9"/>
      <c r="F1848" s="9"/>
      <c r="G1848" s="9"/>
      <c r="H1848" s="9"/>
      <c r="I1848" s="8"/>
      <c r="J1848" s="9"/>
      <c r="K1848" s="9"/>
      <c r="L1848" s="9"/>
      <c r="M1848" s="9"/>
      <c r="N1848" s="9"/>
      <c r="O1848" s="9"/>
      <c r="P1848" s="9"/>
    </row>
    <row r="1849">
      <c r="A1849" s="9"/>
      <c r="B1849" s="8"/>
      <c r="C1849" s="8"/>
      <c r="D1849" s="8"/>
      <c r="E1849" s="9"/>
      <c r="F1849" s="9"/>
      <c r="G1849" s="9"/>
      <c r="H1849" s="9"/>
      <c r="I1849" s="8"/>
      <c r="J1849" s="9"/>
      <c r="K1849" s="9"/>
      <c r="L1849" s="9"/>
      <c r="M1849" s="9"/>
      <c r="N1849" s="9"/>
      <c r="O1849" s="9"/>
      <c r="P1849" s="9"/>
    </row>
    <row r="1850">
      <c r="A1850" s="9"/>
      <c r="B1850" s="8"/>
      <c r="C1850" s="8"/>
      <c r="D1850" s="8"/>
      <c r="E1850" s="9"/>
      <c r="F1850" s="9"/>
      <c r="G1850" s="9"/>
      <c r="H1850" s="9"/>
      <c r="I1850" s="8"/>
      <c r="J1850" s="9"/>
      <c r="K1850" s="9"/>
      <c r="L1850" s="9"/>
      <c r="M1850" s="9"/>
      <c r="N1850" s="9"/>
      <c r="O1850" s="9"/>
      <c r="P1850" s="9"/>
    </row>
    <row r="1851">
      <c r="A1851" s="9"/>
      <c r="B1851" s="8"/>
      <c r="C1851" s="8"/>
      <c r="D1851" s="8"/>
      <c r="E1851" s="9"/>
      <c r="F1851" s="9"/>
      <c r="G1851" s="9"/>
      <c r="H1851" s="9"/>
      <c r="I1851" s="8"/>
      <c r="J1851" s="9"/>
      <c r="K1851" s="9"/>
      <c r="L1851" s="9"/>
      <c r="M1851" s="9"/>
      <c r="N1851" s="9"/>
      <c r="O1851" s="9"/>
      <c r="P1851" s="9"/>
    </row>
    <row r="1852">
      <c r="A1852" s="9"/>
      <c r="B1852" s="8"/>
      <c r="C1852" s="8"/>
      <c r="D1852" s="8"/>
      <c r="E1852" s="9"/>
      <c r="F1852" s="9"/>
      <c r="G1852" s="9"/>
      <c r="H1852" s="9"/>
      <c r="I1852" s="8"/>
      <c r="J1852" s="9"/>
      <c r="K1852" s="9"/>
      <c r="L1852" s="9"/>
      <c r="M1852" s="9"/>
      <c r="N1852" s="9"/>
      <c r="O1852" s="9"/>
      <c r="P1852" s="9"/>
    </row>
    <row r="1853">
      <c r="A1853" s="9"/>
      <c r="B1853" s="8"/>
      <c r="C1853" s="8"/>
      <c r="D1853" s="8"/>
      <c r="E1853" s="9"/>
      <c r="F1853" s="9"/>
      <c r="G1853" s="9"/>
      <c r="H1853" s="9"/>
      <c r="I1853" s="8"/>
      <c r="J1853" s="9"/>
      <c r="K1853" s="9"/>
      <c r="L1853" s="9"/>
      <c r="M1853" s="9"/>
      <c r="N1853" s="9"/>
      <c r="O1853" s="9"/>
      <c r="P1853" s="9"/>
    </row>
    <row r="1854">
      <c r="A1854" s="9"/>
      <c r="B1854" s="8"/>
      <c r="C1854" s="8"/>
      <c r="D1854" s="8"/>
      <c r="E1854" s="9"/>
      <c r="F1854" s="9"/>
      <c r="G1854" s="9"/>
      <c r="H1854" s="9"/>
      <c r="I1854" s="8"/>
      <c r="J1854" s="9"/>
      <c r="K1854" s="9"/>
      <c r="L1854" s="9"/>
      <c r="M1854" s="9"/>
      <c r="N1854" s="9"/>
      <c r="O1854" s="9"/>
      <c r="P1854" s="9"/>
    </row>
    <row r="1855">
      <c r="A1855" s="9"/>
      <c r="B1855" s="8"/>
      <c r="C1855" s="8"/>
      <c r="D1855" s="8"/>
      <c r="E1855" s="9"/>
      <c r="F1855" s="9"/>
      <c r="G1855" s="9"/>
      <c r="H1855" s="9"/>
      <c r="I1855" s="8"/>
      <c r="J1855" s="9"/>
      <c r="K1855" s="9"/>
      <c r="L1855" s="9"/>
      <c r="M1855" s="9"/>
      <c r="N1855" s="9"/>
      <c r="O1855" s="9"/>
      <c r="P1855" s="9"/>
    </row>
    <row r="1856">
      <c r="A1856" s="9"/>
      <c r="B1856" s="8"/>
      <c r="C1856" s="8"/>
      <c r="D1856" s="8"/>
      <c r="E1856" s="9"/>
      <c r="F1856" s="9"/>
      <c r="G1856" s="9"/>
      <c r="H1856" s="9"/>
      <c r="I1856" s="8"/>
      <c r="J1856" s="9"/>
      <c r="K1856" s="9"/>
      <c r="L1856" s="9"/>
      <c r="M1856" s="9"/>
      <c r="N1856" s="9"/>
      <c r="O1856" s="9"/>
      <c r="P1856" s="9"/>
    </row>
    <row r="1857">
      <c r="A1857" s="9"/>
      <c r="B1857" s="8"/>
      <c r="C1857" s="8"/>
      <c r="D1857" s="8"/>
      <c r="E1857" s="9"/>
      <c r="F1857" s="9"/>
      <c r="G1857" s="9"/>
      <c r="H1857" s="9"/>
      <c r="I1857" s="8"/>
      <c r="J1857" s="9"/>
      <c r="K1857" s="9"/>
      <c r="L1857" s="9"/>
      <c r="M1857" s="9"/>
      <c r="N1857" s="9"/>
      <c r="O1857" s="9"/>
      <c r="P1857" s="9"/>
    </row>
    <row r="1858">
      <c r="A1858" s="9"/>
      <c r="B1858" s="8"/>
      <c r="C1858" s="8"/>
      <c r="D1858" s="8"/>
      <c r="E1858" s="9"/>
      <c r="F1858" s="9"/>
      <c r="G1858" s="9"/>
      <c r="H1858" s="9"/>
      <c r="I1858" s="8"/>
      <c r="J1858" s="9"/>
      <c r="K1858" s="9"/>
      <c r="L1858" s="9"/>
      <c r="M1858" s="9"/>
      <c r="N1858" s="9"/>
      <c r="O1858" s="9"/>
      <c r="P1858" s="9"/>
    </row>
    <row r="1859">
      <c r="A1859" s="9"/>
      <c r="B1859" s="8"/>
      <c r="C1859" s="8"/>
      <c r="D1859" s="8"/>
      <c r="E1859" s="9"/>
      <c r="F1859" s="9"/>
      <c r="G1859" s="9"/>
      <c r="H1859" s="9"/>
      <c r="I1859" s="8"/>
      <c r="J1859" s="9"/>
      <c r="K1859" s="9"/>
      <c r="L1859" s="9"/>
      <c r="M1859" s="9"/>
      <c r="N1859" s="9"/>
      <c r="O1859" s="9"/>
      <c r="P1859" s="9"/>
    </row>
    <row r="1860">
      <c r="A1860" s="9"/>
      <c r="B1860" s="8"/>
      <c r="C1860" s="8"/>
      <c r="D1860" s="8"/>
      <c r="E1860" s="9"/>
      <c r="F1860" s="9"/>
      <c r="G1860" s="9"/>
      <c r="H1860" s="9"/>
      <c r="I1860" s="8"/>
      <c r="J1860" s="9"/>
      <c r="K1860" s="9"/>
      <c r="L1860" s="9"/>
      <c r="M1860" s="9"/>
      <c r="N1860" s="9"/>
      <c r="O1860" s="9"/>
      <c r="P1860" s="9"/>
    </row>
    <row r="1861">
      <c r="A1861" s="9"/>
      <c r="B1861" s="8"/>
      <c r="C1861" s="8"/>
      <c r="D1861" s="8"/>
      <c r="E1861" s="9"/>
      <c r="F1861" s="9"/>
      <c r="G1861" s="9"/>
      <c r="H1861" s="9"/>
      <c r="I1861" s="8"/>
      <c r="J1861" s="9"/>
      <c r="K1861" s="9"/>
      <c r="L1861" s="9"/>
      <c r="M1861" s="9"/>
      <c r="N1861" s="9"/>
      <c r="O1861" s="9"/>
      <c r="P1861" s="9"/>
    </row>
    <row r="1862">
      <c r="A1862" s="9"/>
      <c r="B1862" s="8"/>
      <c r="C1862" s="8"/>
      <c r="D1862" s="8"/>
      <c r="E1862" s="9"/>
      <c r="F1862" s="9"/>
      <c r="G1862" s="9"/>
      <c r="H1862" s="9"/>
      <c r="I1862" s="8"/>
      <c r="J1862" s="9"/>
      <c r="K1862" s="9"/>
      <c r="L1862" s="9"/>
      <c r="M1862" s="9"/>
      <c r="N1862" s="9"/>
      <c r="O1862" s="9"/>
      <c r="P1862" s="9"/>
    </row>
    <row r="1863">
      <c r="A1863" s="9"/>
      <c r="B1863" s="8"/>
      <c r="C1863" s="8"/>
      <c r="D1863" s="8"/>
      <c r="E1863" s="9"/>
      <c r="F1863" s="9"/>
      <c r="G1863" s="9"/>
      <c r="H1863" s="9"/>
      <c r="I1863" s="8"/>
      <c r="J1863" s="9"/>
      <c r="K1863" s="9"/>
      <c r="L1863" s="9"/>
      <c r="M1863" s="9"/>
      <c r="N1863" s="9"/>
      <c r="O1863" s="9"/>
      <c r="P1863" s="9"/>
    </row>
    <row r="1864">
      <c r="A1864" s="9"/>
      <c r="B1864" s="8"/>
      <c r="C1864" s="8"/>
      <c r="D1864" s="8"/>
      <c r="E1864" s="9"/>
      <c r="F1864" s="9"/>
      <c r="G1864" s="9"/>
      <c r="H1864" s="9"/>
      <c r="I1864" s="8"/>
      <c r="J1864" s="9"/>
      <c r="K1864" s="9"/>
      <c r="L1864" s="9"/>
      <c r="M1864" s="9"/>
      <c r="N1864" s="9"/>
      <c r="O1864" s="9"/>
      <c r="P1864" s="9"/>
    </row>
    <row r="1865">
      <c r="A1865" s="9"/>
      <c r="B1865" s="8"/>
      <c r="C1865" s="8"/>
      <c r="D1865" s="8"/>
      <c r="E1865" s="9"/>
      <c r="F1865" s="9"/>
      <c r="G1865" s="9"/>
      <c r="H1865" s="9"/>
      <c r="I1865" s="8"/>
      <c r="J1865" s="9"/>
      <c r="K1865" s="9"/>
      <c r="L1865" s="9"/>
      <c r="M1865" s="9"/>
      <c r="N1865" s="9"/>
      <c r="O1865" s="9"/>
      <c r="P1865" s="9"/>
    </row>
    <row r="1866">
      <c r="A1866" s="9"/>
      <c r="B1866" s="8"/>
      <c r="C1866" s="8"/>
      <c r="D1866" s="8"/>
      <c r="E1866" s="9"/>
      <c r="F1866" s="9"/>
      <c r="G1866" s="9"/>
      <c r="H1866" s="9"/>
      <c r="I1866" s="8"/>
      <c r="J1866" s="9"/>
      <c r="K1866" s="9"/>
      <c r="L1866" s="9"/>
      <c r="M1866" s="9"/>
      <c r="N1866" s="9"/>
      <c r="O1866" s="9"/>
      <c r="P1866" s="9"/>
    </row>
    <row r="1867">
      <c r="A1867" s="9"/>
      <c r="B1867" s="8"/>
      <c r="C1867" s="8"/>
      <c r="D1867" s="8"/>
      <c r="E1867" s="9"/>
      <c r="F1867" s="9"/>
      <c r="G1867" s="9"/>
      <c r="H1867" s="9"/>
      <c r="I1867" s="8"/>
      <c r="J1867" s="9"/>
      <c r="K1867" s="9"/>
      <c r="L1867" s="9"/>
      <c r="M1867" s="9"/>
      <c r="N1867" s="9"/>
      <c r="O1867" s="9"/>
      <c r="P1867" s="9"/>
    </row>
    <row r="1868">
      <c r="A1868" s="9"/>
      <c r="B1868" s="8"/>
      <c r="C1868" s="8"/>
      <c r="D1868" s="8"/>
      <c r="E1868" s="9"/>
      <c r="F1868" s="9"/>
      <c r="G1868" s="9"/>
      <c r="H1868" s="9"/>
      <c r="I1868" s="8"/>
      <c r="J1868" s="9"/>
      <c r="K1868" s="9"/>
      <c r="L1868" s="9"/>
      <c r="M1868" s="9"/>
      <c r="N1868" s="9"/>
      <c r="O1868" s="9"/>
      <c r="P1868" s="9"/>
    </row>
    <row r="1869">
      <c r="A1869" s="9"/>
      <c r="B1869" s="8"/>
      <c r="C1869" s="8"/>
      <c r="D1869" s="8"/>
      <c r="E1869" s="9"/>
      <c r="F1869" s="9"/>
      <c r="G1869" s="9"/>
      <c r="H1869" s="9"/>
      <c r="I1869" s="8"/>
      <c r="J1869" s="9"/>
      <c r="K1869" s="9"/>
      <c r="L1869" s="9"/>
      <c r="M1869" s="9"/>
      <c r="N1869" s="9"/>
      <c r="O1869" s="9"/>
      <c r="P1869" s="9"/>
    </row>
    <row r="1870">
      <c r="A1870" s="9"/>
      <c r="B1870" s="8"/>
      <c r="C1870" s="8"/>
      <c r="D1870" s="8"/>
      <c r="E1870" s="9"/>
      <c r="F1870" s="9"/>
      <c r="G1870" s="9"/>
      <c r="H1870" s="9"/>
      <c r="I1870" s="8"/>
      <c r="J1870" s="9"/>
      <c r="K1870" s="9"/>
      <c r="L1870" s="9"/>
      <c r="M1870" s="9"/>
      <c r="N1870" s="9"/>
      <c r="O1870" s="9"/>
      <c r="P1870" s="9"/>
    </row>
    <row r="1871">
      <c r="A1871" s="9"/>
      <c r="B1871" s="8"/>
      <c r="C1871" s="8"/>
      <c r="D1871" s="8"/>
      <c r="E1871" s="9"/>
      <c r="F1871" s="9"/>
      <c r="G1871" s="9"/>
      <c r="H1871" s="9"/>
      <c r="I1871" s="8"/>
      <c r="J1871" s="9"/>
      <c r="K1871" s="9"/>
      <c r="L1871" s="9"/>
      <c r="M1871" s="9"/>
      <c r="N1871" s="9"/>
      <c r="O1871" s="9"/>
      <c r="P1871" s="9"/>
    </row>
    <row r="1872">
      <c r="A1872" s="9"/>
      <c r="B1872" s="8"/>
      <c r="C1872" s="8"/>
      <c r="D1872" s="8"/>
      <c r="E1872" s="9"/>
      <c r="F1872" s="9"/>
      <c r="G1872" s="9"/>
      <c r="H1872" s="9"/>
      <c r="I1872" s="8"/>
      <c r="J1872" s="9"/>
      <c r="K1872" s="9"/>
      <c r="L1872" s="9"/>
      <c r="M1872" s="9"/>
      <c r="N1872" s="9"/>
      <c r="O1872" s="9"/>
      <c r="P1872" s="9"/>
    </row>
    <row r="1873">
      <c r="A1873" s="9"/>
      <c r="B1873" s="8"/>
      <c r="C1873" s="8"/>
      <c r="D1873" s="8"/>
      <c r="E1873" s="9"/>
      <c r="F1873" s="9"/>
      <c r="G1873" s="9"/>
      <c r="H1873" s="9"/>
      <c r="I1873" s="8"/>
      <c r="J1873" s="9"/>
      <c r="K1873" s="9"/>
      <c r="L1873" s="9"/>
      <c r="M1873" s="9"/>
      <c r="N1873" s="9"/>
      <c r="O1873" s="9"/>
      <c r="P1873" s="9"/>
    </row>
    <row r="1874">
      <c r="A1874" s="9"/>
      <c r="B1874" s="8"/>
      <c r="C1874" s="8"/>
      <c r="D1874" s="8"/>
      <c r="E1874" s="9"/>
      <c r="F1874" s="9"/>
      <c r="G1874" s="9"/>
      <c r="H1874" s="9"/>
      <c r="I1874" s="8"/>
      <c r="J1874" s="9"/>
      <c r="K1874" s="9"/>
      <c r="L1874" s="9"/>
      <c r="M1874" s="9"/>
      <c r="N1874" s="9"/>
      <c r="O1874" s="9"/>
      <c r="P1874" s="9"/>
    </row>
    <row r="1875">
      <c r="A1875" s="9"/>
      <c r="B1875" s="8"/>
      <c r="C1875" s="8"/>
      <c r="D1875" s="8"/>
      <c r="E1875" s="9"/>
      <c r="F1875" s="9"/>
      <c r="G1875" s="9"/>
      <c r="H1875" s="9"/>
      <c r="I1875" s="8"/>
      <c r="J1875" s="9"/>
      <c r="K1875" s="9"/>
      <c r="L1875" s="9"/>
      <c r="M1875" s="9"/>
      <c r="N1875" s="9"/>
      <c r="O1875" s="9"/>
      <c r="P1875" s="9"/>
    </row>
    <row r="1876">
      <c r="A1876" s="9"/>
      <c r="B1876" s="8"/>
      <c r="C1876" s="8"/>
      <c r="D1876" s="8"/>
      <c r="E1876" s="9"/>
      <c r="F1876" s="9"/>
      <c r="G1876" s="9"/>
      <c r="H1876" s="9"/>
      <c r="I1876" s="8"/>
      <c r="J1876" s="9"/>
      <c r="K1876" s="9"/>
      <c r="L1876" s="9"/>
      <c r="M1876" s="9"/>
      <c r="N1876" s="9"/>
      <c r="O1876" s="9"/>
      <c r="P1876" s="9"/>
    </row>
    <row r="1877">
      <c r="A1877" s="9"/>
      <c r="B1877" s="8"/>
      <c r="C1877" s="8"/>
      <c r="D1877" s="8"/>
      <c r="E1877" s="9"/>
      <c r="F1877" s="9"/>
      <c r="G1877" s="9"/>
      <c r="H1877" s="9"/>
      <c r="I1877" s="8"/>
      <c r="J1877" s="9"/>
      <c r="K1877" s="9"/>
      <c r="L1877" s="9"/>
      <c r="M1877" s="9"/>
      <c r="N1877" s="9"/>
      <c r="O1877" s="9"/>
      <c r="P1877" s="9"/>
    </row>
    <row r="1878">
      <c r="A1878" s="9"/>
      <c r="B1878" s="8"/>
      <c r="C1878" s="8"/>
      <c r="D1878" s="8"/>
      <c r="E1878" s="9"/>
      <c r="F1878" s="9"/>
      <c r="G1878" s="9"/>
      <c r="H1878" s="9"/>
      <c r="I1878" s="8"/>
      <c r="J1878" s="9"/>
      <c r="K1878" s="9"/>
      <c r="L1878" s="9"/>
      <c r="M1878" s="9"/>
      <c r="N1878" s="9"/>
      <c r="O1878" s="9"/>
      <c r="P1878" s="9"/>
    </row>
    <row r="1879">
      <c r="A1879" s="9"/>
      <c r="B1879" s="8"/>
      <c r="C1879" s="8"/>
      <c r="D1879" s="8"/>
      <c r="E1879" s="9"/>
      <c r="F1879" s="9"/>
      <c r="G1879" s="9"/>
      <c r="H1879" s="9"/>
      <c r="I1879" s="8"/>
      <c r="J1879" s="9"/>
      <c r="K1879" s="9"/>
      <c r="L1879" s="9"/>
      <c r="M1879" s="9"/>
      <c r="N1879" s="9"/>
      <c r="O1879" s="9"/>
      <c r="P1879" s="9"/>
    </row>
    <row r="1880">
      <c r="A1880" s="9"/>
      <c r="B1880" s="8"/>
      <c r="C1880" s="8"/>
      <c r="D1880" s="8"/>
      <c r="E1880" s="9"/>
      <c r="F1880" s="9"/>
      <c r="G1880" s="9"/>
      <c r="H1880" s="9"/>
      <c r="I1880" s="8"/>
      <c r="J1880" s="9"/>
      <c r="K1880" s="9"/>
      <c r="L1880" s="9"/>
      <c r="M1880" s="9"/>
      <c r="N1880" s="9"/>
      <c r="O1880" s="9"/>
      <c r="P1880" s="9"/>
    </row>
    <row r="1881">
      <c r="A1881" s="9"/>
      <c r="B1881" s="8"/>
      <c r="C1881" s="8"/>
      <c r="D1881" s="8"/>
      <c r="E1881" s="9"/>
      <c r="F1881" s="9"/>
      <c r="G1881" s="9"/>
      <c r="H1881" s="9"/>
      <c r="I1881" s="8"/>
      <c r="J1881" s="9"/>
      <c r="K1881" s="9"/>
      <c r="L1881" s="9"/>
      <c r="M1881" s="9"/>
      <c r="N1881" s="9"/>
      <c r="O1881" s="9"/>
      <c r="P1881" s="9"/>
    </row>
    <row r="1882">
      <c r="A1882" s="9"/>
      <c r="B1882" s="8"/>
      <c r="C1882" s="8"/>
      <c r="D1882" s="8"/>
      <c r="E1882" s="9"/>
      <c r="F1882" s="9"/>
      <c r="G1882" s="9"/>
      <c r="H1882" s="9"/>
      <c r="I1882" s="8"/>
      <c r="J1882" s="9"/>
      <c r="K1882" s="9"/>
      <c r="L1882" s="9"/>
      <c r="M1882" s="9"/>
      <c r="N1882" s="9"/>
      <c r="O1882" s="9"/>
      <c r="P1882" s="9"/>
    </row>
    <row r="1883">
      <c r="A1883" s="9"/>
      <c r="B1883" s="8"/>
      <c r="C1883" s="8"/>
      <c r="D1883" s="8"/>
      <c r="E1883" s="9"/>
      <c r="F1883" s="9"/>
      <c r="G1883" s="9"/>
      <c r="H1883" s="9"/>
      <c r="I1883" s="8"/>
      <c r="J1883" s="9"/>
      <c r="K1883" s="9"/>
      <c r="L1883" s="9"/>
      <c r="M1883" s="9"/>
      <c r="N1883" s="9"/>
      <c r="O1883" s="9"/>
      <c r="P1883" s="9"/>
    </row>
    <row r="1884">
      <c r="A1884" s="9"/>
      <c r="B1884" s="8"/>
      <c r="C1884" s="8"/>
      <c r="D1884" s="8"/>
      <c r="E1884" s="9"/>
      <c r="F1884" s="9"/>
      <c r="G1884" s="9"/>
      <c r="H1884" s="9"/>
      <c r="I1884" s="8"/>
      <c r="J1884" s="9"/>
      <c r="K1884" s="9"/>
      <c r="L1884" s="9"/>
      <c r="M1884" s="9"/>
      <c r="N1884" s="9"/>
      <c r="O1884" s="9"/>
      <c r="P1884" s="9"/>
    </row>
    <row r="1885">
      <c r="A1885" s="9"/>
      <c r="B1885" s="8"/>
      <c r="C1885" s="8"/>
      <c r="D1885" s="8"/>
      <c r="E1885" s="9"/>
      <c r="F1885" s="9"/>
      <c r="G1885" s="9"/>
      <c r="H1885" s="9"/>
      <c r="I1885" s="8"/>
      <c r="J1885" s="9"/>
      <c r="K1885" s="9"/>
      <c r="L1885" s="9"/>
      <c r="M1885" s="9"/>
      <c r="N1885" s="9"/>
      <c r="O1885" s="9"/>
      <c r="P1885" s="9"/>
    </row>
    <row r="1886">
      <c r="A1886" s="9"/>
      <c r="B1886" s="8"/>
      <c r="C1886" s="8"/>
      <c r="D1886" s="8"/>
      <c r="E1886" s="9"/>
      <c r="F1886" s="9"/>
      <c r="G1886" s="9"/>
      <c r="H1886" s="9"/>
      <c r="I1886" s="8"/>
      <c r="J1886" s="9"/>
      <c r="K1886" s="9"/>
      <c r="L1886" s="9"/>
      <c r="M1886" s="9"/>
      <c r="N1886" s="9"/>
      <c r="O1886" s="9"/>
      <c r="P1886" s="9"/>
    </row>
    <row r="1887">
      <c r="A1887" s="9"/>
      <c r="B1887" s="8"/>
      <c r="C1887" s="8"/>
      <c r="D1887" s="8"/>
      <c r="E1887" s="9"/>
      <c r="F1887" s="9"/>
      <c r="G1887" s="9"/>
      <c r="H1887" s="9"/>
      <c r="I1887" s="8"/>
      <c r="J1887" s="9"/>
      <c r="K1887" s="9"/>
      <c r="L1887" s="9"/>
      <c r="M1887" s="9"/>
      <c r="N1887" s="9"/>
      <c r="O1887" s="9"/>
      <c r="P1887" s="9"/>
    </row>
    <row r="1888">
      <c r="A1888" s="9"/>
      <c r="B1888" s="8"/>
      <c r="C1888" s="8"/>
      <c r="D1888" s="8"/>
      <c r="E1888" s="9"/>
      <c r="F1888" s="9"/>
      <c r="G1888" s="9"/>
      <c r="H1888" s="9"/>
      <c r="I1888" s="8"/>
      <c r="J1888" s="9"/>
      <c r="K1888" s="9"/>
      <c r="L1888" s="9"/>
      <c r="M1888" s="9"/>
      <c r="N1888" s="9"/>
      <c r="O1888" s="9"/>
      <c r="P1888" s="9"/>
    </row>
    <row r="1889">
      <c r="A1889" s="9"/>
      <c r="B1889" s="8"/>
      <c r="C1889" s="8"/>
      <c r="D1889" s="8"/>
      <c r="E1889" s="9"/>
      <c r="F1889" s="9"/>
      <c r="G1889" s="9"/>
      <c r="H1889" s="9"/>
      <c r="I1889" s="8"/>
      <c r="J1889" s="9"/>
      <c r="K1889" s="9"/>
      <c r="L1889" s="9"/>
      <c r="M1889" s="9"/>
      <c r="N1889" s="9"/>
      <c r="O1889" s="9"/>
      <c r="P1889" s="9"/>
    </row>
    <row r="1890">
      <c r="A1890" s="9"/>
      <c r="B1890" s="8"/>
      <c r="C1890" s="8"/>
      <c r="D1890" s="8"/>
      <c r="E1890" s="9"/>
      <c r="F1890" s="9"/>
      <c r="G1890" s="9"/>
      <c r="H1890" s="9"/>
      <c r="I1890" s="8"/>
      <c r="J1890" s="9"/>
      <c r="K1890" s="9"/>
      <c r="L1890" s="9"/>
      <c r="M1890" s="9"/>
      <c r="N1890" s="9"/>
      <c r="O1890" s="9"/>
      <c r="P1890" s="9"/>
    </row>
    <row r="1891">
      <c r="A1891" s="9"/>
      <c r="B1891" s="8"/>
      <c r="C1891" s="8"/>
      <c r="D1891" s="8"/>
      <c r="E1891" s="9"/>
      <c r="F1891" s="9"/>
      <c r="G1891" s="9"/>
      <c r="H1891" s="9"/>
      <c r="I1891" s="8"/>
      <c r="J1891" s="9"/>
      <c r="K1891" s="9"/>
      <c r="L1891" s="9"/>
      <c r="M1891" s="9"/>
      <c r="N1891" s="9"/>
      <c r="O1891" s="9"/>
      <c r="P1891" s="9"/>
    </row>
    <row r="1892">
      <c r="A1892" s="9"/>
      <c r="B1892" s="8"/>
      <c r="C1892" s="8"/>
      <c r="D1892" s="8"/>
      <c r="E1892" s="9"/>
      <c r="F1892" s="9"/>
      <c r="G1892" s="9"/>
      <c r="H1892" s="9"/>
      <c r="I1892" s="8"/>
      <c r="J1892" s="9"/>
      <c r="K1892" s="9"/>
      <c r="L1892" s="9"/>
      <c r="M1892" s="9"/>
      <c r="N1892" s="9"/>
      <c r="O1892" s="9"/>
      <c r="P1892" s="9"/>
    </row>
    <row r="1893">
      <c r="A1893" s="9"/>
      <c r="B1893" s="8"/>
      <c r="C1893" s="8"/>
      <c r="D1893" s="8"/>
      <c r="E1893" s="9"/>
      <c r="F1893" s="9"/>
      <c r="G1893" s="9"/>
      <c r="H1893" s="9"/>
      <c r="I1893" s="8"/>
      <c r="J1893" s="9"/>
      <c r="K1893" s="9"/>
      <c r="L1893" s="9"/>
      <c r="M1893" s="9"/>
      <c r="N1893" s="9"/>
      <c r="O1893" s="9"/>
      <c r="P1893" s="9"/>
    </row>
    <row r="1894">
      <c r="A1894" s="9"/>
      <c r="B1894" s="8"/>
      <c r="C1894" s="8"/>
      <c r="D1894" s="8"/>
      <c r="E1894" s="9"/>
      <c r="F1894" s="9"/>
      <c r="G1894" s="9"/>
      <c r="H1894" s="9"/>
      <c r="I1894" s="8"/>
      <c r="J1894" s="9"/>
      <c r="K1894" s="9"/>
      <c r="L1894" s="9"/>
      <c r="M1894" s="9"/>
      <c r="N1894" s="9"/>
      <c r="O1894" s="9"/>
      <c r="P1894" s="9"/>
    </row>
    <row r="1895">
      <c r="A1895" s="9"/>
      <c r="B1895" s="8"/>
      <c r="C1895" s="8"/>
      <c r="D1895" s="8"/>
      <c r="E1895" s="9"/>
      <c r="F1895" s="9"/>
      <c r="G1895" s="9"/>
      <c r="H1895" s="9"/>
      <c r="I1895" s="8"/>
      <c r="J1895" s="9"/>
      <c r="K1895" s="9"/>
      <c r="L1895" s="9"/>
      <c r="M1895" s="9"/>
      <c r="N1895" s="9"/>
      <c r="O1895" s="9"/>
      <c r="P1895" s="9"/>
    </row>
    <row r="1896">
      <c r="A1896" s="9"/>
      <c r="B1896" s="8"/>
      <c r="C1896" s="8"/>
      <c r="D1896" s="8"/>
      <c r="E1896" s="9"/>
      <c r="F1896" s="9"/>
      <c r="G1896" s="9"/>
      <c r="H1896" s="9"/>
      <c r="I1896" s="8"/>
      <c r="J1896" s="9"/>
      <c r="K1896" s="9"/>
      <c r="L1896" s="9"/>
      <c r="M1896" s="9"/>
      <c r="N1896" s="9"/>
      <c r="O1896" s="9"/>
      <c r="P1896" s="9"/>
    </row>
    <row r="1897">
      <c r="A1897" s="9"/>
      <c r="B1897" s="8"/>
      <c r="C1897" s="8"/>
      <c r="D1897" s="8"/>
      <c r="E1897" s="9"/>
      <c r="F1897" s="9"/>
      <c r="G1897" s="9"/>
      <c r="H1897" s="9"/>
      <c r="I1897" s="8"/>
      <c r="J1897" s="9"/>
      <c r="K1897" s="9"/>
      <c r="L1897" s="9"/>
      <c r="M1897" s="9"/>
      <c r="N1897" s="9"/>
      <c r="O1897" s="9"/>
      <c r="P1897" s="9"/>
    </row>
    <row r="1898">
      <c r="A1898" s="9"/>
      <c r="B1898" s="8"/>
      <c r="C1898" s="8"/>
      <c r="D1898" s="8"/>
      <c r="E1898" s="9"/>
      <c r="F1898" s="9"/>
      <c r="G1898" s="9"/>
      <c r="H1898" s="9"/>
      <c r="I1898" s="8"/>
      <c r="J1898" s="9"/>
      <c r="K1898" s="9"/>
      <c r="L1898" s="9"/>
      <c r="M1898" s="9"/>
      <c r="N1898" s="9"/>
      <c r="O1898" s="9"/>
      <c r="P1898" s="9"/>
    </row>
    <row r="1899">
      <c r="A1899" s="9"/>
      <c r="B1899" s="8"/>
      <c r="C1899" s="8"/>
      <c r="D1899" s="8"/>
      <c r="E1899" s="9"/>
      <c r="F1899" s="9"/>
      <c r="G1899" s="9"/>
      <c r="H1899" s="9"/>
      <c r="I1899" s="8"/>
      <c r="J1899" s="9"/>
      <c r="K1899" s="9"/>
      <c r="L1899" s="9"/>
      <c r="M1899" s="9"/>
      <c r="N1899" s="9"/>
      <c r="O1899" s="9"/>
      <c r="P1899" s="9"/>
    </row>
    <row r="1900">
      <c r="A1900" s="9"/>
      <c r="B1900" s="8"/>
      <c r="C1900" s="8"/>
      <c r="D1900" s="8"/>
      <c r="E1900" s="9"/>
      <c r="F1900" s="9"/>
      <c r="G1900" s="9"/>
      <c r="H1900" s="9"/>
      <c r="I1900" s="8"/>
      <c r="J1900" s="9"/>
      <c r="K1900" s="9"/>
      <c r="L1900" s="9"/>
      <c r="M1900" s="9"/>
      <c r="N1900" s="9"/>
      <c r="O1900" s="9"/>
      <c r="P1900" s="9"/>
    </row>
    <row r="1901">
      <c r="A1901" s="9"/>
      <c r="B1901" s="8"/>
      <c r="C1901" s="8"/>
      <c r="D1901" s="8"/>
      <c r="E1901" s="9"/>
      <c r="F1901" s="9"/>
      <c r="G1901" s="9"/>
      <c r="H1901" s="9"/>
      <c r="I1901" s="8"/>
      <c r="J1901" s="9"/>
      <c r="K1901" s="9"/>
      <c r="L1901" s="9"/>
      <c r="M1901" s="9"/>
      <c r="N1901" s="9"/>
      <c r="O1901" s="9"/>
      <c r="P1901" s="9"/>
    </row>
    <row r="1902">
      <c r="A1902" s="9"/>
      <c r="B1902" s="8"/>
      <c r="C1902" s="8"/>
      <c r="D1902" s="8"/>
      <c r="E1902" s="9"/>
      <c r="F1902" s="9"/>
      <c r="G1902" s="9"/>
      <c r="H1902" s="9"/>
      <c r="I1902" s="8"/>
      <c r="J1902" s="9"/>
      <c r="K1902" s="9"/>
      <c r="L1902" s="9"/>
      <c r="M1902" s="9"/>
      <c r="N1902" s="9"/>
      <c r="O1902" s="9"/>
      <c r="P1902" s="9"/>
    </row>
    <row r="1903">
      <c r="A1903" s="9"/>
      <c r="B1903" s="8"/>
      <c r="C1903" s="8"/>
      <c r="D1903" s="8"/>
      <c r="E1903" s="9"/>
      <c r="F1903" s="9"/>
      <c r="G1903" s="9"/>
      <c r="H1903" s="9"/>
      <c r="I1903" s="8"/>
      <c r="J1903" s="9"/>
      <c r="K1903" s="9"/>
      <c r="L1903" s="9"/>
      <c r="M1903" s="9"/>
      <c r="N1903" s="9"/>
      <c r="O1903" s="9"/>
      <c r="P1903" s="9"/>
    </row>
    <row r="1904">
      <c r="A1904" s="9"/>
      <c r="B1904" s="8"/>
      <c r="C1904" s="8"/>
      <c r="D1904" s="8"/>
      <c r="E1904" s="9"/>
      <c r="F1904" s="9"/>
      <c r="G1904" s="9"/>
      <c r="H1904" s="9"/>
      <c r="I1904" s="8"/>
      <c r="J1904" s="9"/>
      <c r="K1904" s="9"/>
      <c r="L1904" s="9"/>
      <c r="M1904" s="9"/>
      <c r="N1904" s="9"/>
      <c r="O1904" s="9"/>
      <c r="P1904" s="9"/>
    </row>
    <row r="1905">
      <c r="A1905" s="9"/>
      <c r="B1905" s="8"/>
      <c r="C1905" s="8"/>
      <c r="D1905" s="8"/>
      <c r="E1905" s="9"/>
      <c r="F1905" s="9"/>
      <c r="G1905" s="9"/>
      <c r="H1905" s="9"/>
      <c r="I1905" s="8"/>
      <c r="J1905" s="9"/>
      <c r="K1905" s="9"/>
      <c r="L1905" s="9"/>
      <c r="M1905" s="9"/>
      <c r="N1905" s="9"/>
      <c r="O1905" s="9"/>
      <c r="P1905" s="9"/>
    </row>
    <row r="1906">
      <c r="A1906" s="9"/>
      <c r="B1906" s="8"/>
      <c r="C1906" s="8"/>
      <c r="D1906" s="8"/>
      <c r="E1906" s="9"/>
      <c r="F1906" s="9"/>
      <c r="G1906" s="9"/>
      <c r="H1906" s="9"/>
      <c r="I1906" s="8"/>
      <c r="J1906" s="9"/>
      <c r="K1906" s="9"/>
      <c r="L1906" s="9"/>
      <c r="M1906" s="9"/>
      <c r="N1906" s="9"/>
      <c r="O1906" s="9"/>
      <c r="P1906" s="9"/>
    </row>
    <row r="1907">
      <c r="A1907" s="9"/>
      <c r="B1907" s="8"/>
      <c r="C1907" s="8"/>
      <c r="D1907" s="8"/>
      <c r="E1907" s="9"/>
      <c r="F1907" s="9"/>
      <c r="G1907" s="9"/>
      <c r="H1907" s="9"/>
      <c r="I1907" s="8"/>
      <c r="J1907" s="9"/>
      <c r="K1907" s="9"/>
      <c r="L1907" s="9"/>
      <c r="M1907" s="9"/>
      <c r="N1907" s="9"/>
      <c r="O1907" s="9"/>
      <c r="P1907" s="9"/>
    </row>
    <row r="1908">
      <c r="A1908" s="9"/>
      <c r="B1908" s="8"/>
      <c r="C1908" s="8"/>
      <c r="D1908" s="8"/>
      <c r="E1908" s="9"/>
      <c r="F1908" s="9"/>
      <c r="G1908" s="9"/>
      <c r="H1908" s="9"/>
      <c r="I1908" s="8"/>
      <c r="J1908" s="9"/>
      <c r="K1908" s="9"/>
      <c r="L1908" s="9"/>
      <c r="M1908" s="9"/>
      <c r="N1908" s="9"/>
      <c r="O1908" s="9"/>
      <c r="P1908" s="9"/>
    </row>
    <row r="1909">
      <c r="A1909" s="9"/>
      <c r="B1909" s="8"/>
      <c r="C1909" s="8"/>
      <c r="D1909" s="8"/>
      <c r="E1909" s="9"/>
      <c r="F1909" s="9"/>
      <c r="G1909" s="9"/>
      <c r="H1909" s="9"/>
      <c r="I1909" s="8"/>
      <c r="J1909" s="9"/>
      <c r="K1909" s="9"/>
      <c r="L1909" s="9"/>
      <c r="M1909" s="9"/>
      <c r="N1909" s="9"/>
      <c r="O1909" s="9"/>
      <c r="P1909" s="9"/>
    </row>
    <row r="1910">
      <c r="A1910" s="9"/>
      <c r="B1910" s="8"/>
      <c r="C1910" s="8"/>
      <c r="D1910" s="8"/>
      <c r="E1910" s="9"/>
      <c r="F1910" s="9"/>
      <c r="G1910" s="9"/>
      <c r="H1910" s="9"/>
      <c r="I1910" s="8"/>
      <c r="J1910" s="9"/>
      <c r="K1910" s="9"/>
      <c r="L1910" s="9"/>
      <c r="M1910" s="9"/>
      <c r="N1910" s="9"/>
      <c r="O1910" s="9"/>
      <c r="P1910" s="9"/>
    </row>
    <row r="1911">
      <c r="A1911" s="9"/>
      <c r="B1911" s="8"/>
      <c r="C1911" s="8"/>
      <c r="D1911" s="8"/>
      <c r="E1911" s="9"/>
      <c r="F1911" s="9"/>
      <c r="G1911" s="9"/>
      <c r="H1911" s="9"/>
      <c r="I1911" s="8"/>
      <c r="J1911" s="9"/>
      <c r="K1911" s="9"/>
      <c r="L1911" s="9"/>
      <c r="M1911" s="9"/>
      <c r="N1911" s="9"/>
      <c r="O1911" s="9"/>
      <c r="P1911" s="9"/>
    </row>
    <row r="1912">
      <c r="A1912" s="9"/>
      <c r="B1912" s="8"/>
      <c r="C1912" s="8"/>
      <c r="D1912" s="8"/>
      <c r="E1912" s="9"/>
      <c r="F1912" s="9"/>
      <c r="G1912" s="9"/>
      <c r="H1912" s="9"/>
      <c r="I1912" s="8"/>
      <c r="J1912" s="9"/>
      <c r="K1912" s="9"/>
      <c r="L1912" s="9"/>
      <c r="M1912" s="9"/>
      <c r="N1912" s="9"/>
      <c r="O1912" s="9"/>
      <c r="P1912" s="9"/>
    </row>
    <row r="1913">
      <c r="A1913" s="9"/>
      <c r="B1913" s="8"/>
      <c r="C1913" s="8"/>
      <c r="D1913" s="8"/>
      <c r="E1913" s="9"/>
      <c r="F1913" s="9"/>
      <c r="G1913" s="9"/>
      <c r="H1913" s="9"/>
      <c r="I1913" s="8"/>
      <c r="J1913" s="9"/>
      <c r="K1913" s="9"/>
      <c r="L1913" s="9"/>
      <c r="M1913" s="9"/>
      <c r="N1913" s="9"/>
      <c r="O1913" s="9"/>
      <c r="P1913" s="9"/>
    </row>
    <row r="1914">
      <c r="A1914" s="9"/>
      <c r="B1914" s="8"/>
      <c r="C1914" s="8"/>
      <c r="D1914" s="8"/>
      <c r="E1914" s="9"/>
      <c r="F1914" s="9"/>
      <c r="G1914" s="9"/>
      <c r="H1914" s="9"/>
      <c r="I1914" s="8"/>
      <c r="J1914" s="9"/>
      <c r="K1914" s="9"/>
      <c r="L1914" s="9"/>
      <c r="M1914" s="9"/>
      <c r="N1914" s="9"/>
      <c r="O1914" s="9"/>
      <c r="P1914" s="9"/>
    </row>
    <row r="1915">
      <c r="A1915" s="9"/>
      <c r="B1915" s="8"/>
      <c r="C1915" s="8"/>
      <c r="D1915" s="8"/>
      <c r="E1915" s="9"/>
      <c r="F1915" s="9"/>
      <c r="G1915" s="9"/>
      <c r="H1915" s="9"/>
      <c r="I1915" s="8"/>
      <c r="J1915" s="9"/>
      <c r="K1915" s="9"/>
      <c r="L1915" s="9"/>
      <c r="M1915" s="9"/>
      <c r="N1915" s="9"/>
      <c r="O1915" s="9"/>
      <c r="P1915" s="9"/>
    </row>
    <row r="1916">
      <c r="A1916" s="9"/>
      <c r="B1916" s="8"/>
      <c r="C1916" s="8"/>
      <c r="D1916" s="8"/>
      <c r="E1916" s="9"/>
      <c r="F1916" s="9"/>
      <c r="G1916" s="9"/>
      <c r="H1916" s="9"/>
      <c r="I1916" s="8"/>
      <c r="J1916" s="9"/>
      <c r="K1916" s="9"/>
      <c r="L1916" s="9"/>
      <c r="M1916" s="9"/>
      <c r="N1916" s="9"/>
      <c r="O1916" s="9"/>
      <c r="P1916" s="9"/>
    </row>
    <row r="1917">
      <c r="A1917" s="9"/>
      <c r="B1917" s="8"/>
      <c r="C1917" s="8"/>
      <c r="D1917" s="8"/>
      <c r="E1917" s="9"/>
      <c r="F1917" s="9"/>
      <c r="G1917" s="9"/>
      <c r="H1917" s="9"/>
      <c r="I1917" s="8"/>
      <c r="J1917" s="9"/>
      <c r="K1917" s="9"/>
      <c r="L1917" s="9"/>
      <c r="M1917" s="9"/>
      <c r="N1917" s="9"/>
      <c r="O1917" s="9"/>
      <c r="P1917" s="9"/>
    </row>
    <row r="1918">
      <c r="A1918" s="9"/>
      <c r="B1918" s="8"/>
      <c r="C1918" s="8"/>
      <c r="D1918" s="8"/>
      <c r="E1918" s="9"/>
      <c r="F1918" s="9"/>
      <c r="G1918" s="9"/>
      <c r="H1918" s="9"/>
      <c r="I1918" s="8"/>
      <c r="J1918" s="9"/>
      <c r="K1918" s="9"/>
      <c r="L1918" s="9"/>
      <c r="M1918" s="9"/>
      <c r="N1918" s="9"/>
      <c r="O1918" s="9"/>
      <c r="P1918" s="9"/>
    </row>
    <row r="1919">
      <c r="A1919" s="9"/>
      <c r="B1919" s="8"/>
      <c r="C1919" s="8"/>
      <c r="D1919" s="8"/>
      <c r="E1919" s="9"/>
      <c r="F1919" s="9"/>
      <c r="G1919" s="9"/>
      <c r="H1919" s="9"/>
      <c r="I1919" s="8"/>
      <c r="J1919" s="9"/>
      <c r="K1919" s="9"/>
      <c r="L1919" s="9"/>
      <c r="M1919" s="9"/>
      <c r="N1919" s="9"/>
      <c r="O1919" s="9"/>
      <c r="P1919" s="9"/>
    </row>
    <row r="1920">
      <c r="A1920" s="9"/>
      <c r="B1920" s="8"/>
      <c r="C1920" s="8"/>
      <c r="D1920" s="8"/>
      <c r="E1920" s="9"/>
      <c r="F1920" s="9"/>
      <c r="G1920" s="9"/>
      <c r="H1920" s="9"/>
      <c r="I1920" s="8"/>
      <c r="J1920" s="9"/>
      <c r="K1920" s="9"/>
      <c r="L1920" s="9"/>
      <c r="M1920" s="9"/>
      <c r="N1920" s="9"/>
      <c r="O1920" s="9"/>
      <c r="P1920" s="9"/>
    </row>
    <row r="1921">
      <c r="A1921" s="9"/>
      <c r="B1921" s="8"/>
      <c r="C1921" s="8"/>
      <c r="D1921" s="8"/>
      <c r="E1921" s="9"/>
      <c r="F1921" s="9"/>
      <c r="G1921" s="9"/>
      <c r="H1921" s="9"/>
      <c r="I1921" s="8"/>
      <c r="J1921" s="9"/>
      <c r="K1921" s="9"/>
      <c r="L1921" s="9"/>
      <c r="M1921" s="9"/>
      <c r="N1921" s="9"/>
      <c r="O1921" s="9"/>
      <c r="P1921" s="9"/>
    </row>
    <row r="1922">
      <c r="A1922" s="9"/>
      <c r="B1922" s="8"/>
      <c r="C1922" s="8"/>
      <c r="D1922" s="8"/>
      <c r="E1922" s="9"/>
      <c r="F1922" s="9"/>
      <c r="G1922" s="9"/>
      <c r="H1922" s="9"/>
      <c r="I1922" s="8"/>
      <c r="J1922" s="9"/>
      <c r="K1922" s="9"/>
      <c r="L1922" s="9"/>
      <c r="M1922" s="9"/>
      <c r="N1922" s="9"/>
      <c r="O1922" s="9"/>
      <c r="P1922" s="9"/>
    </row>
    <row r="1923">
      <c r="A1923" s="9"/>
      <c r="B1923" s="8"/>
      <c r="C1923" s="8"/>
      <c r="D1923" s="8"/>
      <c r="E1923" s="9"/>
      <c r="F1923" s="9"/>
      <c r="G1923" s="9"/>
      <c r="H1923" s="9"/>
      <c r="I1923" s="8"/>
      <c r="J1923" s="9"/>
      <c r="K1923" s="9"/>
      <c r="L1923" s="9"/>
      <c r="M1923" s="9"/>
      <c r="N1923" s="9"/>
      <c r="O1923" s="9"/>
      <c r="P1923" s="9"/>
    </row>
    <row r="1924">
      <c r="A1924" s="9"/>
      <c r="B1924" s="8"/>
      <c r="C1924" s="8"/>
      <c r="D1924" s="8"/>
      <c r="E1924" s="9"/>
      <c r="F1924" s="9"/>
      <c r="G1924" s="9"/>
      <c r="H1924" s="9"/>
      <c r="I1924" s="8"/>
      <c r="J1924" s="9"/>
      <c r="K1924" s="9"/>
      <c r="L1924" s="9"/>
      <c r="M1924" s="9"/>
      <c r="N1924" s="9"/>
      <c r="O1924" s="9"/>
      <c r="P1924" s="9"/>
    </row>
    <row r="1925">
      <c r="A1925" s="9"/>
      <c r="B1925" s="8"/>
      <c r="C1925" s="8"/>
      <c r="D1925" s="8"/>
      <c r="E1925" s="9"/>
      <c r="F1925" s="9"/>
      <c r="G1925" s="9"/>
      <c r="H1925" s="9"/>
      <c r="I1925" s="8"/>
      <c r="J1925" s="9"/>
      <c r="K1925" s="9"/>
      <c r="L1925" s="9"/>
      <c r="M1925" s="9"/>
      <c r="N1925" s="9"/>
      <c r="O1925" s="9"/>
      <c r="P1925" s="9"/>
    </row>
    <row r="1926">
      <c r="A1926" s="9"/>
      <c r="B1926" s="8"/>
      <c r="C1926" s="8"/>
      <c r="D1926" s="8"/>
      <c r="E1926" s="9"/>
      <c r="F1926" s="9"/>
      <c r="G1926" s="9"/>
      <c r="H1926" s="9"/>
      <c r="I1926" s="8"/>
      <c r="J1926" s="9"/>
      <c r="K1926" s="9"/>
      <c r="L1926" s="9"/>
      <c r="M1926" s="9"/>
      <c r="N1926" s="9"/>
      <c r="O1926" s="9"/>
      <c r="P1926" s="9"/>
    </row>
    <row r="1927">
      <c r="A1927" s="9"/>
      <c r="B1927" s="8"/>
      <c r="C1927" s="8"/>
      <c r="D1927" s="8"/>
      <c r="E1927" s="9"/>
      <c r="F1927" s="9"/>
      <c r="G1927" s="9"/>
      <c r="H1927" s="9"/>
      <c r="I1927" s="8"/>
      <c r="J1927" s="9"/>
      <c r="K1927" s="9"/>
      <c r="L1927" s="9"/>
      <c r="M1927" s="9"/>
      <c r="N1927" s="9"/>
      <c r="O1927" s="9"/>
      <c r="P1927" s="9"/>
    </row>
    <row r="1928">
      <c r="A1928" s="9"/>
      <c r="B1928" s="8"/>
      <c r="C1928" s="8"/>
      <c r="D1928" s="8"/>
      <c r="E1928" s="9"/>
      <c r="F1928" s="9"/>
      <c r="G1928" s="9"/>
      <c r="H1928" s="9"/>
      <c r="I1928" s="8"/>
      <c r="J1928" s="9"/>
      <c r="K1928" s="9"/>
      <c r="L1928" s="9"/>
      <c r="M1928" s="9"/>
      <c r="N1928" s="9"/>
      <c r="O1928" s="9"/>
      <c r="P1928" s="9"/>
    </row>
    <row r="1929">
      <c r="A1929" s="9"/>
      <c r="B1929" s="8"/>
      <c r="C1929" s="8"/>
      <c r="D1929" s="8"/>
      <c r="E1929" s="9"/>
      <c r="F1929" s="9"/>
      <c r="G1929" s="9"/>
      <c r="H1929" s="9"/>
      <c r="I1929" s="8"/>
      <c r="J1929" s="9"/>
      <c r="K1929" s="9"/>
      <c r="L1929" s="9"/>
      <c r="M1929" s="9"/>
      <c r="N1929" s="9"/>
      <c r="O1929" s="9"/>
      <c r="P1929" s="9"/>
    </row>
    <row r="1930">
      <c r="A1930" s="9"/>
      <c r="B1930" s="8"/>
      <c r="C1930" s="8"/>
      <c r="D1930" s="8"/>
      <c r="E1930" s="9"/>
      <c r="F1930" s="9"/>
      <c r="G1930" s="9"/>
      <c r="H1930" s="9"/>
      <c r="I1930" s="8"/>
      <c r="J1930" s="9"/>
      <c r="K1930" s="9"/>
      <c r="L1930" s="9"/>
      <c r="M1930" s="9"/>
      <c r="N1930" s="9"/>
      <c r="O1930" s="9"/>
      <c r="P1930" s="9"/>
    </row>
    <row r="1931">
      <c r="A1931" s="9"/>
      <c r="B1931" s="8"/>
      <c r="C1931" s="8"/>
      <c r="D1931" s="8"/>
      <c r="E1931" s="9"/>
      <c r="F1931" s="9"/>
      <c r="G1931" s="9"/>
      <c r="H1931" s="9"/>
      <c r="I1931" s="8"/>
      <c r="J1931" s="9"/>
      <c r="K1931" s="9"/>
      <c r="L1931" s="9"/>
      <c r="M1931" s="9"/>
      <c r="N1931" s="9"/>
      <c r="O1931" s="9"/>
      <c r="P1931" s="9"/>
    </row>
    <row r="1932">
      <c r="A1932" s="9"/>
      <c r="B1932" s="8"/>
      <c r="C1932" s="8"/>
      <c r="D1932" s="8"/>
      <c r="E1932" s="9"/>
      <c r="F1932" s="9"/>
      <c r="G1932" s="9"/>
      <c r="H1932" s="9"/>
      <c r="I1932" s="8"/>
      <c r="J1932" s="9"/>
      <c r="K1932" s="9"/>
      <c r="L1932" s="9"/>
      <c r="M1932" s="9"/>
      <c r="N1932" s="9"/>
      <c r="O1932" s="9"/>
      <c r="P1932" s="9"/>
    </row>
    <row r="1933">
      <c r="A1933" s="9"/>
      <c r="B1933" s="8"/>
      <c r="C1933" s="8"/>
      <c r="D1933" s="8"/>
      <c r="E1933" s="9"/>
      <c r="F1933" s="9"/>
      <c r="G1933" s="9"/>
      <c r="H1933" s="9"/>
      <c r="I1933" s="8"/>
      <c r="J1933" s="9"/>
      <c r="K1933" s="9"/>
      <c r="L1933" s="9"/>
      <c r="M1933" s="9"/>
      <c r="N1933" s="9"/>
      <c r="O1933" s="9"/>
      <c r="P1933" s="9"/>
    </row>
    <row r="1934">
      <c r="A1934" s="9"/>
      <c r="B1934" s="8"/>
      <c r="C1934" s="8"/>
      <c r="D1934" s="8"/>
      <c r="E1934" s="9"/>
      <c r="F1934" s="9"/>
      <c r="G1934" s="9"/>
      <c r="H1934" s="9"/>
      <c r="I1934" s="8"/>
      <c r="J1934" s="9"/>
      <c r="K1934" s="9"/>
      <c r="L1934" s="9"/>
      <c r="M1934" s="9"/>
      <c r="N1934" s="9"/>
      <c r="O1934" s="9"/>
      <c r="P1934" s="9"/>
    </row>
    <row r="1935">
      <c r="A1935" s="9"/>
      <c r="B1935" s="8"/>
      <c r="C1935" s="8"/>
      <c r="D1935" s="8"/>
      <c r="E1935" s="9"/>
      <c r="F1935" s="9"/>
      <c r="G1935" s="9"/>
      <c r="H1935" s="9"/>
      <c r="I1935" s="8"/>
      <c r="J1935" s="9"/>
      <c r="K1935" s="9"/>
      <c r="L1935" s="9"/>
      <c r="M1935" s="9"/>
      <c r="N1935" s="9"/>
      <c r="O1935" s="9"/>
      <c r="P1935" s="9"/>
    </row>
    <row r="1936">
      <c r="A1936" s="9"/>
      <c r="B1936" s="8"/>
      <c r="C1936" s="8"/>
      <c r="D1936" s="8"/>
      <c r="E1936" s="9"/>
      <c r="F1936" s="9"/>
      <c r="G1936" s="9"/>
      <c r="H1936" s="9"/>
      <c r="I1936" s="8"/>
      <c r="J1936" s="9"/>
      <c r="K1936" s="9"/>
      <c r="L1936" s="9"/>
      <c r="M1936" s="9"/>
      <c r="N1936" s="9"/>
      <c r="O1936" s="9"/>
      <c r="P1936" s="9"/>
    </row>
    <row r="1937">
      <c r="A1937" s="9"/>
      <c r="B1937" s="8"/>
      <c r="C1937" s="8"/>
      <c r="D1937" s="8"/>
      <c r="E1937" s="9"/>
      <c r="F1937" s="9"/>
      <c r="G1937" s="9"/>
      <c r="H1937" s="9"/>
      <c r="I1937" s="8"/>
      <c r="J1937" s="9"/>
      <c r="K1937" s="9"/>
      <c r="L1937" s="9"/>
      <c r="M1937" s="9"/>
      <c r="N1937" s="9"/>
      <c r="O1937" s="9"/>
      <c r="P1937" s="9"/>
    </row>
    <row r="1938">
      <c r="A1938" s="9"/>
      <c r="B1938" s="8"/>
      <c r="C1938" s="8"/>
      <c r="D1938" s="8"/>
      <c r="E1938" s="9"/>
      <c r="F1938" s="9"/>
      <c r="G1938" s="9"/>
      <c r="H1938" s="9"/>
      <c r="I1938" s="8"/>
      <c r="J1938" s="9"/>
      <c r="K1938" s="9"/>
      <c r="L1938" s="9"/>
      <c r="M1938" s="9"/>
      <c r="N1938" s="9"/>
      <c r="O1938" s="9"/>
      <c r="P1938" s="9"/>
    </row>
    <row r="1939">
      <c r="A1939" s="9"/>
      <c r="B1939" s="8"/>
      <c r="C1939" s="8"/>
      <c r="D1939" s="8"/>
      <c r="E1939" s="9"/>
      <c r="F1939" s="9"/>
      <c r="G1939" s="9"/>
      <c r="H1939" s="9"/>
      <c r="I1939" s="8"/>
      <c r="J1939" s="9"/>
      <c r="K1939" s="9"/>
      <c r="L1939" s="9"/>
      <c r="M1939" s="9"/>
      <c r="N1939" s="9"/>
      <c r="O1939" s="9"/>
      <c r="P1939" s="9"/>
    </row>
    <row r="1940">
      <c r="A1940" s="9"/>
      <c r="B1940" s="8"/>
      <c r="C1940" s="8"/>
      <c r="D1940" s="8"/>
      <c r="E1940" s="9"/>
      <c r="F1940" s="9"/>
      <c r="G1940" s="9"/>
      <c r="H1940" s="9"/>
      <c r="I1940" s="8"/>
      <c r="J1940" s="9"/>
      <c r="K1940" s="9"/>
      <c r="L1940" s="9"/>
      <c r="M1940" s="9"/>
      <c r="N1940" s="9"/>
      <c r="O1940" s="9"/>
      <c r="P1940" s="9"/>
    </row>
    <row r="1941">
      <c r="A1941" s="9"/>
      <c r="B1941" s="8"/>
      <c r="C1941" s="8"/>
      <c r="D1941" s="8"/>
      <c r="E1941" s="9"/>
      <c r="F1941" s="9"/>
      <c r="G1941" s="9"/>
      <c r="H1941" s="9"/>
      <c r="I1941" s="8"/>
      <c r="J1941" s="9"/>
      <c r="K1941" s="9"/>
      <c r="L1941" s="9"/>
      <c r="M1941" s="9"/>
      <c r="N1941" s="9"/>
      <c r="O1941" s="9"/>
      <c r="P1941" s="9"/>
    </row>
    <row r="1942">
      <c r="A1942" s="9"/>
      <c r="B1942" s="8"/>
      <c r="C1942" s="8"/>
      <c r="D1942" s="8"/>
      <c r="E1942" s="9"/>
      <c r="F1942" s="9"/>
      <c r="G1942" s="9"/>
      <c r="H1942" s="9"/>
      <c r="I1942" s="8"/>
      <c r="J1942" s="9"/>
      <c r="K1942" s="9"/>
      <c r="L1942" s="9"/>
      <c r="M1942" s="9"/>
      <c r="N1942" s="9"/>
      <c r="O1942" s="9"/>
      <c r="P1942" s="9"/>
    </row>
    <row r="1943">
      <c r="A1943" s="9"/>
      <c r="B1943" s="8"/>
      <c r="C1943" s="8"/>
      <c r="D1943" s="8"/>
      <c r="E1943" s="9"/>
      <c r="F1943" s="9"/>
      <c r="G1943" s="9"/>
      <c r="H1943" s="9"/>
      <c r="I1943" s="8"/>
      <c r="J1943" s="9"/>
      <c r="K1943" s="9"/>
      <c r="L1943" s="9"/>
      <c r="M1943" s="9"/>
      <c r="N1943" s="9"/>
      <c r="O1943" s="9"/>
      <c r="P1943" s="9"/>
    </row>
    <row r="1944">
      <c r="A1944" s="9"/>
      <c r="B1944" s="8"/>
      <c r="C1944" s="8"/>
      <c r="D1944" s="8"/>
      <c r="E1944" s="9"/>
      <c r="F1944" s="9"/>
      <c r="G1944" s="9"/>
      <c r="H1944" s="9"/>
      <c r="I1944" s="8"/>
      <c r="J1944" s="9"/>
      <c r="K1944" s="9"/>
      <c r="L1944" s="9"/>
      <c r="M1944" s="9"/>
      <c r="N1944" s="9"/>
      <c r="O1944" s="9"/>
      <c r="P1944" s="9"/>
    </row>
    <row r="1945">
      <c r="A1945" s="9"/>
      <c r="B1945" s="8"/>
      <c r="C1945" s="8"/>
      <c r="D1945" s="8"/>
      <c r="E1945" s="9"/>
      <c r="F1945" s="9"/>
      <c r="G1945" s="9"/>
      <c r="H1945" s="9"/>
      <c r="I1945" s="8"/>
      <c r="J1945" s="9"/>
      <c r="K1945" s="9"/>
      <c r="L1945" s="9"/>
      <c r="M1945" s="9"/>
      <c r="N1945" s="9"/>
      <c r="O1945" s="9"/>
      <c r="P1945" s="9"/>
    </row>
    <row r="1946">
      <c r="A1946" s="9"/>
      <c r="B1946" s="8"/>
      <c r="C1946" s="8"/>
      <c r="D1946" s="8"/>
      <c r="E1946" s="9"/>
      <c r="F1946" s="9"/>
      <c r="G1946" s="9"/>
      <c r="H1946" s="9"/>
      <c r="I1946" s="8"/>
      <c r="J1946" s="9"/>
      <c r="K1946" s="9"/>
      <c r="L1946" s="9"/>
      <c r="M1946" s="9"/>
      <c r="N1946" s="9"/>
      <c r="O1946" s="9"/>
      <c r="P1946" s="9"/>
    </row>
    <row r="1947">
      <c r="A1947" s="9"/>
      <c r="B1947" s="8"/>
      <c r="C1947" s="8"/>
      <c r="D1947" s="8"/>
      <c r="E1947" s="9"/>
      <c r="F1947" s="9"/>
      <c r="G1947" s="9"/>
      <c r="H1947" s="9"/>
      <c r="I1947" s="8"/>
      <c r="J1947" s="9"/>
      <c r="K1947" s="9"/>
      <c r="L1947" s="9"/>
      <c r="M1947" s="9"/>
      <c r="N1947" s="9"/>
      <c r="O1947" s="9"/>
      <c r="P1947" s="9"/>
    </row>
    <row r="1948">
      <c r="A1948" s="9"/>
      <c r="B1948" s="8"/>
      <c r="C1948" s="8"/>
      <c r="D1948" s="8"/>
      <c r="E1948" s="9"/>
      <c r="F1948" s="9"/>
      <c r="G1948" s="9"/>
      <c r="H1948" s="9"/>
      <c r="I1948" s="8"/>
      <c r="J1948" s="9"/>
      <c r="K1948" s="9"/>
      <c r="L1948" s="9"/>
      <c r="M1948" s="9"/>
      <c r="N1948" s="9"/>
      <c r="O1948" s="9"/>
      <c r="P1948" s="9"/>
    </row>
    <row r="1949">
      <c r="A1949" s="9"/>
      <c r="B1949" s="8"/>
      <c r="C1949" s="8"/>
      <c r="D1949" s="8"/>
      <c r="E1949" s="9"/>
      <c r="F1949" s="9"/>
      <c r="G1949" s="9"/>
      <c r="H1949" s="9"/>
      <c r="I1949" s="8"/>
      <c r="J1949" s="9"/>
      <c r="K1949" s="9"/>
      <c r="L1949" s="9"/>
      <c r="M1949" s="9"/>
      <c r="N1949" s="9"/>
      <c r="O1949" s="9"/>
      <c r="P1949" s="9"/>
    </row>
    <row r="1950">
      <c r="A1950" s="9"/>
      <c r="B1950" s="8"/>
      <c r="C1950" s="8"/>
      <c r="D1950" s="8"/>
      <c r="E1950" s="9"/>
      <c r="F1950" s="9"/>
      <c r="G1950" s="9"/>
      <c r="H1950" s="9"/>
      <c r="I1950" s="8"/>
      <c r="J1950" s="9"/>
      <c r="K1950" s="9"/>
      <c r="L1950" s="9"/>
      <c r="M1950" s="9"/>
      <c r="N1950" s="9"/>
      <c r="O1950" s="9"/>
      <c r="P1950" s="9"/>
    </row>
    <row r="1951">
      <c r="A1951" s="9"/>
      <c r="B1951" s="8"/>
      <c r="C1951" s="8"/>
      <c r="D1951" s="8"/>
      <c r="E1951" s="9"/>
      <c r="F1951" s="9"/>
      <c r="G1951" s="9"/>
      <c r="H1951" s="9"/>
      <c r="I1951" s="8"/>
      <c r="J1951" s="9"/>
      <c r="K1951" s="9"/>
      <c r="L1951" s="9"/>
      <c r="M1951" s="9"/>
      <c r="N1951" s="9"/>
      <c r="O1951" s="9"/>
      <c r="P1951" s="9"/>
    </row>
    <row r="1952">
      <c r="A1952" s="9"/>
      <c r="B1952" s="8"/>
      <c r="C1952" s="8"/>
      <c r="D1952" s="8"/>
      <c r="E1952" s="9"/>
      <c r="F1952" s="9"/>
      <c r="G1952" s="9"/>
      <c r="H1952" s="9"/>
      <c r="I1952" s="8"/>
      <c r="J1952" s="9"/>
      <c r="K1952" s="9"/>
      <c r="L1952" s="9"/>
      <c r="M1952" s="9"/>
      <c r="N1952" s="9"/>
      <c r="O1952" s="9"/>
      <c r="P1952" s="9"/>
    </row>
    <row r="1953">
      <c r="A1953" s="9"/>
      <c r="B1953" s="8"/>
      <c r="C1953" s="8"/>
      <c r="D1953" s="8"/>
      <c r="E1953" s="9"/>
      <c r="F1953" s="9"/>
      <c r="G1953" s="9"/>
      <c r="H1953" s="9"/>
      <c r="I1953" s="8"/>
      <c r="J1953" s="9"/>
      <c r="K1953" s="9"/>
      <c r="L1953" s="9"/>
      <c r="M1953" s="9"/>
      <c r="N1953" s="9"/>
      <c r="O1953" s="9"/>
      <c r="P1953" s="9"/>
    </row>
    <row r="1954">
      <c r="A1954" s="9"/>
      <c r="B1954" s="8"/>
      <c r="C1954" s="8"/>
      <c r="D1954" s="8"/>
      <c r="E1954" s="9"/>
      <c r="F1954" s="9"/>
      <c r="G1954" s="9"/>
      <c r="H1954" s="9"/>
      <c r="I1954" s="8"/>
      <c r="J1954" s="9"/>
      <c r="K1954" s="9"/>
      <c r="L1954" s="9"/>
      <c r="M1954" s="9"/>
      <c r="N1954" s="9"/>
      <c r="O1954" s="9"/>
      <c r="P1954" s="9"/>
    </row>
    <row r="1955">
      <c r="A1955" s="9"/>
      <c r="B1955" s="8"/>
      <c r="C1955" s="8"/>
      <c r="D1955" s="8"/>
      <c r="E1955" s="9"/>
      <c r="F1955" s="9"/>
      <c r="G1955" s="9"/>
      <c r="H1955" s="9"/>
      <c r="I1955" s="8"/>
      <c r="J1955" s="9"/>
      <c r="K1955" s="9"/>
      <c r="L1955" s="9"/>
      <c r="M1955" s="9"/>
      <c r="N1955" s="9"/>
      <c r="O1955" s="9"/>
      <c r="P1955" s="9"/>
    </row>
    <row r="1956">
      <c r="A1956" s="9"/>
      <c r="B1956" s="8"/>
      <c r="C1956" s="8"/>
      <c r="D1956" s="8"/>
      <c r="E1956" s="9"/>
      <c r="F1956" s="9"/>
      <c r="G1956" s="9"/>
      <c r="H1956" s="9"/>
      <c r="I1956" s="8"/>
      <c r="J1956" s="9"/>
      <c r="K1956" s="9"/>
      <c r="L1956" s="9"/>
      <c r="M1956" s="9"/>
      <c r="N1956" s="9"/>
      <c r="O1956" s="9"/>
      <c r="P1956" s="9"/>
    </row>
    <row r="1957">
      <c r="A1957" s="9"/>
      <c r="B1957" s="8"/>
      <c r="C1957" s="8"/>
      <c r="D1957" s="8"/>
      <c r="E1957" s="9"/>
      <c r="F1957" s="9"/>
      <c r="G1957" s="9"/>
      <c r="H1957" s="9"/>
      <c r="I1957" s="8"/>
      <c r="J1957" s="9"/>
      <c r="K1957" s="9"/>
      <c r="L1957" s="9"/>
      <c r="M1957" s="9"/>
      <c r="N1957" s="9"/>
      <c r="O1957" s="9"/>
      <c r="P1957" s="9"/>
    </row>
    <row r="1958">
      <c r="A1958" s="9"/>
      <c r="B1958" s="8"/>
      <c r="C1958" s="8"/>
      <c r="D1958" s="8"/>
      <c r="E1958" s="9"/>
      <c r="F1958" s="9"/>
      <c r="G1958" s="9"/>
      <c r="H1958" s="9"/>
      <c r="I1958" s="8"/>
      <c r="J1958" s="9"/>
      <c r="K1958" s="9"/>
      <c r="L1958" s="9"/>
      <c r="M1958" s="9"/>
      <c r="N1958" s="9"/>
      <c r="O1958" s="9"/>
      <c r="P1958" s="9"/>
    </row>
    <row r="1959">
      <c r="A1959" s="9"/>
      <c r="B1959" s="8"/>
      <c r="C1959" s="8"/>
      <c r="D1959" s="8"/>
      <c r="E1959" s="9"/>
      <c r="F1959" s="9"/>
      <c r="G1959" s="9"/>
      <c r="H1959" s="9"/>
      <c r="I1959" s="8"/>
      <c r="J1959" s="9"/>
      <c r="K1959" s="9"/>
      <c r="L1959" s="9"/>
      <c r="M1959" s="9"/>
      <c r="N1959" s="9"/>
      <c r="O1959" s="9"/>
      <c r="P1959" s="9"/>
    </row>
    <row r="1960">
      <c r="A1960" s="9"/>
      <c r="B1960" s="8"/>
      <c r="C1960" s="8"/>
      <c r="D1960" s="8"/>
      <c r="E1960" s="9"/>
      <c r="F1960" s="9"/>
      <c r="G1960" s="9"/>
      <c r="H1960" s="9"/>
      <c r="I1960" s="8"/>
      <c r="J1960" s="9"/>
      <c r="K1960" s="9"/>
      <c r="L1960" s="9"/>
      <c r="M1960" s="9"/>
      <c r="N1960" s="9"/>
      <c r="O1960" s="9"/>
      <c r="P1960" s="9"/>
    </row>
    <row r="1961">
      <c r="A1961" s="9"/>
      <c r="B1961" s="8"/>
      <c r="C1961" s="8"/>
      <c r="D1961" s="8"/>
      <c r="E1961" s="9"/>
      <c r="F1961" s="9"/>
      <c r="G1961" s="9"/>
      <c r="H1961" s="9"/>
      <c r="I1961" s="8"/>
      <c r="J1961" s="9"/>
      <c r="K1961" s="9"/>
      <c r="L1961" s="9"/>
      <c r="M1961" s="9"/>
      <c r="N1961" s="9"/>
      <c r="O1961" s="9"/>
      <c r="P1961" s="9"/>
    </row>
    <row r="1962">
      <c r="A1962" s="9"/>
      <c r="B1962" s="8"/>
      <c r="C1962" s="8"/>
      <c r="D1962" s="8"/>
      <c r="E1962" s="9"/>
      <c r="F1962" s="9"/>
      <c r="G1962" s="9"/>
      <c r="H1962" s="9"/>
      <c r="I1962" s="8"/>
      <c r="J1962" s="9"/>
      <c r="K1962" s="9"/>
      <c r="L1962" s="9"/>
      <c r="M1962" s="9"/>
      <c r="N1962" s="9"/>
      <c r="O1962" s="9"/>
      <c r="P1962" s="9"/>
    </row>
    <row r="1963">
      <c r="A1963" s="9"/>
      <c r="B1963" s="8"/>
      <c r="C1963" s="8"/>
      <c r="D1963" s="8"/>
      <c r="E1963" s="9"/>
      <c r="F1963" s="9"/>
      <c r="G1963" s="9"/>
      <c r="H1963" s="9"/>
      <c r="I1963" s="8"/>
      <c r="J1963" s="9"/>
      <c r="K1963" s="9"/>
      <c r="L1963" s="9"/>
      <c r="M1963" s="9"/>
      <c r="N1963" s="9"/>
      <c r="O1963" s="9"/>
      <c r="P1963" s="9"/>
    </row>
    <row r="1964">
      <c r="A1964" s="9"/>
      <c r="B1964" s="8"/>
      <c r="C1964" s="8"/>
      <c r="D1964" s="8"/>
      <c r="E1964" s="9"/>
      <c r="F1964" s="9"/>
      <c r="G1964" s="9"/>
      <c r="H1964" s="9"/>
      <c r="I1964" s="8"/>
      <c r="J1964" s="9"/>
      <c r="K1964" s="9"/>
      <c r="L1964" s="9"/>
      <c r="M1964" s="9"/>
      <c r="N1964" s="9"/>
      <c r="O1964" s="9"/>
      <c r="P1964" s="9"/>
    </row>
    <row r="1965">
      <c r="A1965" s="9"/>
      <c r="B1965" s="8"/>
      <c r="C1965" s="8"/>
      <c r="D1965" s="8"/>
      <c r="E1965" s="9"/>
      <c r="F1965" s="9"/>
      <c r="G1965" s="9"/>
      <c r="H1965" s="9"/>
      <c r="I1965" s="8"/>
      <c r="J1965" s="9"/>
      <c r="K1965" s="9"/>
      <c r="L1965" s="9"/>
      <c r="M1965" s="9"/>
      <c r="N1965" s="9"/>
      <c r="O1965" s="9"/>
      <c r="P1965" s="9"/>
    </row>
    <row r="1966">
      <c r="A1966" s="9"/>
      <c r="B1966" s="8"/>
      <c r="C1966" s="8"/>
      <c r="D1966" s="8"/>
      <c r="E1966" s="9"/>
      <c r="F1966" s="9"/>
      <c r="G1966" s="9"/>
      <c r="H1966" s="9"/>
      <c r="I1966" s="8"/>
      <c r="J1966" s="9"/>
      <c r="K1966" s="9"/>
      <c r="L1966" s="9"/>
      <c r="M1966" s="9"/>
      <c r="N1966" s="9"/>
      <c r="O1966" s="9"/>
      <c r="P1966" s="9"/>
    </row>
    <row r="1967">
      <c r="A1967" s="9"/>
      <c r="B1967" s="8"/>
      <c r="C1967" s="8"/>
      <c r="D1967" s="8"/>
      <c r="E1967" s="9"/>
      <c r="F1967" s="9"/>
      <c r="G1967" s="9"/>
      <c r="H1967" s="9"/>
      <c r="I1967" s="8"/>
      <c r="J1967" s="9"/>
      <c r="K1967" s="9"/>
      <c r="L1967" s="9"/>
      <c r="M1967" s="9"/>
      <c r="N1967" s="9"/>
      <c r="O1967" s="9"/>
      <c r="P1967" s="9"/>
    </row>
    <row r="1968">
      <c r="A1968" s="9"/>
      <c r="B1968" s="8"/>
      <c r="C1968" s="8"/>
      <c r="D1968" s="8"/>
      <c r="E1968" s="9"/>
      <c r="F1968" s="9"/>
      <c r="G1968" s="9"/>
      <c r="H1968" s="9"/>
      <c r="I1968" s="8"/>
      <c r="J1968" s="9"/>
      <c r="K1968" s="9"/>
      <c r="L1968" s="9"/>
      <c r="M1968" s="9"/>
      <c r="N1968" s="9"/>
      <c r="O1968" s="9"/>
      <c r="P1968" s="9"/>
    </row>
    <row r="1969">
      <c r="A1969" s="9"/>
      <c r="B1969" s="8"/>
      <c r="C1969" s="8"/>
      <c r="D1969" s="8"/>
      <c r="E1969" s="9"/>
      <c r="F1969" s="9"/>
      <c r="G1969" s="9"/>
      <c r="H1969" s="9"/>
      <c r="I1969" s="8"/>
      <c r="J1969" s="9"/>
      <c r="K1969" s="9"/>
      <c r="L1969" s="9"/>
      <c r="M1969" s="9"/>
      <c r="N1969" s="9"/>
      <c r="O1969" s="9"/>
      <c r="P1969" s="9"/>
    </row>
    <row r="1970">
      <c r="A1970" s="9"/>
      <c r="B1970" s="8"/>
      <c r="C1970" s="8"/>
      <c r="D1970" s="8"/>
      <c r="E1970" s="9"/>
      <c r="F1970" s="9"/>
      <c r="G1970" s="9"/>
      <c r="H1970" s="9"/>
      <c r="I1970" s="8"/>
      <c r="J1970" s="9"/>
      <c r="K1970" s="9"/>
      <c r="L1970" s="9"/>
      <c r="M1970" s="9"/>
      <c r="N1970" s="9"/>
      <c r="O1970" s="9"/>
      <c r="P1970" s="9"/>
    </row>
    <row r="1971">
      <c r="A1971" s="9"/>
      <c r="B1971" s="8"/>
      <c r="C1971" s="8"/>
      <c r="D1971" s="8"/>
      <c r="E1971" s="9"/>
      <c r="F1971" s="9"/>
      <c r="G1971" s="9"/>
      <c r="H1971" s="9"/>
      <c r="I1971" s="8"/>
      <c r="J1971" s="9"/>
      <c r="K1971" s="9"/>
      <c r="L1971" s="9"/>
      <c r="M1971" s="9"/>
      <c r="N1971" s="9"/>
      <c r="O1971" s="9"/>
      <c r="P1971" s="9"/>
    </row>
    <row r="1972">
      <c r="A1972" s="9"/>
      <c r="B1972" s="8"/>
      <c r="C1972" s="8"/>
      <c r="D1972" s="8"/>
      <c r="E1972" s="9"/>
      <c r="F1972" s="9"/>
      <c r="G1972" s="9"/>
      <c r="H1972" s="9"/>
      <c r="I1972" s="8"/>
      <c r="J1972" s="9"/>
      <c r="K1972" s="9"/>
      <c r="L1972" s="9"/>
      <c r="M1972" s="9"/>
      <c r="N1972" s="9"/>
      <c r="O1972" s="9"/>
      <c r="P1972" s="9"/>
    </row>
    <row r="1973">
      <c r="A1973" s="9"/>
      <c r="B1973" s="8"/>
      <c r="C1973" s="8"/>
      <c r="D1973" s="8"/>
      <c r="E1973" s="9"/>
      <c r="F1973" s="9"/>
      <c r="G1973" s="9"/>
      <c r="H1973" s="9"/>
      <c r="I1973" s="8"/>
      <c r="J1973" s="9"/>
      <c r="K1973" s="9"/>
      <c r="L1973" s="9"/>
      <c r="M1973" s="9"/>
      <c r="N1973" s="9"/>
      <c r="O1973" s="9"/>
      <c r="P1973" s="9"/>
    </row>
    <row r="1974">
      <c r="A1974" s="9"/>
      <c r="B1974" s="8"/>
      <c r="C1974" s="8"/>
      <c r="D1974" s="8"/>
      <c r="E1974" s="9"/>
      <c r="F1974" s="9"/>
      <c r="G1974" s="9"/>
      <c r="H1974" s="9"/>
      <c r="I1974" s="8"/>
      <c r="J1974" s="9"/>
      <c r="K1974" s="9"/>
      <c r="L1974" s="9"/>
      <c r="M1974" s="9"/>
      <c r="N1974" s="9"/>
      <c r="O1974" s="9"/>
      <c r="P1974" s="9"/>
    </row>
    <row r="1975">
      <c r="A1975" s="9"/>
      <c r="B1975" s="8"/>
      <c r="C1975" s="8"/>
      <c r="D1975" s="8"/>
      <c r="E1975" s="9"/>
      <c r="F1975" s="9"/>
      <c r="G1975" s="9"/>
      <c r="H1975" s="9"/>
      <c r="I1975" s="8"/>
      <c r="J1975" s="9"/>
      <c r="K1975" s="9"/>
      <c r="L1975" s="9"/>
      <c r="M1975" s="9"/>
      <c r="N1975" s="9"/>
      <c r="O1975" s="9"/>
      <c r="P1975" s="9"/>
    </row>
    <row r="1976">
      <c r="A1976" s="9"/>
      <c r="B1976" s="8"/>
      <c r="C1976" s="8"/>
      <c r="D1976" s="8"/>
      <c r="E1976" s="9"/>
      <c r="F1976" s="9"/>
      <c r="G1976" s="9"/>
      <c r="H1976" s="9"/>
      <c r="I1976" s="8"/>
      <c r="J1976" s="9"/>
      <c r="K1976" s="9"/>
      <c r="L1976" s="9"/>
      <c r="M1976" s="9"/>
      <c r="N1976" s="9"/>
      <c r="O1976" s="9"/>
      <c r="P1976" s="9"/>
    </row>
    <row r="1977">
      <c r="A1977" s="9"/>
      <c r="B1977" s="8"/>
      <c r="C1977" s="8"/>
      <c r="D1977" s="8"/>
      <c r="E1977" s="9"/>
      <c r="F1977" s="9"/>
      <c r="G1977" s="9"/>
      <c r="H1977" s="9"/>
      <c r="I1977" s="8"/>
      <c r="J1977" s="9"/>
      <c r="K1977" s="9"/>
      <c r="L1977" s="9"/>
      <c r="M1977" s="9"/>
      <c r="N1977" s="9"/>
      <c r="O1977" s="9"/>
      <c r="P1977" s="9"/>
    </row>
    <row r="1978">
      <c r="A1978" s="9"/>
      <c r="B1978" s="8"/>
      <c r="C1978" s="8"/>
      <c r="D1978" s="8"/>
      <c r="E1978" s="9"/>
      <c r="F1978" s="9"/>
      <c r="G1978" s="9"/>
      <c r="H1978" s="9"/>
      <c r="I1978" s="8"/>
      <c r="J1978" s="9"/>
      <c r="K1978" s="9"/>
      <c r="L1978" s="9"/>
      <c r="M1978" s="9"/>
      <c r="N1978" s="9"/>
      <c r="O1978" s="9"/>
      <c r="P1978" s="9"/>
    </row>
    <row r="1979">
      <c r="A1979" s="9"/>
      <c r="B1979" s="8"/>
      <c r="C1979" s="8"/>
      <c r="D1979" s="8"/>
      <c r="E1979" s="9"/>
      <c r="F1979" s="9"/>
      <c r="G1979" s="9"/>
      <c r="H1979" s="9"/>
      <c r="I1979" s="8"/>
      <c r="J1979" s="9"/>
      <c r="K1979" s="9"/>
      <c r="L1979" s="9"/>
      <c r="M1979" s="9"/>
      <c r="N1979" s="9"/>
      <c r="O1979" s="9"/>
      <c r="P1979" s="9"/>
    </row>
    <row r="1980">
      <c r="A1980" s="9"/>
      <c r="B1980" s="8"/>
      <c r="C1980" s="8"/>
      <c r="D1980" s="8"/>
      <c r="E1980" s="9"/>
      <c r="F1980" s="9"/>
      <c r="G1980" s="9"/>
      <c r="H1980" s="9"/>
      <c r="I1980" s="8"/>
      <c r="J1980" s="9"/>
      <c r="K1980" s="9"/>
      <c r="L1980" s="9"/>
      <c r="M1980" s="9"/>
      <c r="N1980" s="9"/>
      <c r="O1980" s="9"/>
      <c r="P1980" s="9"/>
    </row>
    <row r="1981">
      <c r="A1981" s="9"/>
      <c r="B1981" s="8"/>
      <c r="C1981" s="8"/>
      <c r="D1981" s="8"/>
      <c r="E1981" s="9"/>
      <c r="F1981" s="9"/>
      <c r="G1981" s="9"/>
      <c r="H1981" s="9"/>
      <c r="I1981" s="8"/>
      <c r="J1981" s="9"/>
      <c r="K1981" s="9"/>
      <c r="L1981" s="9"/>
      <c r="M1981" s="9"/>
      <c r="N1981" s="9"/>
      <c r="O1981" s="9"/>
      <c r="P1981" s="9"/>
    </row>
    <row r="1982">
      <c r="A1982" s="9"/>
      <c r="B1982" s="8"/>
      <c r="C1982" s="8"/>
      <c r="D1982" s="8"/>
      <c r="E1982" s="9"/>
      <c r="F1982" s="9"/>
      <c r="G1982" s="9"/>
      <c r="H1982" s="9"/>
      <c r="I1982" s="8"/>
      <c r="J1982" s="9"/>
      <c r="K1982" s="9"/>
      <c r="L1982" s="9"/>
      <c r="M1982" s="9"/>
      <c r="N1982" s="9"/>
      <c r="O1982" s="9"/>
      <c r="P1982" s="9"/>
    </row>
    <row r="1983">
      <c r="A1983" s="9"/>
      <c r="B1983" s="8"/>
      <c r="C1983" s="8"/>
      <c r="D1983" s="8"/>
      <c r="E1983" s="9"/>
      <c r="F1983" s="9"/>
      <c r="G1983" s="9"/>
      <c r="H1983" s="9"/>
      <c r="I1983" s="8"/>
      <c r="J1983" s="9"/>
      <c r="K1983" s="9"/>
      <c r="L1983" s="9"/>
      <c r="M1983" s="9"/>
      <c r="N1983" s="9"/>
      <c r="O1983" s="9"/>
      <c r="P1983" s="9"/>
    </row>
    <row r="1984">
      <c r="A1984" s="9"/>
      <c r="B1984" s="8"/>
      <c r="C1984" s="8"/>
      <c r="D1984" s="8"/>
      <c r="E1984" s="9"/>
      <c r="F1984" s="9"/>
      <c r="G1984" s="9"/>
      <c r="H1984" s="9"/>
      <c r="I1984" s="8"/>
      <c r="J1984" s="9"/>
      <c r="K1984" s="9"/>
      <c r="L1984" s="9"/>
      <c r="M1984" s="9"/>
      <c r="N1984" s="9"/>
      <c r="O1984" s="9"/>
      <c r="P1984" s="9"/>
    </row>
    <row r="1985">
      <c r="A1985" s="9"/>
      <c r="B1985" s="8"/>
      <c r="C1985" s="8"/>
      <c r="D1985" s="8"/>
      <c r="E1985" s="9"/>
      <c r="F1985" s="9"/>
      <c r="G1985" s="9"/>
      <c r="H1985" s="9"/>
      <c r="I1985" s="8"/>
      <c r="J1985" s="9"/>
      <c r="K1985" s="9"/>
      <c r="L1985" s="9"/>
      <c r="M1985" s="9"/>
      <c r="N1985" s="9"/>
      <c r="O1985" s="9"/>
      <c r="P1985" s="9"/>
    </row>
    <row r="1986">
      <c r="A1986" s="9"/>
      <c r="B1986" s="8"/>
      <c r="C1986" s="8"/>
      <c r="D1986" s="8"/>
      <c r="E1986" s="9"/>
      <c r="F1986" s="9"/>
      <c r="G1986" s="9"/>
      <c r="H1986" s="9"/>
      <c r="I1986" s="8"/>
      <c r="J1986" s="9"/>
      <c r="K1986" s="9"/>
      <c r="L1986" s="9"/>
      <c r="M1986" s="9"/>
      <c r="N1986" s="9"/>
      <c r="O1986" s="9"/>
      <c r="P1986" s="9"/>
    </row>
    <row r="1987">
      <c r="A1987" s="9"/>
      <c r="B1987" s="8"/>
      <c r="C1987" s="8"/>
      <c r="D1987" s="8"/>
      <c r="E1987" s="9"/>
      <c r="F1987" s="9"/>
      <c r="G1987" s="9"/>
      <c r="H1987" s="9"/>
      <c r="I1987" s="8"/>
      <c r="J1987" s="9"/>
      <c r="K1987" s="9"/>
      <c r="L1987" s="9"/>
      <c r="M1987" s="9"/>
      <c r="N1987" s="9"/>
      <c r="O1987" s="9"/>
      <c r="P1987" s="9"/>
    </row>
    <row r="1988">
      <c r="A1988" s="9"/>
      <c r="B1988" s="8"/>
      <c r="C1988" s="8"/>
      <c r="D1988" s="8"/>
      <c r="E1988" s="9"/>
      <c r="F1988" s="9"/>
      <c r="G1988" s="9"/>
      <c r="H1988" s="9"/>
      <c r="I1988" s="8"/>
      <c r="J1988" s="9"/>
      <c r="K1988" s="9"/>
      <c r="L1988" s="9"/>
      <c r="M1988" s="9"/>
      <c r="N1988" s="9"/>
      <c r="O1988" s="9"/>
      <c r="P1988" s="9"/>
    </row>
    <row r="1989">
      <c r="A1989" s="9"/>
      <c r="B1989" s="8"/>
      <c r="C1989" s="8"/>
      <c r="D1989" s="8"/>
      <c r="E1989" s="9"/>
      <c r="F1989" s="9"/>
      <c r="G1989" s="9"/>
      <c r="H1989" s="9"/>
      <c r="I1989" s="8"/>
      <c r="J1989" s="9"/>
      <c r="K1989" s="9"/>
      <c r="L1989" s="9"/>
      <c r="M1989" s="9"/>
      <c r="N1989" s="9"/>
      <c r="O1989" s="9"/>
      <c r="P1989" s="9"/>
    </row>
    <row r="1990">
      <c r="A1990" s="9"/>
      <c r="B1990" s="8"/>
      <c r="C1990" s="8"/>
      <c r="D1990" s="8"/>
      <c r="E1990" s="9"/>
      <c r="F1990" s="9"/>
      <c r="G1990" s="9"/>
      <c r="H1990" s="9"/>
      <c r="I1990" s="8"/>
      <c r="J1990" s="9"/>
      <c r="K1990" s="9"/>
      <c r="L1990" s="9"/>
      <c r="M1990" s="9"/>
      <c r="N1990" s="9"/>
      <c r="O1990" s="9"/>
      <c r="P1990" s="9"/>
    </row>
    <row r="1991">
      <c r="A1991" s="9"/>
      <c r="B1991" s="8"/>
      <c r="C1991" s="8"/>
      <c r="D1991" s="8"/>
      <c r="E1991" s="9"/>
      <c r="F1991" s="9"/>
      <c r="G1991" s="9"/>
      <c r="H1991" s="9"/>
      <c r="I1991" s="8"/>
      <c r="J1991" s="9"/>
      <c r="K1991" s="9"/>
      <c r="L1991" s="9"/>
      <c r="M1991" s="9"/>
      <c r="N1991" s="9"/>
      <c r="O1991" s="9"/>
      <c r="P1991" s="9"/>
    </row>
    <row r="1992">
      <c r="A1992" s="9"/>
      <c r="B1992" s="8"/>
      <c r="C1992" s="8"/>
      <c r="D1992" s="8"/>
      <c r="E1992" s="9"/>
      <c r="F1992" s="9"/>
      <c r="G1992" s="9"/>
      <c r="H1992" s="9"/>
      <c r="I1992" s="8"/>
      <c r="J1992" s="9"/>
      <c r="K1992" s="9"/>
      <c r="L1992" s="9"/>
      <c r="M1992" s="9"/>
      <c r="N1992" s="9"/>
      <c r="O1992" s="9"/>
      <c r="P1992" s="9"/>
    </row>
    <row r="1993">
      <c r="A1993" s="9"/>
      <c r="B1993" s="8"/>
      <c r="C1993" s="8"/>
      <c r="D1993" s="8"/>
      <c r="E1993" s="9"/>
      <c r="F1993" s="9"/>
      <c r="G1993" s="9"/>
      <c r="H1993" s="9"/>
      <c r="I1993" s="8"/>
      <c r="J1993" s="9"/>
      <c r="K1993" s="9"/>
      <c r="L1993" s="9"/>
      <c r="M1993" s="9"/>
      <c r="N1993" s="9"/>
      <c r="O1993" s="9"/>
      <c r="P1993" s="9"/>
    </row>
    <row r="1994">
      <c r="A1994" s="9"/>
      <c r="B1994" s="8"/>
      <c r="C1994" s="8"/>
      <c r="D1994" s="8"/>
      <c r="E1994" s="9"/>
      <c r="F1994" s="9"/>
      <c r="G1994" s="9"/>
      <c r="H1994" s="9"/>
      <c r="I1994" s="8"/>
      <c r="J1994" s="9"/>
      <c r="K1994" s="9"/>
      <c r="L1994" s="9"/>
      <c r="M1994" s="9"/>
      <c r="N1994" s="9"/>
      <c r="O1994" s="9"/>
      <c r="P1994" s="9"/>
    </row>
    <row r="1995">
      <c r="A1995" s="9"/>
      <c r="B1995" s="8"/>
      <c r="C1995" s="8"/>
      <c r="D1995" s="8"/>
      <c r="E1995" s="9"/>
      <c r="F1995" s="9"/>
      <c r="G1995" s="9"/>
      <c r="H1995" s="9"/>
      <c r="I1995" s="8"/>
      <c r="J1995" s="9"/>
      <c r="K1995" s="9"/>
      <c r="L1995" s="9"/>
      <c r="M1995" s="9"/>
      <c r="N1995" s="9"/>
      <c r="O1995" s="9"/>
      <c r="P1995" s="9"/>
    </row>
    <row r="1996">
      <c r="A1996" s="9"/>
      <c r="B1996" s="8"/>
      <c r="C1996" s="8"/>
      <c r="D1996" s="8"/>
      <c r="E1996" s="9"/>
      <c r="F1996" s="9"/>
      <c r="G1996" s="9"/>
      <c r="H1996" s="9"/>
      <c r="I1996" s="8"/>
      <c r="J1996" s="9"/>
      <c r="K1996" s="9"/>
      <c r="L1996" s="9"/>
      <c r="M1996" s="9"/>
      <c r="N1996" s="9"/>
      <c r="O1996" s="9"/>
      <c r="P1996" s="9"/>
    </row>
    <row r="1997">
      <c r="A1997" s="9"/>
      <c r="B1997" s="8"/>
      <c r="C1997" s="8"/>
      <c r="D1997" s="8"/>
      <c r="E1997" s="9"/>
      <c r="F1997" s="9"/>
      <c r="G1997" s="9"/>
      <c r="H1997" s="9"/>
      <c r="I1997" s="8"/>
      <c r="J1997" s="9"/>
      <c r="K1997" s="9"/>
      <c r="L1997" s="9"/>
      <c r="M1997" s="9"/>
      <c r="N1997" s="9"/>
      <c r="O1997" s="9"/>
      <c r="P1997" s="9"/>
    </row>
    <row r="1998">
      <c r="A1998" s="9"/>
      <c r="B1998" s="8"/>
      <c r="C1998" s="8"/>
      <c r="D1998" s="8"/>
      <c r="E1998" s="9"/>
      <c r="F1998" s="9"/>
      <c r="G1998" s="9"/>
      <c r="H1998" s="9"/>
      <c r="I1998" s="8"/>
      <c r="J1998" s="9"/>
      <c r="K1998" s="9"/>
      <c r="L1998" s="9"/>
      <c r="M1998" s="9"/>
      <c r="N1998" s="9"/>
      <c r="O1998" s="9"/>
      <c r="P1998" s="9"/>
    </row>
    <row r="1999">
      <c r="A1999" s="9"/>
      <c r="B1999" s="8"/>
      <c r="C1999" s="8"/>
      <c r="D1999" s="8"/>
      <c r="E1999" s="9"/>
      <c r="F1999" s="9"/>
      <c r="G1999" s="9"/>
      <c r="H1999" s="9"/>
      <c r="I1999" s="8"/>
      <c r="J1999" s="9"/>
      <c r="K1999" s="9"/>
      <c r="L1999" s="9"/>
      <c r="M1999" s="9"/>
      <c r="N1999" s="9"/>
      <c r="O1999" s="9"/>
      <c r="P1999" s="9"/>
    </row>
    <row r="2000">
      <c r="A2000" s="9"/>
      <c r="B2000" s="8"/>
      <c r="C2000" s="8"/>
      <c r="D2000" s="8"/>
      <c r="E2000" s="9"/>
      <c r="F2000" s="9"/>
      <c r="G2000" s="9"/>
      <c r="H2000" s="9"/>
      <c r="I2000" s="8"/>
      <c r="J2000" s="9"/>
      <c r="K2000" s="9"/>
      <c r="L2000" s="9"/>
      <c r="M2000" s="9"/>
      <c r="N2000" s="9"/>
      <c r="O2000" s="9"/>
      <c r="P2000" s="9"/>
    </row>
    <row r="2001">
      <c r="A2001" s="9"/>
      <c r="B2001" s="8"/>
      <c r="C2001" s="8"/>
      <c r="D2001" s="8"/>
      <c r="E2001" s="9"/>
      <c r="F2001" s="9"/>
      <c r="G2001" s="9"/>
      <c r="H2001" s="9"/>
      <c r="I2001" s="8"/>
      <c r="J2001" s="9"/>
      <c r="K2001" s="9"/>
      <c r="L2001" s="9"/>
      <c r="M2001" s="9"/>
      <c r="N2001" s="9"/>
      <c r="O2001" s="9"/>
      <c r="P2001" s="9"/>
    </row>
    <row r="2002">
      <c r="A2002" s="9"/>
      <c r="B2002" s="8"/>
      <c r="C2002" s="8"/>
      <c r="D2002" s="8"/>
      <c r="E2002" s="9"/>
      <c r="F2002" s="9"/>
      <c r="G2002" s="9"/>
      <c r="H2002" s="9"/>
      <c r="I2002" s="8"/>
      <c r="J2002" s="9"/>
      <c r="K2002" s="9"/>
      <c r="L2002" s="9"/>
      <c r="M2002" s="9"/>
      <c r="N2002" s="9"/>
      <c r="O2002" s="9"/>
      <c r="P2002" s="9"/>
    </row>
    <row r="2003">
      <c r="A2003" s="9"/>
      <c r="B2003" s="8"/>
      <c r="C2003" s="8"/>
      <c r="D2003" s="8"/>
      <c r="E2003" s="9"/>
      <c r="F2003" s="9"/>
      <c r="G2003" s="9"/>
      <c r="H2003" s="9"/>
      <c r="I2003" s="8"/>
      <c r="J2003" s="9"/>
      <c r="K2003" s="9"/>
      <c r="L2003" s="9"/>
      <c r="M2003" s="9"/>
      <c r="N2003" s="9"/>
      <c r="O2003" s="9"/>
      <c r="P2003" s="9"/>
    </row>
    <row r="2004">
      <c r="A2004" s="9"/>
      <c r="B2004" s="8"/>
      <c r="C2004" s="8"/>
      <c r="D2004" s="8"/>
      <c r="E2004" s="9"/>
      <c r="F2004" s="9"/>
      <c r="G2004" s="9"/>
      <c r="H2004" s="9"/>
      <c r="I2004" s="8"/>
      <c r="J2004" s="9"/>
      <c r="K2004" s="9"/>
      <c r="L2004" s="9"/>
      <c r="M2004" s="9"/>
      <c r="N2004" s="9"/>
      <c r="O2004" s="9"/>
      <c r="P2004" s="9"/>
    </row>
    <row r="2005">
      <c r="A2005" s="9"/>
      <c r="B2005" s="8"/>
      <c r="C2005" s="8"/>
      <c r="D2005" s="8"/>
      <c r="E2005" s="9"/>
      <c r="F2005" s="9"/>
      <c r="G2005" s="9"/>
      <c r="H2005" s="9"/>
      <c r="I2005" s="8"/>
      <c r="J2005" s="9"/>
      <c r="K2005" s="9"/>
      <c r="L2005" s="9"/>
      <c r="M2005" s="9"/>
      <c r="N2005" s="9"/>
      <c r="O2005" s="9"/>
      <c r="P2005" s="9"/>
    </row>
    <row r="2006">
      <c r="A2006" s="9"/>
      <c r="B2006" s="8"/>
      <c r="C2006" s="8"/>
      <c r="D2006" s="8"/>
      <c r="E2006" s="9"/>
      <c r="F2006" s="9"/>
      <c r="G2006" s="9"/>
      <c r="H2006" s="9"/>
      <c r="I2006" s="8"/>
      <c r="J2006" s="9"/>
      <c r="K2006" s="9"/>
      <c r="L2006" s="9"/>
      <c r="M2006" s="9"/>
      <c r="N2006" s="9"/>
      <c r="O2006" s="9"/>
      <c r="P2006" s="9"/>
    </row>
    <row r="2007">
      <c r="A2007" s="9"/>
      <c r="B2007" s="8"/>
      <c r="C2007" s="8"/>
      <c r="D2007" s="8"/>
      <c r="E2007" s="9"/>
      <c r="F2007" s="9"/>
      <c r="G2007" s="9"/>
      <c r="H2007" s="9"/>
      <c r="I2007" s="8"/>
      <c r="J2007" s="9"/>
      <c r="K2007" s="9"/>
      <c r="L2007" s="9"/>
      <c r="M2007" s="9"/>
      <c r="N2007" s="9"/>
      <c r="O2007" s="9"/>
      <c r="P2007"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1" t="s">
        <v>5</v>
      </c>
      <c r="G1" s="2" t="s">
        <v>6</v>
      </c>
      <c r="H1" s="1" t="s">
        <v>7</v>
      </c>
      <c r="I1" s="2" t="s">
        <v>8</v>
      </c>
      <c r="J1" s="2" t="s">
        <v>9</v>
      </c>
      <c r="K1" s="2" t="s">
        <v>10</v>
      </c>
      <c r="L1" s="2" t="s">
        <v>11</v>
      </c>
      <c r="M1" s="2" t="s">
        <v>12</v>
      </c>
      <c r="N1" s="2" t="s">
        <v>13</v>
      </c>
      <c r="O1" s="2" t="s">
        <v>14</v>
      </c>
      <c r="P1" s="19" t="s">
        <v>1293</v>
      </c>
      <c r="S1" s="14" t="str">
        <f>IFERROR(__xludf.DUMMYFUNCTION("QUERY(P2:P10000, ""SELECT P, COUNT(P) WHERE P IS NOT NULL AND P != '' GROUP BY P ORDER BY COUNT(P) DESC LABEL COUNT(P) 'Количество'"")"),"")</f>
        <v/>
      </c>
      <c r="T1" s="14" t="str">
        <f>IFERROR(__xludf.DUMMYFUNCTION("""COMPUTED_VALUE"""),"Количество")</f>
        <v>Количество</v>
      </c>
    </row>
    <row r="2">
      <c r="A2" s="4" t="s">
        <v>32</v>
      </c>
      <c r="B2" s="20">
        <v>150.0</v>
      </c>
      <c r="C2" s="20">
        <v>1585412.0</v>
      </c>
      <c r="D2" s="20">
        <v>1589895.0</v>
      </c>
      <c r="E2" s="21" t="s">
        <v>33</v>
      </c>
      <c r="F2" s="2"/>
      <c r="G2" s="2"/>
      <c r="H2" s="2"/>
      <c r="I2" s="2"/>
      <c r="J2" s="2"/>
      <c r="K2" s="2"/>
      <c r="L2" s="2"/>
      <c r="M2" s="21" t="s">
        <v>3821</v>
      </c>
      <c r="N2" s="21" t="s">
        <v>1110</v>
      </c>
      <c r="O2" s="21" t="s">
        <v>3822</v>
      </c>
      <c r="P2" s="2" t="s">
        <v>2275</v>
      </c>
      <c r="S2" s="15" t="str">
        <f>IFERROR(__xludf.DUMMYFUNCTION("""COMPUTED_VALUE"""),"составной предлог")</f>
        <v>составной предлог</v>
      </c>
      <c r="T2" s="15">
        <f>IFERROR(__xludf.DUMMYFUNCTION("""COMPUTED_VALUE"""),13.0)</f>
        <v>13</v>
      </c>
    </row>
    <row r="3">
      <c r="A3" s="4" t="s">
        <v>32</v>
      </c>
      <c r="B3" s="20">
        <v>264.0</v>
      </c>
      <c r="C3" s="20">
        <v>2286430.0</v>
      </c>
      <c r="D3" s="20">
        <v>2294940.0</v>
      </c>
      <c r="E3" s="21" t="s">
        <v>33</v>
      </c>
      <c r="F3" s="2"/>
      <c r="G3" s="2"/>
      <c r="H3" s="2"/>
      <c r="I3" s="2"/>
      <c r="J3" s="2"/>
      <c r="K3" s="2"/>
      <c r="L3" s="2"/>
      <c r="M3" s="21" t="s">
        <v>3823</v>
      </c>
      <c r="N3" s="21" t="s">
        <v>1110</v>
      </c>
      <c r="O3" s="21" t="s">
        <v>3824</v>
      </c>
      <c r="P3" s="2" t="s">
        <v>1300</v>
      </c>
      <c r="S3" s="15" t="str">
        <f>IFERROR(__xludf.DUMMYFUNCTION("""COMPUTED_VALUE"""),"неполные данные")</f>
        <v>неполные данные</v>
      </c>
      <c r="T3" s="15">
        <f>IFERROR(__xludf.DUMMYFUNCTION("""COMPUTED_VALUE"""),8.0)</f>
        <v>8</v>
      </c>
    </row>
    <row r="4">
      <c r="A4" s="4" t="s">
        <v>32</v>
      </c>
      <c r="B4" s="20">
        <v>479.0</v>
      </c>
      <c r="C4" s="20">
        <v>1413700.0</v>
      </c>
      <c r="D4" s="20">
        <v>1423570.0</v>
      </c>
      <c r="E4" s="21" t="s">
        <v>61</v>
      </c>
      <c r="F4" s="2"/>
      <c r="G4" s="21" t="s">
        <v>62</v>
      </c>
      <c r="H4" s="2"/>
      <c r="I4" s="20">
        <v>1937.0</v>
      </c>
      <c r="J4" s="21" t="s">
        <v>63</v>
      </c>
      <c r="K4" s="21" t="s">
        <v>64</v>
      </c>
      <c r="L4" s="21" t="s">
        <v>65</v>
      </c>
      <c r="M4" s="21" t="s">
        <v>3825</v>
      </c>
      <c r="N4" s="21" t="s">
        <v>1110</v>
      </c>
      <c r="O4" s="21" t="s">
        <v>3826</v>
      </c>
      <c r="P4" s="2" t="s">
        <v>1388</v>
      </c>
      <c r="S4" s="15" t="str">
        <f>IFERROR(__xludf.DUMMYFUNCTION("""COMPUTED_VALUE"""),"вопрос интервьюера")</f>
        <v>вопрос интервьюера</v>
      </c>
      <c r="T4" s="15">
        <f>IFERROR(__xludf.DUMMYFUNCTION("""COMPUTED_VALUE"""),6.0)</f>
        <v>6</v>
      </c>
    </row>
    <row r="5">
      <c r="A5" s="4" t="s">
        <v>32</v>
      </c>
      <c r="B5" s="20">
        <v>480.0</v>
      </c>
      <c r="C5" s="20">
        <v>1425550.0</v>
      </c>
      <c r="D5" s="20">
        <v>1440820.0</v>
      </c>
      <c r="E5" s="21" t="s">
        <v>61</v>
      </c>
      <c r="F5" s="2"/>
      <c r="G5" s="21" t="s">
        <v>62</v>
      </c>
      <c r="H5" s="2"/>
      <c r="I5" s="20">
        <v>1937.0</v>
      </c>
      <c r="J5" s="21" t="s">
        <v>63</v>
      </c>
      <c r="K5" s="21" t="s">
        <v>64</v>
      </c>
      <c r="L5" s="21" t="s">
        <v>65</v>
      </c>
      <c r="M5" s="21" t="s">
        <v>3827</v>
      </c>
      <c r="N5" s="21" t="s">
        <v>1110</v>
      </c>
      <c r="O5" s="21" t="s">
        <v>3826</v>
      </c>
      <c r="P5" s="2" t="s">
        <v>1388</v>
      </c>
      <c r="S5" s="15" t="str">
        <f>IFERROR(__xludf.DUMMYFUNCTION("""COMPUTED_VALUE"""),"отсутствие существительного в предложной группе")</f>
        <v>отсутствие существительного в предложной группе</v>
      </c>
      <c r="T5" s="15">
        <f>IFERROR(__xludf.DUMMYFUNCTION("""COMPUTED_VALUE"""),5.0)</f>
        <v>5</v>
      </c>
    </row>
    <row r="6">
      <c r="A6" s="4" t="s">
        <v>32</v>
      </c>
      <c r="B6" s="20">
        <v>482.0</v>
      </c>
      <c r="C6" s="20">
        <v>1449000.0</v>
      </c>
      <c r="D6" s="20">
        <v>1457420.0</v>
      </c>
      <c r="E6" s="21" t="s">
        <v>61</v>
      </c>
      <c r="F6" s="2"/>
      <c r="G6" s="21" t="s">
        <v>62</v>
      </c>
      <c r="H6" s="2"/>
      <c r="I6" s="20">
        <v>1937.0</v>
      </c>
      <c r="J6" s="21" t="s">
        <v>63</v>
      </c>
      <c r="K6" s="21" t="s">
        <v>64</v>
      </c>
      <c r="L6" s="21" t="s">
        <v>65</v>
      </c>
      <c r="M6" s="21" t="s">
        <v>3828</v>
      </c>
      <c r="N6" s="21" t="s">
        <v>1110</v>
      </c>
      <c r="O6" s="21" t="s">
        <v>3826</v>
      </c>
      <c r="P6" s="2" t="s">
        <v>1388</v>
      </c>
      <c r="S6" s="15" t="str">
        <f>IFERROR(__xludf.DUMMYFUNCTION("""COMPUTED_VALUE"""),"самоповтор")</f>
        <v>самоповтор</v>
      </c>
      <c r="T6" s="15">
        <f>IFERROR(__xludf.DUMMYFUNCTION("""COMPUTED_VALUE"""),5.0)</f>
        <v>5</v>
      </c>
    </row>
    <row r="7">
      <c r="A7" s="4" t="s">
        <v>32</v>
      </c>
      <c r="B7" s="20">
        <v>973.0</v>
      </c>
      <c r="C7" s="20">
        <v>359492.0</v>
      </c>
      <c r="D7" s="20">
        <v>366199.0</v>
      </c>
      <c r="E7" s="21" t="s">
        <v>110</v>
      </c>
      <c r="F7" s="2"/>
      <c r="G7" s="21" t="s">
        <v>111</v>
      </c>
      <c r="H7" s="2"/>
      <c r="I7" s="20">
        <v>1954.0</v>
      </c>
      <c r="J7" s="21" t="s">
        <v>112</v>
      </c>
      <c r="K7" s="21" t="s">
        <v>65</v>
      </c>
      <c r="L7" s="21" t="s">
        <v>65</v>
      </c>
      <c r="M7" s="21" t="s">
        <v>3829</v>
      </c>
      <c r="N7" s="21" t="s">
        <v>1110</v>
      </c>
      <c r="O7" s="21" t="s">
        <v>3830</v>
      </c>
      <c r="P7" s="2" t="s">
        <v>2275</v>
      </c>
      <c r="S7" s="15" t="str">
        <f>IFERROR(__xludf.DUMMYFUNCTION("""COMPUTED_VALUE"""),"идиома/фразеологизм")</f>
        <v>идиома/фразеологизм</v>
      </c>
      <c r="T7" s="15">
        <f>IFERROR(__xludf.DUMMYFUNCTION("""COMPUTED_VALUE"""),4.0)</f>
        <v>4</v>
      </c>
    </row>
    <row r="8">
      <c r="A8" s="4" t="s">
        <v>32</v>
      </c>
      <c r="B8" s="20">
        <v>988.0</v>
      </c>
      <c r="C8" s="20">
        <v>447600.0</v>
      </c>
      <c r="D8" s="20">
        <v>459493.0</v>
      </c>
      <c r="E8" s="21" t="s">
        <v>110</v>
      </c>
      <c r="F8" s="2"/>
      <c r="G8" s="21" t="s">
        <v>111</v>
      </c>
      <c r="H8" s="2"/>
      <c r="I8" s="20">
        <v>1954.0</v>
      </c>
      <c r="J8" s="21" t="s">
        <v>112</v>
      </c>
      <c r="K8" s="21" t="s">
        <v>65</v>
      </c>
      <c r="L8" s="21" t="s">
        <v>65</v>
      </c>
      <c r="M8" s="21" t="s">
        <v>3831</v>
      </c>
      <c r="N8" s="21" t="s">
        <v>1110</v>
      </c>
      <c r="O8" s="21" t="s">
        <v>3832</v>
      </c>
      <c r="P8" s="2" t="s">
        <v>2275</v>
      </c>
      <c r="S8" s="15" t="str">
        <f>IFERROR(__xludf.DUMMYFUNCTION("""COMPUTED_VALUE"""),"Предлог с")</f>
        <v>Предлог с</v>
      </c>
      <c r="T8" s="15">
        <f>IFERROR(__xludf.DUMMYFUNCTION("""COMPUTED_VALUE"""),3.0)</f>
        <v>3</v>
      </c>
    </row>
    <row r="9">
      <c r="A9" s="4" t="s">
        <v>32</v>
      </c>
      <c r="B9" s="20">
        <v>1055.0</v>
      </c>
      <c r="C9" s="20">
        <v>870426.0</v>
      </c>
      <c r="D9" s="20">
        <v>874039.0</v>
      </c>
      <c r="E9" s="21" t="s">
        <v>110</v>
      </c>
      <c r="F9" s="2"/>
      <c r="G9" s="21" t="s">
        <v>111</v>
      </c>
      <c r="H9" s="2"/>
      <c r="I9" s="20">
        <v>1954.0</v>
      </c>
      <c r="J9" s="21" t="s">
        <v>112</v>
      </c>
      <c r="K9" s="21" t="s">
        <v>65</v>
      </c>
      <c r="L9" s="21" t="s">
        <v>65</v>
      </c>
      <c r="M9" s="21" t="s">
        <v>3833</v>
      </c>
      <c r="N9" s="21" t="s">
        <v>1105</v>
      </c>
      <c r="O9" s="21" t="s">
        <v>3834</v>
      </c>
      <c r="P9" s="2" t="s">
        <v>3835</v>
      </c>
      <c r="S9" s="15" t="str">
        <f>IFERROR(__xludf.DUMMYFUNCTION("""COMPUTED_VALUE"""),"отсутствие лексически выраженного существительного")</f>
        <v>отсутствие лексически выраженного существительного</v>
      </c>
      <c r="T9" s="15">
        <f>IFERROR(__xludf.DUMMYFUNCTION("""COMPUTED_VALUE"""),3.0)</f>
        <v>3</v>
      </c>
    </row>
    <row r="10">
      <c r="A10" s="4" t="s">
        <v>32</v>
      </c>
      <c r="B10" s="20">
        <v>2134.0</v>
      </c>
      <c r="C10" s="20">
        <v>3052780.0</v>
      </c>
      <c r="D10" s="20">
        <v>3054740.0</v>
      </c>
      <c r="E10" s="21" t="s">
        <v>167</v>
      </c>
      <c r="F10" s="2"/>
      <c r="G10" s="2"/>
      <c r="H10" s="2"/>
      <c r="I10" s="2"/>
      <c r="J10" s="2"/>
      <c r="K10" s="2"/>
      <c r="L10" s="2"/>
      <c r="M10" s="21" t="s">
        <v>3836</v>
      </c>
      <c r="N10" s="21" t="s">
        <v>1110</v>
      </c>
      <c r="O10" s="21" t="s">
        <v>3826</v>
      </c>
      <c r="P10" s="2" t="s">
        <v>1388</v>
      </c>
      <c r="S10" s="15" t="str">
        <f>IFERROR(__xludf.DUMMYFUNCTION("""COMPUTED_VALUE"""),"временное значение")</f>
        <v>временное значение</v>
      </c>
      <c r="T10" s="15">
        <f>IFERROR(__xludf.DUMMYFUNCTION("""COMPUTED_VALUE"""),2.0)</f>
        <v>2</v>
      </c>
    </row>
    <row r="11">
      <c r="A11" s="4" t="s">
        <v>32</v>
      </c>
      <c r="B11" s="20">
        <v>2377.0</v>
      </c>
      <c r="C11" s="20">
        <v>4090069.0</v>
      </c>
      <c r="D11" s="20">
        <v>4093879.0</v>
      </c>
      <c r="E11" s="21" t="s">
        <v>167</v>
      </c>
      <c r="F11" s="2"/>
      <c r="G11" s="2"/>
      <c r="H11" s="2"/>
      <c r="I11" s="2"/>
      <c r="J11" s="2"/>
      <c r="K11" s="2"/>
      <c r="L11" s="2"/>
      <c r="M11" s="21" t="s">
        <v>3837</v>
      </c>
      <c r="N11" s="21" t="s">
        <v>1110</v>
      </c>
      <c r="O11" s="22" t="e">
        <v>#NAME?</v>
      </c>
      <c r="P11" s="2" t="s">
        <v>1300</v>
      </c>
      <c r="S11" s="15" t="str">
        <f>IFERROR(__xludf.DUMMYFUNCTION("""COMPUTED_VALUE"""),"идиомы/фразеологизмы")</f>
        <v>идиомы/фразеологизмы</v>
      </c>
      <c r="T11" s="15">
        <f>IFERROR(__xludf.DUMMYFUNCTION("""COMPUTED_VALUE"""),2.0)</f>
        <v>2</v>
      </c>
    </row>
    <row r="12">
      <c r="A12" s="4" t="s">
        <v>32</v>
      </c>
      <c r="B12" s="20">
        <v>2377.0</v>
      </c>
      <c r="C12" s="20">
        <v>4090069.0</v>
      </c>
      <c r="D12" s="20">
        <v>4093879.0</v>
      </c>
      <c r="E12" s="21" t="s">
        <v>167</v>
      </c>
      <c r="F12" s="2"/>
      <c r="G12" s="2"/>
      <c r="H12" s="2"/>
      <c r="I12" s="2"/>
      <c r="J12" s="2"/>
      <c r="K12" s="2"/>
      <c r="L12" s="2"/>
      <c r="M12" s="21" t="s">
        <v>3838</v>
      </c>
      <c r="N12" s="21" t="s">
        <v>1110</v>
      </c>
      <c r="O12" s="21" t="s">
        <v>3839</v>
      </c>
      <c r="P12" s="2" t="s">
        <v>3835</v>
      </c>
      <c r="S12" s="15" t="str">
        <f>IFERROR(__xludf.DUMMYFUNCTION("""COMPUTED_VALUE"""),"неподходяший контекст")</f>
        <v>неподходяший контекст</v>
      </c>
      <c r="T12" s="15">
        <f>IFERROR(__xludf.DUMMYFUNCTION("""COMPUTED_VALUE"""),2.0)</f>
        <v>2</v>
      </c>
    </row>
    <row r="13">
      <c r="A13" s="4" t="s">
        <v>32</v>
      </c>
      <c r="B13" s="20">
        <v>2896.0</v>
      </c>
      <c r="C13" s="20">
        <v>2024652.0</v>
      </c>
      <c r="D13" s="20">
        <v>2033130.0</v>
      </c>
      <c r="E13" s="21" t="s">
        <v>204</v>
      </c>
      <c r="F13" s="2"/>
      <c r="G13" s="2"/>
      <c r="H13" s="2"/>
      <c r="I13" s="2"/>
      <c r="J13" s="2"/>
      <c r="K13" s="2"/>
      <c r="L13" s="2"/>
      <c r="M13" s="21" t="s">
        <v>3840</v>
      </c>
      <c r="N13" s="21" t="s">
        <v>1110</v>
      </c>
      <c r="O13" s="22" t="str">
        <f> это по = просто нацгак = как танцплощадка такая из дерева, из досок сложена.</f>
        <v>#ERROR!</v>
      </c>
      <c r="P13" s="2" t="s">
        <v>1300</v>
      </c>
      <c r="S13" s="15" t="str">
        <f>IFERROR(__xludf.DUMMYFUNCTION("""COMPUTED_VALUE"""),"колодец")</f>
        <v>колодец</v>
      </c>
      <c r="T13" s="15">
        <f>IFERROR(__xludf.DUMMYFUNCTION("""COMPUTED_VALUE"""),1.0)</f>
        <v>1</v>
      </c>
    </row>
    <row r="14">
      <c r="A14" s="4" t="s">
        <v>32</v>
      </c>
      <c r="B14" s="20">
        <v>3299.0</v>
      </c>
      <c r="C14" s="20">
        <v>4384932.0</v>
      </c>
      <c r="D14" s="20">
        <v>4391489.0</v>
      </c>
      <c r="E14" s="21" t="s">
        <v>204</v>
      </c>
      <c r="F14" s="2"/>
      <c r="G14" s="2"/>
      <c r="H14" s="2"/>
      <c r="I14" s="2"/>
      <c r="J14" s="2"/>
      <c r="K14" s="2"/>
      <c r="L14" s="2"/>
      <c r="M14" s="21" t="s">
        <v>3841</v>
      </c>
      <c r="N14" s="21" t="s">
        <v>1110</v>
      </c>
      <c r="O14" s="21" t="s">
        <v>3842</v>
      </c>
      <c r="P14" s="2" t="s">
        <v>3835</v>
      </c>
      <c r="S14" s="15" t="str">
        <f>IFERROR(__xludf.DUMMYFUNCTION("""COMPUTED_VALUE"""),"повтор")</f>
        <v>повтор</v>
      </c>
      <c r="T14" s="15">
        <f>IFERROR(__xludf.DUMMYFUNCTION("""COMPUTED_VALUE"""),1.0)</f>
        <v>1</v>
      </c>
    </row>
    <row r="15">
      <c r="A15" s="4" t="s">
        <v>32</v>
      </c>
      <c r="B15" s="20">
        <v>3682.0</v>
      </c>
      <c r="C15" s="20">
        <v>870030.0</v>
      </c>
      <c r="D15" s="20">
        <v>872770.0</v>
      </c>
      <c r="E15" s="21" t="s">
        <v>248</v>
      </c>
      <c r="F15" s="2"/>
      <c r="G15" s="2"/>
      <c r="H15" s="2"/>
      <c r="I15" s="2"/>
      <c r="J15" s="2"/>
      <c r="K15" s="2"/>
      <c r="L15" s="2"/>
      <c r="M15" s="21" t="s">
        <v>3843</v>
      </c>
      <c r="N15" s="21" t="s">
        <v>1105</v>
      </c>
      <c r="O15" s="21" t="s">
        <v>3844</v>
      </c>
      <c r="P15" s="2" t="s">
        <v>3845</v>
      </c>
      <c r="S15" s="15" t="str">
        <f>IFERROR(__xludf.DUMMYFUNCTION("""COMPUTED_VALUE"""),"предлог с")</f>
        <v>предлог с</v>
      </c>
      <c r="T15" s="15">
        <f>IFERROR(__xludf.DUMMYFUNCTION("""COMPUTED_VALUE"""),1.0)</f>
        <v>1</v>
      </c>
    </row>
    <row r="16">
      <c r="A16" s="4" t="s">
        <v>32</v>
      </c>
      <c r="B16" s="20">
        <v>3717.0</v>
      </c>
      <c r="C16" s="20">
        <v>997840.0</v>
      </c>
      <c r="D16" s="20">
        <v>1004450.0</v>
      </c>
      <c r="E16" s="21" t="s">
        <v>248</v>
      </c>
      <c r="F16" s="2"/>
      <c r="G16" s="2"/>
      <c r="H16" s="2"/>
      <c r="I16" s="2"/>
      <c r="J16" s="2"/>
      <c r="K16" s="2"/>
      <c r="L16" s="2"/>
      <c r="M16" s="21" t="s">
        <v>3846</v>
      </c>
      <c r="N16" s="21" t="s">
        <v>1110</v>
      </c>
      <c r="O16" s="21" t="s">
        <v>3847</v>
      </c>
      <c r="P16" s="2" t="s">
        <v>1300</v>
      </c>
      <c r="S16" s="15" t="str">
        <f>IFERROR(__xludf.DUMMYFUNCTION("""COMPUTED_VALUE"""),"предлог со")</f>
        <v>предлог со</v>
      </c>
      <c r="T16" s="15">
        <f>IFERROR(__xludf.DUMMYFUNCTION("""COMPUTED_VALUE"""),1.0)</f>
        <v>1</v>
      </c>
    </row>
    <row r="17">
      <c r="A17" s="4" t="s">
        <v>32</v>
      </c>
      <c r="B17" s="20">
        <v>3796.0</v>
      </c>
      <c r="C17" s="20">
        <v>1243670.0</v>
      </c>
      <c r="D17" s="20">
        <v>1248490.0</v>
      </c>
      <c r="E17" s="21" t="s">
        <v>248</v>
      </c>
      <c r="F17" s="2"/>
      <c r="G17" s="2"/>
      <c r="H17" s="2"/>
      <c r="I17" s="2"/>
      <c r="J17" s="2"/>
      <c r="K17" s="2"/>
      <c r="L17" s="2"/>
      <c r="M17" s="21" t="s">
        <v>3848</v>
      </c>
      <c r="N17" s="21" t="s">
        <v>1110</v>
      </c>
      <c r="O17" s="21" t="s">
        <v>3849</v>
      </c>
      <c r="P17" s="2" t="s">
        <v>3845</v>
      </c>
    </row>
    <row r="18">
      <c r="A18" s="4" t="s">
        <v>32</v>
      </c>
      <c r="B18" s="20">
        <v>3884.0</v>
      </c>
      <c r="C18" s="20">
        <v>1496215.0</v>
      </c>
      <c r="D18" s="20">
        <v>1498285.0</v>
      </c>
      <c r="E18" s="21" t="s">
        <v>248</v>
      </c>
      <c r="F18" s="2"/>
      <c r="G18" s="2"/>
      <c r="H18" s="2"/>
      <c r="I18" s="2"/>
      <c r="J18" s="2"/>
      <c r="K18" s="2"/>
      <c r="L18" s="2"/>
      <c r="M18" s="21" t="s">
        <v>1480</v>
      </c>
      <c r="N18" s="21" t="s">
        <v>1110</v>
      </c>
      <c r="O18" s="21" t="s">
        <v>3850</v>
      </c>
      <c r="P18" s="2" t="s">
        <v>1947</v>
      </c>
    </row>
    <row r="19">
      <c r="A19" s="4" t="s">
        <v>32</v>
      </c>
      <c r="B19" s="20">
        <v>4408.0</v>
      </c>
      <c r="C19" s="20">
        <v>3175420.0</v>
      </c>
      <c r="D19" s="20">
        <v>3184220.0</v>
      </c>
      <c r="E19" s="21" t="s">
        <v>248</v>
      </c>
      <c r="F19" s="2"/>
      <c r="G19" s="2"/>
      <c r="H19" s="2"/>
      <c r="I19" s="2"/>
      <c r="J19" s="2"/>
      <c r="K19" s="2"/>
      <c r="L19" s="2"/>
      <c r="M19" s="21" t="s">
        <v>3851</v>
      </c>
      <c r="N19" s="21" t="s">
        <v>1110</v>
      </c>
      <c r="O19" s="21" t="s">
        <v>3852</v>
      </c>
      <c r="P19" s="2" t="s">
        <v>3835</v>
      </c>
    </row>
    <row r="20">
      <c r="A20" s="4" t="s">
        <v>32</v>
      </c>
      <c r="B20" s="20">
        <v>4411.0</v>
      </c>
      <c r="C20" s="20">
        <v>3186850.0</v>
      </c>
      <c r="D20" s="20">
        <v>3190630.0</v>
      </c>
      <c r="E20" s="21" t="s">
        <v>248</v>
      </c>
      <c r="F20" s="2"/>
      <c r="G20" s="2"/>
      <c r="H20" s="2"/>
      <c r="I20" s="2"/>
      <c r="J20" s="2"/>
      <c r="K20" s="2"/>
      <c r="L20" s="2"/>
      <c r="M20" s="21" t="s">
        <v>3853</v>
      </c>
      <c r="N20" s="21" t="s">
        <v>1110</v>
      </c>
      <c r="O20" s="21" t="s">
        <v>3854</v>
      </c>
      <c r="P20" s="2" t="s">
        <v>3855</v>
      </c>
    </row>
    <row r="21">
      <c r="A21" s="4" t="s">
        <v>32</v>
      </c>
      <c r="B21" s="20">
        <v>4412.0</v>
      </c>
      <c r="C21" s="20">
        <v>3191170.0</v>
      </c>
      <c r="D21" s="20">
        <v>3198320.0</v>
      </c>
      <c r="E21" s="21" t="s">
        <v>248</v>
      </c>
      <c r="F21" s="2"/>
      <c r="G21" s="2"/>
      <c r="H21" s="2"/>
      <c r="I21" s="2"/>
      <c r="J21" s="2"/>
      <c r="K21" s="2"/>
      <c r="L21" s="2"/>
      <c r="M21" s="21" t="s">
        <v>3856</v>
      </c>
      <c r="N21" s="21" t="s">
        <v>1110</v>
      </c>
      <c r="O21" s="22" t="str">
        <f> из досок, из досок.</f>
        <v>#ERROR!</v>
      </c>
      <c r="P21" s="2" t="s">
        <v>1947</v>
      </c>
    </row>
    <row r="22">
      <c r="A22" s="4" t="s">
        <v>32</v>
      </c>
      <c r="B22" s="20">
        <v>5080.0</v>
      </c>
      <c r="C22" s="20">
        <v>5080620.0</v>
      </c>
      <c r="D22" s="20">
        <v>5082920.0</v>
      </c>
      <c r="E22" s="21" t="s">
        <v>248</v>
      </c>
      <c r="F22" s="2"/>
      <c r="G22" s="2"/>
      <c r="H22" s="2"/>
      <c r="I22" s="2"/>
      <c r="J22" s="2"/>
      <c r="K22" s="2"/>
      <c r="L22" s="2"/>
      <c r="M22" s="21" t="s">
        <v>3857</v>
      </c>
      <c r="N22" s="21" t="s">
        <v>1110</v>
      </c>
      <c r="O22" s="21" t="s">
        <v>3858</v>
      </c>
      <c r="P22" s="2" t="s">
        <v>3845</v>
      </c>
    </row>
    <row r="23">
      <c r="A23" s="4" t="s">
        <v>32</v>
      </c>
      <c r="B23" s="20">
        <v>5116.0</v>
      </c>
      <c r="C23" s="20">
        <v>5174460.0</v>
      </c>
      <c r="D23" s="20">
        <v>5176500.0</v>
      </c>
      <c r="E23" s="21" t="s">
        <v>248</v>
      </c>
      <c r="F23" s="2"/>
      <c r="G23" s="2"/>
      <c r="H23" s="2"/>
      <c r="I23" s="2"/>
      <c r="J23" s="2"/>
      <c r="K23" s="2"/>
      <c r="L23" s="2"/>
      <c r="M23" s="21" t="s">
        <v>3859</v>
      </c>
      <c r="N23" s="21" t="s">
        <v>1110</v>
      </c>
      <c r="O23" s="21" t="s">
        <v>3860</v>
      </c>
      <c r="P23" s="2" t="s">
        <v>3845</v>
      </c>
    </row>
    <row r="24">
      <c r="A24" s="4" t="s">
        <v>32</v>
      </c>
      <c r="B24" s="20">
        <v>5254.0</v>
      </c>
      <c r="C24" s="20">
        <v>1988900.0</v>
      </c>
      <c r="D24" s="20">
        <v>2130100.0</v>
      </c>
      <c r="E24" s="21" t="s">
        <v>284</v>
      </c>
      <c r="F24" s="2"/>
      <c r="G24" s="2"/>
      <c r="H24" s="2"/>
      <c r="I24" s="2"/>
      <c r="J24" s="2"/>
      <c r="K24" s="2"/>
      <c r="L24" s="2"/>
      <c r="M24" s="21" t="s">
        <v>3861</v>
      </c>
      <c r="N24" s="21" t="s">
        <v>1110</v>
      </c>
      <c r="O24" s="21" t="s">
        <v>3862</v>
      </c>
      <c r="P24" s="2" t="s">
        <v>1947</v>
      </c>
    </row>
    <row r="25">
      <c r="A25" s="4" t="s">
        <v>32</v>
      </c>
      <c r="B25" s="20">
        <v>5271.0</v>
      </c>
      <c r="C25" s="20">
        <v>3091200.0</v>
      </c>
      <c r="D25" s="20">
        <v>3164300.0</v>
      </c>
      <c r="E25" s="21" t="s">
        <v>284</v>
      </c>
      <c r="F25" s="2"/>
      <c r="G25" s="2"/>
      <c r="H25" s="2"/>
      <c r="I25" s="2"/>
      <c r="J25" s="2"/>
      <c r="K25" s="2"/>
      <c r="L25" s="2"/>
      <c r="M25" s="21" t="s">
        <v>3863</v>
      </c>
      <c r="N25" s="21" t="s">
        <v>1110</v>
      </c>
      <c r="O25" s="21" t="s">
        <v>3864</v>
      </c>
      <c r="P25" s="2" t="s">
        <v>3148</v>
      </c>
    </row>
    <row r="26">
      <c r="A26" s="4" t="s">
        <v>32</v>
      </c>
      <c r="B26" s="20">
        <v>5688.0</v>
      </c>
      <c r="C26" s="20">
        <v>2918110.0</v>
      </c>
      <c r="D26" s="20">
        <v>2923440.0</v>
      </c>
      <c r="E26" s="21" t="s">
        <v>304</v>
      </c>
      <c r="F26" s="2"/>
      <c r="G26" s="21" t="s">
        <v>305</v>
      </c>
      <c r="H26" s="2"/>
      <c r="I26" s="20">
        <v>1934.0</v>
      </c>
      <c r="J26" s="21" t="s">
        <v>63</v>
      </c>
      <c r="K26" s="21" t="s">
        <v>306</v>
      </c>
      <c r="L26" s="21" t="s">
        <v>65</v>
      </c>
      <c r="M26" s="21" t="s">
        <v>3865</v>
      </c>
      <c r="N26" s="21" t="s">
        <v>1110</v>
      </c>
      <c r="O26" s="21" t="s">
        <v>3866</v>
      </c>
      <c r="P26" s="2" t="s">
        <v>1300</v>
      </c>
    </row>
    <row r="27">
      <c r="A27" s="4" t="s">
        <v>32</v>
      </c>
      <c r="B27" s="23">
        <v>1729.0</v>
      </c>
      <c r="C27" s="23">
        <v>93015.0</v>
      </c>
      <c r="D27" s="23">
        <v>94385.0</v>
      </c>
      <c r="E27" s="3" t="s">
        <v>879</v>
      </c>
      <c r="F27" s="2"/>
      <c r="G27" s="2"/>
      <c r="H27" s="2"/>
      <c r="I27" s="23">
        <v>1933.0</v>
      </c>
      <c r="J27" s="2"/>
      <c r="K27" s="3" t="s">
        <v>881</v>
      </c>
      <c r="L27" s="3" t="s">
        <v>880</v>
      </c>
      <c r="M27" s="3" t="s">
        <v>3867</v>
      </c>
      <c r="N27" s="3" t="s">
        <v>1110</v>
      </c>
      <c r="O27" s="3" t="s">
        <v>3868</v>
      </c>
      <c r="P27" s="3" t="s">
        <v>3148</v>
      </c>
    </row>
    <row r="28">
      <c r="A28" s="4" t="s">
        <v>32</v>
      </c>
      <c r="B28" s="5">
        <v>3884.0</v>
      </c>
      <c r="C28" s="5">
        <v>1496215.0</v>
      </c>
      <c r="D28" s="5">
        <v>1498285.0</v>
      </c>
      <c r="E28" s="2" t="s">
        <v>248</v>
      </c>
      <c r="F28" s="2"/>
      <c r="G28" s="2"/>
      <c r="H28" s="2"/>
      <c r="I28" s="2"/>
      <c r="J28" s="2"/>
      <c r="K28" s="2"/>
      <c r="L28" s="2"/>
      <c r="M28" s="2" t="s">
        <v>3869</v>
      </c>
      <c r="N28" s="2" t="s">
        <v>1110</v>
      </c>
      <c r="O28" s="2" t="s">
        <v>3870</v>
      </c>
      <c r="P28" s="2" t="s">
        <v>3845</v>
      </c>
    </row>
    <row r="29">
      <c r="A29" s="4" t="s">
        <v>32</v>
      </c>
      <c r="B29" s="5">
        <v>4056.0</v>
      </c>
      <c r="C29" s="5">
        <v>2095080.0</v>
      </c>
      <c r="D29" s="5">
        <v>2096330.0</v>
      </c>
      <c r="E29" s="2" t="s">
        <v>248</v>
      </c>
      <c r="F29" s="2"/>
      <c r="G29" s="2"/>
      <c r="H29" s="2"/>
      <c r="I29" s="2"/>
      <c r="J29" s="2"/>
      <c r="K29" s="2"/>
      <c r="L29" s="2"/>
      <c r="M29" s="2" t="s">
        <v>3871</v>
      </c>
      <c r="N29" s="2" t="s">
        <v>1110</v>
      </c>
      <c r="O29" s="2" t="s">
        <v>3872</v>
      </c>
      <c r="P29" s="2" t="s">
        <v>3845</v>
      </c>
    </row>
    <row r="30">
      <c r="A30" s="4" t="s">
        <v>32</v>
      </c>
      <c r="B30" s="5">
        <v>4462.0</v>
      </c>
      <c r="C30" s="5">
        <v>3379720.0</v>
      </c>
      <c r="D30" s="5">
        <v>3381540.0</v>
      </c>
      <c r="E30" s="2" t="s">
        <v>248</v>
      </c>
      <c r="F30" s="2"/>
      <c r="G30" s="2"/>
      <c r="H30" s="2"/>
      <c r="I30" s="2"/>
      <c r="J30" s="2"/>
      <c r="K30" s="2"/>
      <c r="L30" s="2"/>
      <c r="M30" s="2" t="s">
        <v>3873</v>
      </c>
      <c r="N30" s="2" t="s">
        <v>1110</v>
      </c>
      <c r="O30" s="2" t="s">
        <v>3874</v>
      </c>
      <c r="P30" s="2" t="s">
        <v>803</v>
      </c>
    </row>
    <row r="31">
      <c r="A31" s="17" t="s">
        <v>342</v>
      </c>
      <c r="B31" s="8">
        <v>678.0</v>
      </c>
      <c r="C31" s="8">
        <v>478270.0</v>
      </c>
      <c r="D31" s="8">
        <v>481720.0</v>
      </c>
      <c r="E31" s="9" t="s">
        <v>387</v>
      </c>
      <c r="F31" s="9"/>
      <c r="G31" s="9" t="s">
        <v>388</v>
      </c>
      <c r="H31" s="9" t="s">
        <v>345</v>
      </c>
      <c r="I31" s="8">
        <v>1932.0</v>
      </c>
      <c r="J31" s="9" t="s">
        <v>389</v>
      </c>
      <c r="K31" s="9" t="s">
        <v>390</v>
      </c>
      <c r="L31" s="9" t="s">
        <v>391</v>
      </c>
      <c r="M31" s="9" t="s">
        <v>3875</v>
      </c>
      <c r="N31" s="9" t="s">
        <v>1110</v>
      </c>
      <c r="O31" s="12" t="str">
        <f>-за&gt;папки.</f>
        <v>#NAME?</v>
      </c>
      <c r="P31" s="9" t="s">
        <v>2275</v>
      </c>
    </row>
    <row r="32">
      <c r="A32" s="17" t="s">
        <v>342</v>
      </c>
      <c r="B32" s="8">
        <v>1540.0</v>
      </c>
      <c r="C32" s="8">
        <v>574165.0</v>
      </c>
      <c r="D32" s="8">
        <v>584544.0</v>
      </c>
      <c r="E32" s="9" t="s">
        <v>425</v>
      </c>
      <c r="F32" s="9"/>
      <c r="G32" s="9" t="s">
        <v>426</v>
      </c>
      <c r="H32" s="9" t="s">
        <v>345</v>
      </c>
      <c r="I32" s="8">
        <v>1953.0</v>
      </c>
      <c r="J32" s="9" t="s">
        <v>346</v>
      </c>
      <c r="K32" s="9" t="s">
        <v>43</v>
      </c>
      <c r="L32" s="9" t="s">
        <v>43</v>
      </c>
      <c r="M32" s="9" t="s">
        <v>3876</v>
      </c>
      <c r="N32" s="9" t="s">
        <v>1110</v>
      </c>
      <c r="O32" s="9" t="s">
        <v>3877</v>
      </c>
      <c r="P32" s="9" t="s">
        <v>1300</v>
      </c>
    </row>
    <row r="33">
      <c r="A33" s="17" t="s">
        <v>342</v>
      </c>
      <c r="B33" s="8">
        <v>2948.0</v>
      </c>
      <c r="C33" s="8">
        <v>3201308.0</v>
      </c>
      <c r="D33" s="8">
        <v>3221980.0</v>
      </c>
      <c r="E33" s="9" t="s">
        <v>472</v>
      </c>
      <c r="F33" s="9"/>
      <c r="G33" s="9" t="s">
        <v>344</v>
      </c>
      <c r="H33" s="9" t="s">
        <v>345</v>
      </c>
      <c r="I33" s="8">
        <v>1940.0</v>
      </c>
      <c r="J33" s="9" t="s">
        <v>346</v>
      </c>
      <c r="K33" s="9" t="s">
        <v>347</v>
      </c>
      <c r="L33" s="9" t="s">
        <v>43</v>
      </c>
      <c r="M33" s="9" t="s">
        <v>3878</v>
      </c>
      <c r="N33" s="9" t="s">
        <v>1110</v>
      </c>
      <c r="O33" s="9" t="s">
        <v>3879</v>
      </c>
      <c r="P33" s="9" t="s">
        <v>2275</v>
      </c>
    </row>
    <row r="34">
      <c r="A34" s="17" t="s">
        <v>342</v>
      </c>
      <c r="B34" s="8">
        <v>3263.0</v>
      </c>
      <c r="C34" s="8">
        <v>4388041.0</v>
      </c>
      <c r="D34" s="8">
        <v>4394437.0</v>
      </c>
      <c r="E34" s="9" t="s">
        <v>483</v>
      </c>
      <c r="F34" s="9"/>
      <c r="G34" s="9" t="s">
        <v>426</v>
      </c>
      <c r="H34" s="9" t="s">
        <v>345</v>
      </c>
      <c r="I34" s="8">
        <v>1953.0</v>
      </c>
      <c r="J34" s="9" t="s">
        <v>346</v>
      </c>
      <c r="K34" s="9" t="s">
        <v>43</v>
      </c>
      <c r="L34" s="9" t="s">
        <v>43</v>
      </c>
      <c r="M34" s="9" t="s">
        <v>3880</v>
      </c>
      <c r="N34" s="9" t="s">
        <v>1110</v>
      </c>
      <c r="O34" s="9" t="s">
        <v>3881</v>
      </c>
      <c r="P34" s="9" t="s">
        <v>2275</v>
      </c>
    </row>
    <row r="35">
      <c r="A35" s="17" t="s">
        <v>342</v>
      </c>
      <c r="B35" s="8">
        <v>4606.0</v>
      </c>
      <c r="C35" s="8">
        <v>6125030.0</v>
      </c>
      <c r="D35" s="8">
        <v>6128468.0</v>
      </c>
      <c r="E35" s="9" t="s">
        <v>511</v>
      </c>
      <c r="F35" s="9"/>
      <c r="G35" s="9" t="s">
        <v>512</v>
      </c>
      <c r="H35" s="9" t="s">
        <v>345</v>
      </c>
      <c r="I35" s="8">
        <v>1950.0</v>
      </c>
      <c r="J35" s="9" t="s">
        <v>346</v>
      </c>
      <c r="K35" s="9" t="s">
        <v>391</v>
      </c>
      <c r="L35" s="9" t="s">
        <v>391</v>
      </c>
      <c r="M35" s="9" t="s">
        <v>3882</v>
      </c>
      <c r="N35" s="9" t="s">
        <v>1110</v>
      </c>
      <c r="O35" s="9" t="s">
        <v>3883</v>
      </c>
      <c r="P35" s="9" t="s">
        <v>2275</v>
      </c>
    </row>
    <row r="36">
      <c r="A36" s="17" t="s">
        <v>342</v>
      </c>
      <c r="B36" s="8">
        <v>3469.0</v>
      </c>
      <c r="C36" s="8">
        <v>5342643.0</v>
      </c>
      <c r="D36" s="8">
        <v>5345230.0</v>
      </c>
      <c r="E36" s="9" t="s">
        <v>483</v>
      </c>
      <c r="F36" s="9"/>
      <c r="G36" s="9" t="s">
        <v>426</v>
      </c>
      <c r="H36" s="9" t="s">
        <v>345</v>
      </c>
      <c r="I36" s="8">
        <v>1953.0</v>
      </c>
      <c r="J36" s="9" t="s">
        <v>346</v>
      </c>
      <c r="K36" s="9" t="s">
        <v>43</v>
      </c>
      <c r="L36" s="9" t="s">
        <v>43</v>
      </c>
      <c r="M36" s="9" t="s">
        <v>3884</v>
      </c>
      <c r="N36" s="9" t="s">
        <v>1110</v>
      </c>
      <c r="O36" s="9" t="s">
        <v>3885</v>
      </c>
      <c r="P36" s="9" t="s">
        <v>3886</v>
      </c>
    </row>
    <row r="37">
      <c r="A37" s="17" t="s">
        <v>342</v>
      </c>
      <c r="B37" s="8">
        <v>4153.0</v>
      </c>
      <c r="C37" s="8">
        <v>3945831.0</v>
      </c>
      <c r="D37" s="8">
        <v>3955013.0</v>
      </c>
      <c r="E37" s="9" t="s">
        <v>511</v>
      </c>
      <c r="F37" s="9"/>
      <c r="G37" s="9" t="s">
        <v>512</v>
      </c>
      <c r="H37" s="9" t="s">
        <v>345</v>
      </c>
      <c r="I37" s="8">
        <v>1950.0</v>
      </c>
      <c r="J37" s="9" t="s">
        <v>346</v>
      </c>
      <c r="K37" s="9" t="s">
        <v>391</v>
      </c>
      <c r="L37" s="9" t="s">
        <v>391</v>
      </c>
      <c r="M37" s="9" t="s">
        <v>3887</v>
      </c>
      <c r="N37" s="9" t="s">
        <v>1110</v>
      </c>
      <c r="O37" s="9" t="s">
        <v>3888</v>
      </c>
      <c r="P37" s="9" t="s">
        <v>3886</v>
      </c>
    </row>
    <row r="38">
      <c r="A38" s="17" t="s">
        <v>342</v>
      </c>
      <c r="B38" s="8">
        <v>5877.0</v>
      </c>
      <c r="C38" s="8">
        <v>713150.0</v>
      </c>
      <c r="D38" s="8">
        <v>715040.0</v>
      </c>
      <c r="E38" s="9" t="s">
        <v>610</v>
      </c>
      <c r="F38" s="9"/>
      <c r="G38" s="9" t="s">
        <v>611</v>
      </c>
      <c r="H38" s="9" t="s">
        <v>377</v>
      </c>
      <c r="I38" s="8">
        <v>1941.0</v>
      </c>
      <c r="J38" s="9" t="s">
        <v>346</v>
      </c>
      <c r="K38" s="9" t="s">
        <v>43</v>
      </c>
      <c r="L38" s="9" t="s">
        <v>43</v>
      </c>
      <c r="M38" s="9" t="s">
        <v>3889</v>
      </c>
      <c r="N38" s="9" t="s">
        <v>1110</v>
      </c>
      <c r="O38" s="9" t="s">
        <v>3890</v>
      </c>
      <c r="P38" s="9" t="s">
        <v>3891</v>
      </c>
    </row>
    <row r="39">
      <c r="A39" s="17" t="s">
        <v>342</v>
      </c>
      <c r="B39" s="8">
        <v>5877.0</v>
      </c>
      <c r="C39" s="8">
        <v>713150.0</v>
      </c>
      <c r="D39" s="8">
        <v>715040.0</v>
      </c>
      <c r="E39" s="9" t="s">
        <v>610</v>
      </c>
      <c r="F39" s="9"/>
      <c r="G39" s="9" t="s">
        <v>611</v>
      </c>
      <c r="H39" s="9" t="s">
        <v>377</v>
      </c>
      <c r="I39" s="8">
        <v>1941.0</v>
      </c>
      <c r="J39" s="9" t="s">
        <v>346</v>
      </c>
      <c r="K39" s="9" t="s">
        <v>43</v>
      </c>
      <c r="L39" s="9" t="s">
        <v>43</v>
      </c>
      <c r="M39" s="9" t="s">
        <v>3889</v>
      </c>
      <c r="N39" s="9" t="s">
        <v>1110</v>
      </c>
      <c r="O39" s="9" t="s">
        <v>3890</v>
      </c>
      <c r="P39" s="9" t="s">
        <v>3892</v>
      </c>
    </row>
    <row r="40">
      <c r="A40" s="17" t="s">
        <v>342</v>
      </c>
      <c r="B40" s="8">
        <v>7253.0</v>
      </c>
      <c r="C40" s="8">
        <v>4552847.0</v>
      </c>
      <c r="D40" s="8">
        <v>4556621.0</v>
      </c>
      <c r="E40" s="9" t="s">
        <v>633</v>
      </c>
      <c r="F40" s="9"/>
      <c r="G40" s="9" t="s">
        <v>426</v>
      </c>
      <c r="H40" s="9" t="s">
        <v>345</v>
      </c>
      <c r="I40" s="8">
        <v>1953.0</v>
      </c>
      <c r="J40" s="9" t="s">
        <v>346</v>
      </c>
      <c r="K40" s="9" t="s">
        <v>43</v>
      </c>
      <c r="L40" s="9" t="s">
        <v>43</v>
      </c>
      <c r="M40" s="9" t="s">
        <v>3893</v>
      </c>
      <c r="N40" s="9" t="s">
        <v>1110</v>
      </c>
      <c r="O40" s="9" t="s">
        <v>3894</v>
      </c>
      <c r="P40" s="9" t="s">
        <v>3835</v>
      </c>
    </row>
    <row r="41">
      <c r="A41" s="17" t="s">
        <v>342</v>
      </c>
      <c r="B41" s="8">
        <v>2939.0</v>
      </c>
      <c r="C41" s="8">
        <v>3119385.0</v>
      </c>
      <c r="D41" s="8">
        <v>3122754.0</v>
      </c>
      <c r="E41" s="9" t="s">
        <v>472</v>
      </c>
      <c r="F41" s="9"/>
      <c r="G41" s="9" t="s">
        <v>344</v>
      </c>
      <c r="H41" s="9" t="s">
        <v>345</v>
      </c>
      <c r="I41" s="8">
        <v>1940.0</v>
      </c>
      <c r="J41" s="9" t="s">
        <v>346</v>
      </c>
      <c r="K41" s="9" t="s">
        <v>347</v>
      </c>
      <c r="L41" s="9" t="s">
        <v>43</v>
      </c>
      <c r="M41" s="9"/>
      <c r="N41" s="9" t="s">
        <v>1105</v>
      </c>
      <c r="O41" s="9" t="s">
        <v>3895</v>
      </c>
      <c r="P41" s="9" t="s">
        <v>3896</v>
      </c>
    </row>
    <row r="42">
      <c r="A42" s="17" t="s">
        <v>342</v>
      </c>
      <c r="B42" s="8">
        <v>2941.0</v>
      </c>
      <c r="C42" s="8">
        <v>3133261.0</v>
      </c>
      <c r="D42" s="8">
        <v>3145692.0</v>
      </c>
      <c r="E42" s="9" t="s">
        <v>472</v>
      </c>
      <c r="F42" s="9"/>
      <c r="G42" s="9" t="s">
        <v>344</v>
      </c>
      <c r="H42" s="9" t="s">
        <v>345</v>
      </c>
      <c r="I42" s="8">
        <v>1940.0</v>
      </c>
      <c r="J42" s="9" t="s">
        <v>346</v>
      </c>
      <c r="K42" s="9" t="s">
        <v>347</v>
      </c>
      <c r="L42" s="9" t="s">
        <v>43</v>
      </c>
      <c r="M42" s="9" t="s">
        <v>338</v>
      </c>
      <c r="N42" s="9" t="s">
        <v>1110</v>
      </c>
      <c r="O42" s="9" t="s">
        <v>3897</v>
      </c>
      <c r="P42" s="9" t="s">
        <v>3896</v>
      </c>
    </row>
    <row r="43">
      <c r="A43" s="17" t="s">
        <v>342</v>
      </c>
      <c r="B43" s="8">
        <v>2944.0</v>
      </c>
      <c r="C43" s="8">
        <v>3162015.0</v>
      </c>
      <c r="D43" s="8">
        <v>3166261.0</v>
      </c>
      <c r="E43" s="9" t="s">
        <v>472</v>
      </c>
      <c r="F43" s="9"/>
      <c r="G43" s="9" t="s">
        <v>344</v>
      </c>
      <c r="H43" s="9" t="s">
        <v>345</v>
      </c>
      <c r="I43" s="8">
        <v>1940.0</v>
      </c>
      <c r="J43" s="9" t="s">
        <v>346</v>
      </c>
      <c r="K43" s="9" t="s">
        <v>347</v>
      </c>
      <c r="L43" s="9" t="s">
        <v>43</v>
      </c>
      <c r="M43" s="9" t="s">
        <v>3898</v>
      </c>
      <c r="N43" s="9" t="s">
        <v>1110</v>
      </c>
      <c r="O43" s="9" t="s">
        <v>3899</v>
      </c>
      <c r="P43" s="9" t="s">
        <v>3896</v>
      </c>
    </row>
    <row r="44">
      <c r="A44" s="18" t="s">
        <v>794</v>
      </c>
      <c r="B44" s="8">
        <v>954.0</v>
      </c>
      <c r="C44" s="8">
        <v>2650909.0</v>
      </c>
      <c r="D44" s="8">
        <v>2657892.0</v>
      </c>
      <c r="E44" s="9" t="s">
        <v>804</v>
      </c>
      <c r="F44" s="9"/>
      <c r="G44" s="9" t="s">
        <v>805</v>
      </c>
      <c r="H44" s="9"/>
      <c r="I44" s="8">
        <v>1958.0</v>
      </c>
      <c r="J44" s="9" t="s">
        <v>806</v>
      </c>
      <c r="K44" s="9"/>
      <c r="L44" s="9"/>
      <c r="M44" s="9" t="s">
        <v>3900</v>
      </c>
      <c r="N44" s="9" t="s">
        <v>1110</v>
      </c>
      <c r="O44" s="9" t="s">
        <v>3901</v>
      </c>
      <c r="P44" s="9" t="s">
        <v>2275</v>
      </c>
    </row>
    <row r="45">
      <c r="A45" s="18" t="s">
        <v>794</v>
      </c>
      <c r="B45" s="8">
        <v>2105.0</v>
      </c>
      <c r="C45" s="8">
        <v>1205175.0</v>
      </c>
      <c r="D45" s="8">
        <v>1208640.0</v>
      </c>
      <c r="E45" s="9" t="s">
        <v>879</v>
      </c>
      <c r="F45" s="9"/>
      <c r="G45" s="9" t="s">
        <v>880</v>
      </c>
      <c r="H45" s="9"/>
      <c r="I45" s="8">
        <v>1933.0</v>
      </c>
      <c r="J45" s="9" t="s">
        <v>881</v>
      </c>
      <c r="K45" s="9"/>
      <c r="L45" s="9"/>
      <c r="M45" s="9"/>
      <c r="N45" s="9" t="s">
        <v>1110</v>
      </c>
      <c r="O45" s="9" t="s">
        <v>3902</v>
      </c>
      <c r="P45" s="9" t="s">
        <v>2275</v>
      </c>
    </row>
    <row r="46">
      <c r="A46" s="18" t="s">
        <v>794</v>
      </c>
      <c r="B46" s="8">
        <v>3276.0</v>
      </c>
      <c r="C46" s="8">
        <v>171915.0</v>
      </c>
      <c r="D46" s="8">
        <v>177557.0</v>
      </c>
      <c r="E46" s="9" t="s">
        <v>944</v>
      </c>
      <c r="F46" s="9"/>
      <c r="G46" s="9" t="s">
        <v>945</v>
      </c>
      <c r="H46" s="9"/>
      <c r="I46" s="8">
        <v>1973.0</v>
      </c>
      <c r="J46" s="9" t="s">
        <v>946</v>
      </c>
      <c r="K46" s="9"/>
      <c r="L46" s="9"/>
      <c r="M46" s="9" t="s">
        <v>3903</v>
      </c>
      <c r="N46" s="9" t="s">
        <v>1110</v>
      </c>
      <c r="O46" s="9" t="s">
        <v>3904</v>
      </c>
      <c r="P46" s="9" t="s">
        <v>2275</v>
      </c>
    </row>
    <row r="47">
      <c r="A47" s="18" t="s">
        <v>794</v>
      </c>
      <c r="B47" s="8">
        <v>3733.0</v>
      </c>
      <c r="C47" s="8">
        <v>398419.0</v>
      </c>
      <c r="D47" s="8">
        <v>416069.0</v>
      </c>
      <c r="E47" s="9" t="s">
        <v>966</v>
      </c>
      <c r="F47" s="9"/>
      <c r="G47" s="9" t="s">
        <v>967</v>
      </c>
      <c r="H47" s="9"/>
      <c r="I47" s="8">
        <v>1955.0</v>
      </c>
      <c r="J47" s="9" t="s">
        <v>881</v>
      </c>
      <c r="K47" s="9"/>
      <c r="L47" s="9"/>
      <c r="M47" s="9" t="s">
        <v>3905</v>
      </c>
      <c r="N47" s="9" t="s">
        <v>1110</v>
      </c>
      <c r="O47" s="9" t="s">
        <v>3906</v>
      </c>
      <c r="P47" s="9" t="s">
        <v>2275</v>
      </c>
    </row>
    <row r="48">
      <c r="A48" s="18" t="s">
        <v>794</v>
      </c>
      <c r="B48" s="8">
        <v>4462.0</v>
      </c>
      <c r="C48" s="8">
        <v>1429312.0</v>
      </c>
      <c r="D48" s="8">
        <v>1431853.0</v>
      </c>
      <c r="E48" s="9" t="s">
        <v>1000</v>
      </c>
      <c r="F48" s="9"/>
      <c r="G48" s="9" t="s">
        <v>1001</v>
      </c>
      <c r="H48" s="9"/>
      <c r="I48" s="8">
        <v>1932.0</v>
      </c>
      <c r="J48" s="9" t="s">
        <v>389</v>
      </c>
      <c r="K48" s="9"/>
      <c r="L48" s="9"/>
      <c r="M48" s="9" t="s">
        <v>3907</v>
      </c>
      <c r="N48" s="9" t="s">
        <v>1110</v>
      </c>
      <c r="O48" s="9" t="s">
        <v>3908</v>
      </c>
      <c r="P48" s="9" t="s">
        <v>2275</v>
      </c>
    </row>
    <row r="49">
      <c r="A49" s="18" t="s">
        <v>794</v>
      </c>
      <c r="B49" s="8">
        <v>6490.0</v>
      </c>
      <c r="C49" s="8">
        <v>88708.0</v>
      </c>
      <c r="D49" s="8">
        <v>90710.0</v>
      </c>
      <c r="E49" s="9" t="s">
        <v>1053</v>
      </c>
      <c r="F49" s="9"/>
      <c r="G49" s="9" t="s">
        <v>805</v>
      </c>
      <c r="H49" s="9"/>
      <c r="I49" s="8">
        <v>1958.0</v>
      </c>
      <c r="J49" s="9" t="s">
        <v>806</v>
      </c>
      <c r="K49" s="9"/>
      <c r="L49" s="9"/>
      <c r="M49" s="9" t="s">
        <v>3909</v>
      </c>
      <c r="N49" s="9" t="s">
        <v>1110</v>
      </c>
      <c r="O49" s="9" t="s">
        <v>3910</v>
      </c>
      <c r="P49" s="9" t="s">
        <v>2275</v>
      </c>
    </row>
    <row r="50">
      <c r="A50" s="18" t="s">
        <v>794</v>
      </c>
      <c r="B50" s="8">
        <v>3341.0</v>
      </c>
      <c r="C50" s="8">
        <v>576493.0</v>
      </c>
      <c r="D50" s="8">
        <v>580629.0</v>
      </c>
      <c r="E50" s="9" t="s">
        <v>944</v>
      </c>
      <c r="F50" s="9"/>
      <c r="G50" s="9" t="s">
        <v>945</v>
      </c>
      <c r="H50" s="9"/>
      <c r="I50" s="8">
        <v>1973.0</v>
      </c>
      <c r="J50" s="9" t="s">
        <v>946</v>
      </c>
      <c r="K50" s="9"/>
      <c r="L50" s="9"/>
      <c r="M50" s="9" t="s">
        <v>3911</v>
      </c>
      <c r="N50" s="9" t="s">
        <v>1110</v>
      </c>
      <c r="O50" s="9" t="s">
        <v>3912</v>
      </c>
      <c r="P50" s="9" t="s">
        <v>3913</v>
      </c>
    </row>
    <row r="51">
      <c r="A51" s="18" t="s">
        <v>794</v>
      </c>
      <c r="B51" s="8">
        <v>3342.0</v>
      </c>
      <c r="C51" s="8">
        <v>581479.0</v>
      </c>
      <c r="D51" s="8">
        <v>583771.0</v>
      </c>
      <c r="E51" s="9" t="s">
        <v>944</v>
      </c>
      <c r="F51" s="9"/>
      <c r="G51" s="9" t="s">
        <v>945</v>
      </c>
      <c r="H51" s="9"/>
      <c r="I51" s="8">
        <v>1973.0</v>
      </c>
      <c r="J51" s="9" t="s">
        <v>946</v>
      </c>
      <c r="K51" s="9"/>
      <c r="L51" s="9"/>
      <c r="M51" s="9" t="s">
        <v>3914</v>
      </c>
      <c r="N51" s="9" t="s">
        <v>1110</v>
      </c>
      <c r="O51" s="9" t="s">
        <v>3915</v>
      </c>
      <c r="P51" s="9" t="s">
        <v>3913</v>
      </c>
    </row>
    <row r="52">
      <c r="A52" s="18" t="s">
        <v>794</v>
      </c>
      <c r="B52" s="8">
        <v>656.0</v>
      </c>
      <c r="C52" s="8">
        <v>979914.0</v>
      </c>
      <c r="D52" s="8">
        <v>987276.0</v>
      </c>
      <c r="E52" s="9" t="s">
        <v>804</v>
      </c>
      <c r="F52" s="9"/>
      <c r="G52" s="9" t="s">
        <v>805</v>
      </c>
      <c r="H52" s="9"/>
      <c r="I52" s="8">
        <v>1958.0</v>
      </c>
      <c r="J52" s="9" t="s">
        <v>806</v>
      </c>
      <c r="K52" s="9"/>
      <c r="L52" s="9"/>
      <c r="M52" s="9" t="s">
        <v>3916</v>
      </c>
      <c r="N52" s="9" t="s">
        <v>1110</v>
      </c>
      <c r="O52" s="9" t="s">
        <v>3917</v>
      </c>
      <c r="P52" s="9" t="s">
        <v>1947</v>
      </c>
    </row>
    <row r="53">
      <c r="A53" s="18" t="s">
        <v>794</v>
      </c>
      <c r="B53" s="8">
        <v>3586.0</v>
      </c>
      <c r="C53" s="8">
        <v>2355866.0</v>
      </c>
      <c r="D53" s="8">
        <v>2360755.0</v>
      </c>
      <c r="E53" s="9" t="s">
        <v>944</v>
      </c>
      <c r="F53" s="9"/>
      <c r="G53" s="9" t="s">
        <v>945</v>
      </c>
      <c r="H53" s="9"/>
      <c r="I53" s="8">
        <v>1973.0</v>
      </c>
      <c r="J53" s="9" t="s">
        <v>946</v>
      </c>
      <c r="K53" s="9"/>
      <c r="L53" s="9"/>
      <c r="M53" s="9" t="s">
        <v>3918</v>
      </c>
      <c r="N53" s="9" t="s">
        <v>1110</v>
      </c>
      <c r="O53" s="9" t="s">
        <v>3919</v>
      </c>
      <c r="P53" s="9" t="s">
        <v>3920</v>
      </c>
    </row>
    <row r="54">
      <c r="A54" s="18" t="s">
        <v>794</v>
      </c>
      <c r="B54" s="8">
        <v>3586.0</v>
      </c>
      <c r="C54" s="8">
        <v>2355866.0</v>
      </c>
      <c r="D54" s="8">
        <v>2360755.0</v>
      </c>
      <c r="E54" s="9" t="s">
        <v>944</v>
      </c>
      <c r="F54" s="9"/>
      <c r="G54" s="9" t="s">
        <v>945</v>
      </c>
      <c r="H54" s="9"/>
      <c r="I54" s="8">
        <v>1973.0</v>
      </c>
      <c r="J54" s="9" t="s">
        <v>946</v>
      </c>
      <c r="K54" s="9"/>
      <c r="L54" s="9"/>
      <c r="M54" s="9" t="s">
        <v>3921</v>
      </c>
      <c r="N54" s="9" t="s">
        <v>1110</v>
      </c>
      <c r="O54" s="9" t="s">
        <v>3922</v>
      </c>
      <c r="P54" s="9" t="s">
        <v>3920</v>
      </c>
    </row>
    <row r="55">
      <c r="A55" s="18" t="s">
        <v>794</v>
      </c>
      <c r="B55" s="8">
        <v>3671.0</v>
      </c>
      <c r="C55" s="8">
        <v>2899698.0</v>
      </c>
      <c r="D55" s="8">
        <v>2905242.0</v>
      </c>
      <c r="E55" s="9" t="s">
        <v>944</v>
      </c>
      <c r="F55" s="9"/>
      <c r="G55" s="9" t="s">
        <v>945</v>
      </c>
      <c r="H55" s="9"/>
      <c r="I55" s="8">
        <v>1973.0</v>
      </c>
      <c r="J55" s="9" t="s">
        <v>946</v>
      </c>
      <c r="K55" s="9"/>
      <c r="L55" s="9"/>
      <c r="M55" s="9" t="s">
        <v>3923</v>
      </c>
      <c r="N55" s="9" t="s">
        <v>1105</v>
      </c>
      <c r="O55" s="9" t="s">
        <v>3924</v>
      </c>
      <c r="P55" s="9" t="s">
        <v>1947</v>
      </c>
    </row>
    <row r="56">
      <c r="A56" s="18" t="s">
        <v>794</v>
      </c>
      <c r="B56" s="8">
        <v>6296.0</v>
      </c>
      <c r="C56" s="8">
        <v>7374112.0</v>
      </c>
      <c r="D56" s="8">
        <v>7376250.0</v>
      </c>
      <c r="E56" s="9" t="s">
        <v>1045</v>
      </c>
      <c r="F56" s="9"/>
      <c r="G56" s="9" t="s">
        <v>1046</v>
      </c>
      <c r="H56" s="9"/>
      <c r="I56" s="8">
        <v>1955.0</v>
      </c>
      <c r="J56" s="9" t="s">
        <v>797</v>
      </c>
      <c r="K56" s="9"/>
      <c r="L56" s="9"/>
      <c r="M56" s="9" t="s">
        <v>2171</v>
      </c>
      <c r="N56" s="9" t="s">
        <v>1110</v>
      </c>
      <c r="O56" s="9" t="s">
        <v>3300</v>
      </c>
      <c r="P56" s="9" t="s">
        <v>1300</v>
      </c>
    </row>
    <row r="57">
      <c r="A57" s="18" t="s">
        <v>794</v>
      </c>
      <c r="B57" s="8">
        <v>6486.0</v>
      </c>
      <c r="C57" s="8">
        <v>60040.0</v>
      </c>
      <c r="D57" s="8">
        <v>66376.0</v>
      </c>
      <c r="E57" s="9" t="s">
        <v>1053</v>
      </c>
      <c r="F57" s="9"/>
      <c r="G57" s="9" t="s">
        <v>805</v>
      </c>
      <c r="H57" s="9"/>
      <c r="I57" s="8">
        <v>1958.0</v>
      </c>
      <c r="J57" s="9" t="s">
        <v>806</v>
      </c>
      <c r="K57" s="9"/>
      <c r="L57" s="9"/>
      <c r="M57" s="9" t="s">
        <v>3925</v>
      </c>
      <c r="N57" s="9" t="s">
        <v>1110</v>
      </c>
      <c r="O57" s="9" t="s">
        <v>3926</v>
      </c>
      <c r="P57" s="9" t="s">
        <v>3920</v>
      </c>
    </row>
    <row r="58">
      <c r="A58" s="18" t="s">
        <v>794</v>
      </c>
      <c r="B58" s="8">
        <v>2430.0</v>
      </c>
      <c r="C58" s="8">
        <v>2200915.0</v>
      </c>
      <c r="D58" s="8">
        <v>2209855.0</v>
      </c>
      <c r="E58" s="9" t="s">
        <v>879</v>
      </c>
      <c r="F58" s="9"/>
      <c r="G58" s="9" t="s">
        <v>880</v>
      </c>
      <c r="H58" s="9"/>
      <c r="I58" s="8">
        <v>1933.0</v>
      </c>
      <c r="J58" s="9" t="s">
        <v>881</v>
      </c>
      <c r="K58" s="9"/>
      <c r="L58" s="9"/>
      <c r="M58" s="9" t="s">
        <v>3927</v>
      </c>
      <c r="N58" s="9" t="s">
        <v>1110</v>
      </c>
      <c r="O58" s="9" t="s">
        <v>3928</v>
      </c>
      <c r="P58" s="9" t="s">
        <v>1300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row>
    <row r="2">
      <c r="A2" s="14" t="str">
        <f>IFERROR(__xludf.DUMMYFUNCTION("QUERY('предлог_с'!I2:I10000, ""SELECT I, COUNT(I) WHERE I IS NOT NULL GROUP BY I LABEL COUNT(I) ''"")"),"       ")</f>
        <v>       </v>
      </c>
      <c r="B2" s="14" t="str">
        <f>IFERROR(__xludf.DUMMYFUNCTION("""COMPUTED_VALUE"""),"")</f>
        <v/>
      </c>
      <c r="E2" s="25" t="s">
        <v>3929</v>
      </c>
      <c r="F2" s="26"/>
      <c r="G2" s="27"/>
      <c r="I2" s="25" t="s">
        <v>3929</v>
      </c>
      <c r="J2" s="27"/>
    </row>
    <row r="3">
      <c r="A3" s="15">
        <f>IFERROR(__xludf.DUMMYFUNCTION("""COMPUTED_VALUE"""),1930.0)</f>
        <v>1930</v>
      </c>
      <c r="B3" s="15">
        <f>IFERROR(__xludf.DUMMYFUNCTION("""COMPUTED_VALUE"""),12.0)</f>
        <v>12</v>
      </c>
      <c r="E3" s="15" t="str">
        <f>IFERROR(__xludf.DUMMYFUNCTION("QUERY('предлог_с'!J2:J10000, ""SELECT J, COUNT(J) WHERE J IS NOT NULL AND J != 'unknown' GROUP BY J LABEL COUNT(J) ''"")"),"высшее")</f>
        <v>высшее</v>
      </c>
      <c r="F3" s="15">
        <f>IFERROR(__xludf.DUMMYFUNCTION("""COMPUTED_VALUE"""),8.0)</f>
        <v>8</v>
      </c>
      <c r="G3" s="28">
        <f>F3/F11</f>
        <v>0.02507836991</v>
      </c>
      <c r="I3" s="15" t="s">
        <v>946</v>
      </c>
      <c r="J3" s="28">
        <v>0.025078369905956112</v>
      </c>
      <c r="N3" s="15">
        <f>IFERROR(__xludf.DUMMYFUNCTION("QUERY('предлог_из'!I2:I10000, ""SELECT I, COUNT(I) WHERE I IS NOT NULL GROUP BY I LABEL COUNT(I) ''"")"),1932.0)</f>
        <v>1932</v>
      </c>
      <c r="O3" s="15">
        <f>IFERROR(__xludf.DUMMYFUNCTION("""COMPUTED_VALUE"""),4.0)</f>
        <v>4</v>
      </c>
      <c r="Q3" s="19" t="s">
        <v>3930</v>
      </c>
      <c r="T3" s="25" t="s">
        <v>3930</v>
      </c>
      <c r="U3" s="27"/>
    </row>
    <row r="4">
      <c r="A4" s="15">
        <f>IFERROR(__xludf.DUMMYFUNCTION("""COMPUTED_VALUE"""),1932.0)</f>
        <v>1932</v>
      </c>
      <c r="B4" s="15">
        <f>IFERROR(__xludf.DUMMYFUNCTION("""COMPUTED_VALUE"""),41.0)</f>
        <v>41</v>
      </c>
      <c r="E4" s="15" t="str">
        <f>IFERROR(__xludf.DUMMYFUNCTION("""COMPUTED_VALUE"""),"начальное")</f>
        <v>начальное</v>
      </c>
      <c r="F4" s="15">
        <f>IFERROR(__xludf.DUMMYFUNCTION("""COMPUTED_VALUE"""),41.0)</f>
        <v>41</v>
      </c>
      <c r="G4" s="28">
        <f>F4/F11</f>
        <v>0.1285266458</v>
      </c>
      <c r="I4" s="15" t="s">
        <v>389</v>
      </c>
      <c r="J4" s="28">
        <v>0.12852664576802508</v>
      </c>
      <c r="N4" s="15">
        <f>IFERROR(__xludf.DUMMYFUNCTION("""COMPUTED_VALUE"""),1934.0)</f>
        <v>1934</v>
      </c>
      <c r="O4" s="15">
        <f>IFERROR(__xludf.DUMMYFUNCTION("""COMPUTED_VALUE"""),1.0)</f>
        <v>1</v>
      </c>
      <c r="Q4" s="15" t="str">
        <f>IFERROR(__xludf.DUMMYFUNCTION("QUERY('предлог_из'!J2:J10000, ""SELECT J, COUNT(J) WHERE J IS NOT NULL AND J != 'unknown' GROUP BY J LABEL COUNT(J) ''"")"),"высшее")</f>
        <v>высшее</v>
      </c>
      <c r="R4" s="15">
        <f>IFERROR(__xludf.DUMMYFUNCTION("""COMPUTED_VALUE"""),3.0)</f>
        <v>3</v>
      </c>
      <c r="T4" s="15" t="s">
        <v>946</v>
      </c>
      <c r="U4" s="15">
        <f>R4/R10</f>
        <v>0.07317073171</v>
      </c>
    </row>
    <row r="5">
      <c r="A5" s="15">
        <f>IFERROR(__xludf.DUMMYFUNCTION("""COMPUTED_VALUE"""),1933.0)</f>
        <v>1933</v>
      </c>
      <c r="B5" s="15">
        <f>IFERROR(__xludf.DUMMYFUNCTION("""COMPUTED_VALUE"""),12.0)</f>
        <v>12</v>
      </c>
      <c r="E5" s="15" t="str">
        <f>IFERROR(__xludf.DUMMYFUNCTION("""COMPUTED_VALUE"""),"неоконченное начальное")</f>
        <v>неоконченное начальное</v>
      </c>
      <c r="F5" s="15">
        <f>IFERROR(__xludf.DUMMYFUNCTION("""COMPUTED_VALUE"""),30.0)</f>
        <v>30</v>
      </c>
      <c r="G5" s="28">
        <f>F5/F11</f>
        <v>0.09404388715</v>
      </c>
      <c r="I5" s="15" t="s">
        <v>881</v>
      </c>
      <c r="J5" s="28">
        <v>0.09404388714733543</v>
      </c>
      <c r="N5" s="15">
        <f>IFERROR(__xludf.DUMMYFUNCTION("""COMPUTED_VALUE"""),1935.0)</f>
        <v>1935</v>
      </c>
      <c r="O5" s="15">
        <f>IFERROR(__xludf.DUMMYFUNCTION("""COMPUTED_VALUE"""),2.0)</f>
        <v>2</v>
      </c>
      <c r="Q5" s="15" t="str">
        <f>IFERROR(__xludf.DUMMYFUNCTION("""COMPUTED_VALUE"""),"начальное")</f>
        <v>начальное</v>
      </c>
      <c r="R5" s="15">
        <f>IFERROR(__xludf.DUMMYFUNCTION("""COMPUTED_VALUE"""),4.0)</f>
        <v>4</v>
      </c>
      <c r="T5" s="15" t="s">
        <v>389</v>
      </c>
      <c r="U5" s="15">
        <f>R5/R10</f>
        <v>0.09756097561</v>
      </c>
    </row>
    <row r="6">
      <c r="A6" s="15">
        <f>IFERROR(__xludf.DUMMYFUNCTION("""COMPUTED_VALUE"""),1934.0)</f>
        <v>1934</v>
      </c>
      <c r="B6" s="15">
        <f>IFERROR(__xludf.DUMMYFUNCTION("""COMPUTED_VALUE"""),6.0)</f>
        <v>6</v>
      </c>
      <c r="E6" s="15" t="str">
        <f>IFERROR(__xludf.DUMMYFUNCTION("""COMPUTED_VALUE"""),"неоконченное среднее")</f>
        <v>неоконченное среднее</v>
      </c>
      <c r="F6" s="15">
        <f>IFERROR(__xludf.DUMMYFUNCTION("""COMPUTED_VALUE"""),3.0)</f>
        <v>3</v>
      </c>
      <c r="G6" s="28">
        <f>F6/F11</f>
        <v>0.009404388715</v>
      </c>
      <c r="I6" s="15" t="s">
        <v>378</v>
      </c>
      <c r="J6" s="28">
        <v>0.009404388714733543</v>
      </c>
      <c r="N6" s="15">
        <f>IFERROR(__xludf.DUMMYFUNCTION("""COMPUTED_VALUE"""),1937.0)</f>
        <v>1937</v>
      </c>
      <c r="O6" s="15">
        <f>IFERROR(__xludf.DUMMYFUNCTION("""COMPUTED_VALUE"""),7.0)</f>
        <v>7</v>
      </c>
      <c r="Q6" s="15" t="str">
        <f>IFERROR(__xludf.DUMMYFUNCTION("""COMPUTED_VALUE"""),"среднее")</f>
        <v>среднее</v>
      </c>
      <c r="R6" s="15">
        <f>IFERROR(__xludf.DUMMYFUNCTION("""COMPUTED_VALUE"""),17.0)</f>
        <v>17</v>
      </c>
      <c r="T6" s="15" t="s">
        <v>346</v>
      </c>
      <c r="U6" s="15">
        <f>R6/R10</f>
        <v>0.4146341463</v>
      </c>
    </row>
    <row r="7">
      <c r="A7" s="15">
        <f>IFERROR(__xludf.DUMMYFUNCTION("""COMPUTED_VALUE"""),1935.0)</f>
        <v>1935</v>
      </c>
      <c r="B7" s="15">
        <f>IFERROR(__xludf.DUMMYFUNCTION("""COMPUTED_VALUE"""),13.0)</f>
        <v>13</v>
      </c>
      <c r="E7" s="15" t="str">
        <f>IFERROR(__xludf.DUMMYFUNCTION("""COMPUTED_VALUE"""),"среднее")</f>
        <v>среднее</v>
      </c>
      <c r="F7" s="15">
        <f>IFERROR(__xludf.DUMMYFUNCTION("""COMPUTED_VALUE"""),169.0)</f>
        <v>169</v>
      </c>
      <c r="G7" s="28">
        <f>F7/F11</f>
        <v>0.5297805643</v>
      </c>
      <c r="I7" s="15" t="s">
        <v>346</v>
      </c>
      <c r="J7" s="28">
        <v>0.5297805642633229</v>
      </c>
      <c r="N7" s="15">
        <f>IFERROR(__xludf.DUMMYFUNCTION("""COMPUTED_VALUE"""),1939.0)</f>
        <v>1939</v>
      </c>
      <c r="O7" s="15">
        <f>IFERROR(__xludf.DUMMYFUNCTION("""COMPUTED_VALUE"""),2.0)</f>
        <v>2</v>
      </c>
      <c r="Q7" s="15" t="str">
        <f>IFERROR(__xludf.DUMMYFUNCTION("""COMPUTED_VALUE"""),"среднее (10 классов)")</f>
        <v>среднее (10 классов)</v>
      </c>
      <c r="R7" s="15">
        <f>IFERROR(__xludf.DUMMYFUNCTION("""COMPUTED_VALUE"""),2.0)</f>
        <v>2</v>
      </c>
      <c r="T7" s="15" t="s">
        <v>112</v>
      </c>
      <c r="U7" s="15">
        <f>R7/R10</f>
        <v>0.0487804878</v>
      </c>
    </row>
    <row r="8">
      <c r="A8" s="15">
        <f>IFERROR(__xludf.DUMMYFUNCTION("""COMPUTED_VALUE"""),1937.0)</f>
        <v>1937</v>
      </c>
      <c r="B8" s="15">
        <f>IFERROR(__xludf.DUMMYFUNCTION("""COMPUTED_VALUE"""),20.0)</f>
        <v>20</v>
      </c>
      <c r="E8" s="15" t="str">
        <f>IFERROR(__xludf.DUMMYFUNCTION("""COMPUTED_VALUE"""),"среднее (10 классов)")</f>
        <v>среднее (10 классов)</v>
      </c>
      <c r="F8" s="15">
        <f>IFERROR(__xludf.DUMMYFUNCTION("""COMPUTED_VALUE"""),4.0)</f>
        <v>4</v>
      </c>
      <c r="G8" s="28">
        <f>F8/F11</f>
        <v>0.01253918495</v>
      </c>
      <c r="I8" s="15" t="s">
        <v>112</v>
      </c>
      <c r="J8" s="28">
        <v>0.012539184952978056</v>
      </c>
      <c r="N8" s="15">
        <f>IFERROR(__xludf.DUMMYFUNCTION("""COMPUTED_VALUE"""),1940.0)</f>
        <v>1940</v>
      </c>
      <c r="O8" s="15">
        <f>IFERROR(__xludf.DUMMYFUNCTION("""COMPUTED_VALUE"""),5.0)</f>
        <v>5</v>
      </c>
      <c r="Q8" s="15" t="str">
        <f>IFERROR(__xludf.DUMMYFUNCTION("""COMPUTED_VALUE"""),"среднее специальное")</f>
        <v>среднее специальное</v>
      </c>
      <c r="R8" s="15">
        <f>IFERROR(__xludf.DUMMYFUNCTION("""COMPUTED_VALUE"""),5.0)</f>
        <v>5</v>
      </c>
      <c r="T8" s="15" t="s">
        <v>806</v>
      </c>
      <c r="U8" s="15">
        <f>R8/R10</f>
        <v>0.1219512195</v>
      </c>
    </row>
    <row r="9">
      <c r="A9" s="15">
        <f>IFERROR(__xludf.DUMMYFUNCTION("""COMPUTED_VALUE"""),1939.0)</f>
        <v>1939</v>
      </c>
      <c r="B9" s="15">
        <f>IFERROR(__xludf.DUMMYFUNCTION("""COMPUTED_VALUE"""),8.0)</f>
        <v>8</v>
      </c>
      <c r="E9" s="15" t="str">
        <f>IFERROR(__xludf.DUMMYFUNCTION("""COMPUTED_VALUE"""),"среднее специальное")</f>
        <v>среднее специальное</v>
      </c>
      <c r="F9" s="15">
        <f>IFERROR(__xludf.DUMMYFUNCTION("""COMPUTED_VALUE"""),25.0)</f>
        <v>25</v>
      </c>
      <c r="G9" s="28">
        <f>F9/F11</f>
        <v>0.07836990596</v>
      </c>
      <c r="I9" s="15" t="s">
        <v>806</v>
      </c>
      <c r="J9" s="28">
        <v>0.07836990595611286</v>
      </c>
      <c r="N9" s="15">
        <f>IFERROR(__xludf.DUMMYFUNCTION("""COMPUTED_VALUE"""),1949.0)</f>
        <v>1949</v>
      </c>
      <c r="O9" s="15">
        <f>IFERROR(__xludf.DUMMYFUNCTION("""COMPUTED_VALUE"""),1.0)</f>
        <v>1</v>
      </c>
      <c r="Q9" s="15" t="str">
        <f>IFERROR(__xludf.DUMMYFUNCTION("""COMPUTED_VALUE"""),"техникум")</f>
        <v>техникум</v>
      </c>
      <c r="R9" s="15">
        <f>IFERROR(__xludf.DUMMYFUNCTION("""COMPUTED_VALUE"""),10.0)</f>
        <v>10</v>
      </c>
      <c r="T9" s="15" t="s">
        <v>63</v>
      </c>
      <c r="U9" s="15">
        <f>R9/R10</f>
        <v>0.243902439</v>
      </c>
    </row>
    <row r="10">
      <c r="A10" s="15">
        <f>IFERROR(__xludf.DUMMYFUNCTION("""COMPUTED_VALUE"""),1940.0)</f>
        <v>1940</v>
      </c>
      <c r="B10" s="15">
        <f>IFERROR(__xludf.DUMMYFUNCTION("""COMPUTED_VALUE"""),17.0)</f>
        <v>17</v>
      </c>
      <c r="E10" s="15" t="str">
        <f>IFERROR(__xludf.DUMMYFUNCTION("""COMPUTED_VALUE"""),"техникум")</f>
        <v>техникум</v>
      </c>
      <c r="F10" s="15">
        <f>IFERROR(__xludf.DUMMYFUNCTION("""COMPUTED_VALUE"""),39.0)</f>
        <v>39</v>
      </c>
      <c r="G10" s="28">
        <f>F10/F11</f>
        <v>0.1222570533</v>
      </c>
      <c r="I10" s="15" t="s">
        <v>63</v>
      </c>
      <c r="J10" s="28">
        <v>0.12225705329153605</v>
      </c>
      <c r="N10" s="15">
        <f>IFERROR(__xludf.DUMMYFUNCTION("""COMPUTED_VALUE"""),1950.0)</f>
        <v>1950</v>
      </c>
      <c r="O10" s="15">
        <f>IFERROR(__xludf.DUMMYFUNCTION("""COMPUTED_VALUE"""),1.0)</f>
        <v>1</v>
      </c>
      <c r="Q10" s="29" t="s">
        <v>3931</v>
      </c>
      <c r="R10" s="15">
        <f>SUM(R4:R9)</f>
        <v>41</v>
      </c>
    </row>
    <row r="11">
      <c r="A11" s="15">
        <f>IFERROR(__xludf.DUMMYFUNCTION("""COMPUTED_VALUE"""),1941.0)</f>
        <v>1941</v>
      </c>
      <c r="B11" s="15">
        <f>IFERROR(__xludf.DUMMYFUNCTION("""COMPUTED_VALUE"""),9.0)</f>
        <v>9</v>
      </c>
      <c r="E11" s="19" t="s">
        <v>3931</v>
      </c>
      <c r="F11" s="14">
        <f>SUM(F3:F10)</f>
        <v>319</v>
      </c>
      <c r="N11" s="15">
        <f>IFERROR(__xludf.DUMMYFUNCTION("""COMPUTED_VALUE"""),1953.0)</f>
        <v>1953</v>
      </c>
      <c r="O11" s="15">
        <f>IFERROR(__xludf.DUMMYFUNCTION("""COMPUTED_VALUE"""),8.0)</f>
        <v>8</v>
      </c>
      <c r="Q11" s="29" t="s">
        <v>3932</v>
      </c>
      <c r="R11" s="15">
        <f>ROWS('предлог_из'!I2:I83)</f>
        <v>82</v>
      </c>
    </row>
    <row r="12">
      <c r="A12" s="15">
        <f>IFERROR(__xludf.DUMMYFUNCTION("""COMPUTED_VALUE"""),1949.0)</f>
        <v>1949</v>
      </c>
      <c r="B12" s="15">
        <f>IFERROR(__xludf.DUMMYFUNCTION("""COMPUTED_VALUE"""),7.0)</f>
        <v>7</v>
      </c>
      <c r="E12" s="19" t="s">
        <v>3932</v>
      </c>
      <c r="F12" s="19">
        <f>ROWS('предлог_с'!J2:J414)</f>
        <v>413</v>
      </c>
      <c r="N12" s="15">
        <f>IFERROR(__xludf.DUMMYFUNCTION("""COMPUTED_VALUE"""),1954.0)</f>
        <v>1954</v>
      </c>
      <c r="O12" s="15">
        <f>IFERROR(__xludf.DUMMYFUNCTION("""COMPUTED_VALUE"""),3.0)</f>
        <v>3</v>
      </c>
      <c r="Q12" s="29" t="s">
        <v>3933</v>
      </c>
      <c r="R12" s="28">
        <f>R10/R11</f>
        <v>0.5</v>
      </c>
    </row>
    <row r="13">
      <c r="A13" s="15">
        <f>IFERROR(__xludf.DUMMYFUNCTION("""COMPUTED_VALUE"""),1950.0)</f>
        <v>1950</v>
      </c>
      <c r="B13" s="15">
        <f>IFERROR(__xludf.DUMMYFUNCTION("""COMPUTED_VALUE"""),32.0)</f>
        <v>32</v>
      </c>
      <c r="E13" s="19" t="s">
        <v>3933</v>
      </c>
      <c r="F13" s="30">
        <f>F11/F12</f>
        <v>0.7723970944</v>
      </c>
      <c r="N13" s="15">
        <f>IFERROR(__xludf.DUMMYFUNCTION("""COMPUTED_VALUE"""),1958.0)</f>
        <v>1958</v>
      </c>
      <c r="O13" s="15">
        <f>IFERROR(__xludf.DUMMYFUNCTION("""COMPUTED_VALUE"""),5.0)</f>
        <v>5</v>
      </c>
    </row>
    <row r="14">
      <c r="A14" s="15">
        <f>IFERROR(__xludf.DUMMYFUNCTION("""COMPUTED_VALUE"""),1953.0)</f>
        <v>1953</v>
      </c>
      <c r="B14" s="15">
        <f>IFERROR(__xludf.DUMMYFUNCTION("""COMPUTED_VALUE"""),79.0)</f>
        <v>79</v>
      </c>
      <c r="N14" s="15">
        <f>IFERROR(__xludf.DUMMYFUNCTION("""COMPUTED_VALUE"""),1973.0)</f>
        <v>1973</v>
      </c>
      <c r="O14" s="15">
        <f>IFERROR(__xludf.DUMMYFUNCTION("""COMPUTED_VALUE"""),3.0)</f>
        <v>3</v>
      </c>
    </row>
    <row r="15">
      <c r="A15" s="15">
        <f>IFERROR(__xludf.DUMMYFUNCTION("""COMPUTED_VALUE"""),1954.0)</f>
        <v>1954</v>
      </c>
      <c r="B15" s="15">
        <f>IFERROR(__xludf.DUMMYFUNCTION("""COMPUTED_VALUE"""),9.0)</f>
        <v>9</v>
      </c>
      <c r="N15" s="31" t="s">
        <v>3931</v>
      </c>
      <c r="O15" s="15">
        <f>SUM(O3:O14)</f>
        <v>42</v>
      </c>
    </row>
    <row r="16">
      <c r="A16" s="15">
        <f>IFERROR(__xludf.DUMMYFUNCTION("""COMPUTED_VALUE"""),1955.0)</f>
        <v>1955</v>
      </c>
      <c r="B16" s="15">
        <f>IFERROR(__xludf.DUMMYFUNCTION("""COMPUTED_VALUE"""),10.0)</f>
        <v>10</v>
      </c>
      <c r="N16" s="31" t="s">
        <v>3932</v>
      </c>
      <c r="O16" s="15">
        <f>ROWS('предлог_из'!I2:I83)</f>
        <v>82</v>
      </c>
    </row>
    <row r="17">
      <c r="A17" s="15">
        <f>IFERROR(__xludf.DUMMYFUNCTION("""COMPUTED_VALUE"""),1956.0)</f>
        <v>1956</v>
      </c>
      <c r="B17" s="15">
        <f>IFERROR(__xludf.DUMMYFUNCTION("""COMPUTED_VALUE"""),8.0)</f>
        <v>8</v>
      </c>
      <c r="N17" s="31" t="s">
        <v>3933</v>
      </c>
      <c r="O17" s="28">
        <f>O15/O16</f>
        <v>0.512195122</v>
      </c>
    </row>
    <row r="18">
      <c r="A18" s="15">
        <f>IFERROR(__xludf.DUMMYFUNCTION("""COMPUTED_VALUE"""),1958.0)</f>
        <v>1958</v>
      </c>
      <c r="B18" s="15">
        <f>IFERROR(__xludf.DUMMYFUNCTION("""COMPUTED_VALUE"""),25.0)</f>
        <v>25</v>
      </c>
    </row>
    <row r="19">
      <c r="A19" s="15">
        <f>IFERROR(__xludf.DUMMYFUNCTION("""COMPUTED_VALUE"""),1972.0)</f>
        <v>1972</v>
      </c>
      <c r="B19" s="15">
        <f>IFERROR(__xludf.DUMMYFUNCTION("""COMPUTED_VALUE"""),14.0)</f>
        <v>14</v>
      </c>
      <c r="N19" s="25" t="s">
        <v>3934</v>
      </c>
      <c r="O19" s="27"/>
    </row>
    <row r="20">
      <c r="A20" s="15">
        <f>IFERROR(__xludf.DUMMYFUNCTION("""COMPUTED_VALUE"""),1973.0)</f>
        <v>1973</v>
      </c>
      <c r="B20" s="15">
        <f>IFERROR(__xludf.DUMMYFUNCTION("""COMPUTED_VALUE"""),8.0)</f>
        <v>8</v>
      </c>
      <c r="N20" s="15">
        <v>1932.0</v>
      </c>
      <c r="O20" s="28">
        <f>O3/O15</f>
        <v>0.09523809524</v>
      </c>
    </row>
    <row r="21">
      <c r="A21" s="15">
        <f>IFERROR(__xludf.DUMMYFUNCTION("""COMPUTED_VALUE"""),1980.0)</f>
        <v>1980</v>
      </c>
      <c r="B21" s="15">
        <f>IFERROR(__xludf.DUMMYFUNCTION("""COMPUTED_VALUE"""),3.0)</f>
        <v>3</v>
      </c>
      <c r="N21" s="15">
        <v>1934.0</v>
      </c>
      <c r="O21" s="28">
        <f>O4/O15</f>
        <v>0.02380952381</v>
      </c>
    </row>
    <row r="22">
      <c r="A22" s="31" t="s">
        <v>3931</v>
      </c>
      <c r="B22" s="15">
        <f>SUM(B3:B21)</f>
        <v>333</v>
      </c>
      <c r="N22" s="32">
        <v>1935.0</v>
      </c>
      <c r="O22" s="28">
        <f>O5/O15</f>
        <v>0.04761904762</v>
      </c>
    </row>
    <row r="23">
      <c r="A23" s="31" t="s">
        <v>3932</v>
      </c>
      <c r="B23" s="15">
        <f>ROWS('предлог_с'!I2:I414)</f>
        <v>413</v>
      </c>
      <c r="N23" s="32">
        <v>1937.0</v>
      </c>
      <c r="O23" s="28">
        <f>O6/O15</f>
        <v>0.1666666667</v>
      </c>
    </row>
    <row r="24">
      <c r="A24" s="31" t="s">
        <v>3933</v>
      </c>
      <c r="B24" s="28">
        <f>B22/B23</f>
        <v>0.8062953995</v>
      </c>
      <c r="N24" s="32">
        <v>1939.0</v>
      </c>
      <c r="O24" s="28">
        <f>O7/O15</f>
        <v>0.04761904762</v>
      </c>
    </row>
    <row r="25">
      <c r="N25" s="15">
        <v>1940.0</v>
      </c>
      <c r="O25" s="28">
        <f>O8/O15</f>
        <v>0.119047619</v>
      </c>
    </row>
    <row r="26">
      <c r="A26" s="19" t="s">
        <v>3935</v>
      </c>
      <c r="N26" s="15">
        <v>1949.0</v>
      </c>
      <c r="O26" s="28">
        <f>O9/O15</f>
        <v>0.02380952381</v>
      </c>
    </row>
    <row r="27">
      <c r="A27" s="15">
        <v>1930.0</v>
      </c>
      <c r="B27" s="28">
        <f>B3/B22</f>
        <v>0.03603603604</v>
      </c>
      <c r="N27" s="15">
        <v>1950.0</v>
      </c>
      <c r="O27" s="28">
        <f>O10/O15</f>
        <v>0.02380952381</v>
      </c>
    </row>
    <row r="28">
      <c r="A28" s="15">
        <v>1932.0</v>
      </c>
      <c r="B28" s="28">
        <f>B4/B22</f>
        <v>0.1231231231</v>
      </c>
      <c r="N28" s="15">
        <v>1953.0</v>
      </c>
      <c r="O28" s="28">
        <f>O11/O15</f>
        <v>0.1904761905</v>
      </c>
    </row>
    <row r="29">
      <c r="A29" s="15">
        <v>1933.0</v>
      </c>
      <c r="B29" s="28">
        <f>B5/B22</f>
        <v>0.03603603604</v>
      </c>
      <c r="N29" s="15">
        <v>1954.0</v>
      </c>
      <c r="O29" s="28">
        <f>O12/O15</f>
        <v>0.07142857143</v>
      </c>
    </row>
    <row r="30">
      <c r="A30" s="15">
        <v>1934.0</v>
      </c>
      <c r="B30" s="28">
        <f>B6/B22</f>
        <v>0.01801801802</v>
      </c>
      <c r="N30" s="15">
        <v>1958.0</v>
      </c>
      <c r="O30" s="28">
        <f>O13/O15</f>
        <v>0.119047619</v>
      </c>
    </row>
    <row r="31">
      <c r="A31" s="15">
        <v>1935.0</v>
      </c>
      <c r="B31" s="28">
        <f>B7/B22</f>
        <v>0.03903903904</v>
      </c>
      <c r="N31" s="15">
        <v>1973.0</v>
      </c>
      <c r="O31" s="28">
        <f>O14/O15</f>
        <v>0.07142857143</v>
      </c>
    </row>
    <row r="32">
      <c r="A32" s="15">
        <v>1937.0</v>
      </c>
      <c r="B32" s="28">
        <f>B8/B22</f>
        <v>0.06006006006</v>
      </c>
    </row>
    <row r="33">
      <c r="A33" s="15">
        <v>1939.0</v>
      </c>
      <c r="B33" s="28">
        <f>B9/B22</f>
        <v>0.02402402402</v>
      </c>
    </row>
    <row r="34">
      <c r="A34" s="15">
        <v>1940.0</v>
      </c>
      <c r="B34" s="28">
        <f>B10/B22</f>
        <v>0.05105105105</v>
      </c>
    </row>
    <row r="35">
      <c r="A35" s="15">
        <v>1941.0</v>
      </c>
      <c r="B35" s="28">
        <f>B11/B22</f>
        <v>0.02702702703</v>
      </c>
    </row>
    <row r="36">
      <c r="A36" s="15">
        <v>1949.0</v>
      </c>
      <c r="B36" s="28">
        <f>B12/B22</f>
        <v>0.02102102102</v>
      </c>
    </row>
    <row r="37">
      <c r="A37" s="15">
        <v>1950.0</v>
      </c>
      <c r="B37" s="28">
        <f>B13/B22</f>
        <v>0.0960960961</v>
      </c>
    </row>
    <row r="38">
      <c r="A38" s="15">
        <v>1953.0</v>
      </c>
      <c r="B38" s="28">
        <f>B14/B22</f>
        <v>0.2372372372</v>
      </c>
    </row>
    <row r="39">
      <c r="A39" s="15">
        <v>1954.0</v>
      </c>
      <c r="B39" s="28">
        <f>B15/B22</f>
        <v>0.02702702703</v>
      </c>
    </row>
    <row r="40">
      <c r="A40" s="15">
        <v>1955.0</v>
      </c>
      <c r="B40" s="28">
        <f>B16/B22</f>
        <v>0.03003003003</v>
      </c>
    </row>
    <row r="41">
      <c r="A41" s="15">
        <v>1956.0</v>
      </c>
      <c r="B41" s="28">
        <f>B17/B22</f>
        <v>0.02402402402</v>
      </c>
    </row>
    <row r="42">
      <c r="A42" s="15">
        <v>1958.0</v>
      </c>
      <c r="B42" s="28">
        <f>B18/B22</f>
        <v>0.07507507508</v>
      </c>
    </row>
    <row r="43">
      <c r="A43" s="15">
        <v>1972.0</v>
      </c>
      <c r="B43" s="28">
        <f>B19/B22</f>
        <v>0.04204204204</v>
      </c>
    </row>
    <row r="44">
      <c r="A44" s="15">
        <v>1973.0</v>
      </c>
      <c r="B44" s="28">
        <f>B20/B22</f>
        <v>0.02402402402</v>
      </c>
    </row>
    <row r="45">
      <c r="A45" s="15">
        <v>1980.0</v>
      </c>
      <c r="B45" s="28">
        <f>B21/B22</f>
        <v>0.009009009009</v>
      </c>
    </row>
    <row r="46">
      <c r="A46" s="29" t="s">
        <v>3936</v>
      </c>
      <c r="B46" s="28">
        <f>SUM(B27:B45)</f>
        <v>1</v>
      </c>
    </row>
    <row r="52">
      <c r="A52" s="19" t="s">
        <v>3937</v>
      </c>
      <c r="D52" s="19" t="s">
        <v>3938</v>
      </c>
      <c r="G52" s="19" t="s">
        <v>3939</v>
      </c>
    </row>
    <row r="53">
      <c r="A53" s="15" t="str">
        <f>IFERROR(__xludf.DUMMYFUNCTION("QUERY('предлог_с'!A1:J10000, 
       ""SELECT J, COUNT(J) 
        WHERE J IS NOT NULL 
          AND J != 'unknown' 
          AND A = 'Корпус говора деревни Пятиусово' 
        GROUP BY J 
        LABEL COUNT(J) ''"")"),"Education")</f>
        <v>Education</v>
      </c>
      <c r="B53" s="15" t="str">
        <f>IFERROR(__xludf.DUMMYFUNCTION("""COMPUTED_VALUE"""),"")</f>
        <v/>
      </c>
      <c r="D53" s="15" t="str">
        <f>IFERROR(__xludf.DUMMYFUNCTION("QUERY('предлог_с'!A1:J10000, 
       ""SELECT J, COUNT(J) 
        WHERE J IS NOT NULL 
          AND J != 'unknown' 
          AND A = 'Корпус говора деревень Шетнево и Макеево' 
        GROUP BY J 
        LABEL COUNT(J) ''"")"),"Education")</f>
        <v>Education</v>
      </c>
      <c r="E53" s="15" t="str">
        <f>IFERROR(__xludf.DUMMYFUNCTION("""COMPUTED_VALUE"""),"")</f>
        <v/>
      </c>
      <c r="G53" s="15" t="str">
        <f>IFERROR(__xludf.DUMMYFUNCTION("QUERY('предлог_с'!A1:J10000, 
       ""SELECT J, COUNT(J) 
        WHERE J IS NOT NULL 
          AND J != 'unknown' 
          AND A = 'Корпус Опочецких говоров' 
        GROUP BY J 
        LABEL COUNT(J) ''"")"),"Education")</f>
        <v>Education</v>
      </c>
      <c r="H53" s="15" t="str">
        <f>IFERROR(__xludf.DUMMYFUNCTION("""COMPUTED_VALUE"""),"")</f>
        <v/>
      </c>
    </row>
    <row r="54">
      <c r="A54" s="15" t="str">
        <f>IFERROR(__xludf.DUMMYFUNCTION("""COMPUTED_VALUE"""),"среднее (10 классов)")</f>
        <v>среднее (10 классов)</v>
      </c>
      <c r="B54" s="15">
        <f>IFERROR(__xludf.DUMMYFUNCTION("""COMPUTED_VALUE"""),4.0)</f>
        <v>4</v>
      </c>
      <c r="D54" s="15" t="str">
        <f>IFERROR(__xludf.DUMMYFUNCTION("""COMPUTED_VALUE"""),"начальное")</f>
        <v>начальное</v>
      </c>
      <c r="E54" s="15">
        <f>IFERROR(__xludf.DUMMYFUNCTION("""COMPUTED_VALUE"""),22.0)</f>
        <v>22</v>
      </c>
      <c r="G54" s="15" t="str">
        <f>IFERROR(__xludf.DUMMYFUNCTION("""COMPUTED_VALUE"""),"высшее")</f>
        <v>высшее</v>
      </c>
      <c r="H54" s="15">
        <f>IFERROR(__xludf.DUMMYFUNCTION("""COMPUTED_VALUE"""),8.0)</f>
        <v>8</v>
      </c>
    </row>
    <row r="55">
      <c r="A55" s="15" t="str">
        <f>IFERROR(__xludf.DUMMYFUNCTION("""COMPUTED_VALUE"""),"техникум")</f>
        <v>техникум</v>
      </c>
      <c r="B55" s="15">
        <f>IFERROR(__xludf.DUMMYFUNCTION("""COMPUTED_VALUE"""),39.0)</f>
        <v>39</v>
      </c>
      <c r="D55" s="15" t="str">
        <f>IFERROR(__xludf.DUMMYFUNCTION("""COMPUTED_VALUE"""),"неоконченное среднее")</f>
        <v>неоконченное среднее</v>
      </c>
      <c r="E55" s="15">
        <f>IFERROR(__xludf.DUMMYFUNCTION("""COMPUTED_VALUE"""),3.0)</f>
        <v>3</v>
      </c>
      <c r="G55" s="15" t="str">
        <f>IFERROR(__xludf.DUMMYFUNCTION("""COMPUTED_VALUE"""),"начальное")</f>
        <v>начальное</v>
      </c>
      <c r="H55" s="15">
        <f>IFERROR(__xludf.DUMMYFUNCTION("""COMPUTED_VALUE"""),19.0)</f>
        <v>19</v>
      </c>
    </row>
    <row r="56">
      <c r="D56" s="15" t="str">
        <f>IFERROR(__xludf.DUMMYFUNCTION("""COMPUTED_VALUE"""),"среднее")</f>
        <v>среднее</v>
      </c>
      <c r="E56" s="15">
        <f>IFERROR(__xludf.DUMMYFUNCTION("""COMPUTED_VALUE"""),147.0)</f>
        <v>147</v>
      </c>
      <c r="G56" s="15" t="str">
        <f>IFERROR(__xludf.DUMMYFUNCTION("""COMPUTED_VALUE"""),"неоконченное начальное")</f>
        <v>неоконченное начальное</v>
      </c>
      <c r="H56" s="15">
        <f>IFERROR(__xludf.DUMMYFUNCTION("""COMPUTED_VALUE"""),30.0)</f>
        <v>30</v>
      </c>
    </row>
    <row r="57">
      <c r="G57" s="15" t="str">
        <f>IFERROR(__xludf.DUMMYFUNCTION("""COMPUTED_VALUE"""),"среднее")</f>
        <v>среднее</v>
      </c>
      <c r="H57" s="15">
        <f>IFERROR(__xludf.DUMMYFUNCTION("""COMPUTED_VALUE"""),22.0)</f>
        <v>22</v>
      </c>
    </row>
    <row r="58">
      <c r="G58" s="15" t="str">
        <f>IFERROR(__xludf.DUMMYFUNCTION("""COMPUTED_VALUE"""),"среднее специальное")</f>
        <v>среднее специальное</v>
      </c>
      <c r="H58" s="15">
        <f>IFERROR(__xludf.DUMMYFUNCTION("""COMPUTED_VALUE"""),25.0)</f>
        <v>25</v>
      </c>
    </row>
    <row r="61">
      <c r="A61" s="19" t="s">
        <v>3940</v>
      </c>
      <c r="D61" s="19" t="s">
        <v>3941</v>
      </c>
      <c r="G61" s="19" t="s">
        <v>3942</v>
      </c>
    </row>
    <row r="62">
      <c r="A62" s="15" t="str">
        <f>IFERROR(__xludf.DUMMYFUNCTION("QUERY('предлог_из'!A1:J10000, 
       ""SELECT J, COUNT(J) 
        WHERE J IS NOT NULL 
          AND J != 'unknown' 
          AND A = 'корпус говора деревни Пятиусово' 
        GROUP BY J 
        LABEL COUNT(J) ''"")"),"Education")</f>
        <v>Education</v>
      </c>
      <c r="B62" s="15" t="str">
        <f>IFERROR(__xludf.DUMMYFUNCTION("""COMPUTED_VALUE"""),"")</f>
        <v/>
      </c>
      <c r="D62" s="15" t="str">
        <f>IFERROR(__xludf.DUMMYFUNCTION("QUERY('предлог_из'!A1:J10000, 
       ""SELECT J, COUNT(J) 
        WHERE J IS NOT NULL 
          AND J != 'unknown' 
          AND A = 'Корпус говора деревень Шетнево и Макеево' 
        GROUP BY J 
        LABEL COUNT(J) ''"")"),"Education")</f>
        <v>Education</v>
      </c>
      <c r="E62" s="15" t="str">
        <f>IFERROR(__xludf.DUMMYFUNCTION("""COMPUTED_VALUE"""),"")</f>
        <v/>
      </c>
      <c r="G62" s="15" t="str">
        <f>IFERROR(__xludf.DUMMYFUNCTION("QUERY('предлог_из'!A1:J10000, 
       ""SELECT J, COUNT(J) 
        WHERE J IS NOT NULL 
          AND J != 'unknown' 
          AND A = 'Корпус Опочецких говоров' 
        GROUP BY J 
        LABEL COUNT(J) ''"")"),"Education")</f>
        <v>Education</v>
      </c>
      <c r="H62" s="15" t="str">
        <f>IFERROR(__xludf.DUMMYFUNCTION("""COMPUTED_VALUE"""),"")</f>
        <v/>
      </c>
    </row>
    <row r="63">
      <c r="A63" s="15" t="str">
        <f>IFERROR(__xludf.DUMMYFUNCTION("""COMPUTED_VALUE"""),"среднее (10 классов)")</f>
        <v>среднее (10 классов)</v>
      </c>
      <c r="B63" s="15">
        <f>IFERROR(__xludf.DUMMYFUNCTION("""COMPUTED_VALUE"""),2.0)</f>
        <v>2</v>
      </c>
      <c r="D63" s="15" t="str">
        <f>IFERROR(__xludf.DUMMYFUNCTION("""COMPUTED_VALUE"""),"начальное")</f>
        <v>начальное</v>
      </c>
      <c r="E63" s="15">
        <f>IFERROR(__xludf.DUMMYFUNCTION("""COMPUTED_VALUE"""),2.0)</f>
        <v>2</v>
      </c>
      <c r="G63" s="15" t="str">
        <f>IFERROR(__xludf.DUMMYFUNCTION("""COMPUTED_VALUE"""),"высшее")</f>
        <v>высшее</v>
      </c>
      <c r="H63" s="15">
        <f>IFERROR(__xludf.DUMMYFUNCTION("""COMPUTED_VALUE"""),3.0)</f>
        <v>3</v>
      </c>
    </row>
    <row r="64">
      <c r="A64" s="15" t="str">
        <f>IFERROR(__xludf.DUMMYFUNCTION("""COMPUTED_VALUE"""),"техникум")</f>
        <v>техникум</v>
      </c>
      <c r="B64" s="15">
        <f>IFERROR(__xludf.DUMMYFUNCTION("""COMPUTED_VALUE"""),10.0)</f>
        <v>10</v>
      </c>
      <c r="D64" s="15" t="str">
        <f>IFERROR(__xludf.DUMMYFUNCTION("""COMPUTED_VALUE"""),"среднее")</f>
        <v>среднее</v>
      </c>
      <c r="E64" s="15">
        <f>IFERROR(__xludf.DUMMYFUNCTION("""COMPUTED_VALUE"""),17.0)</f>
        <v>17</v>
      </c>
      <c r="G64" s="15" t="str">
        <f>IFERROR(__xludf.DUMMYFUNCTION("""COMPUTED_VALUE"""),"начальное")</f>
        <v>начальное</v>
      </c>
      <c r="H64" s="15">
        <f>IFERROR(__xludf.DUMMYFUNCTION("""COMPUTED_VALUE"""),2.0)</f>
        <v>2</v>
      </c>
    </row>
    <row r="65">
      <c r="G65" s="15" t="str">
        <f>IFERROR(__xludf.DUMMYFUNCTION("""COMPUTED_VALUE"""),"среднее специальное")</f>
        <v>среднее специальное</v>
      </c>
      <c r="H65" s="15">
        <f>IFERROR(__xludf.DUMMYFUNCTION("""COMPUTED_VALUE"""),5.0)</f>
        <v>5</v>
      </c>
    </row>
    <row r="68">
      <c r="A68" s="19" t="s">
        <v>3943</v>
      </c>
      <c r="D68" s="19" t="s">
        <v>3944</v>
      </c>
      <c r="G68" s="19" t="s">
        <v>3945</v>
      </c>
    </row>
    <row r="69">
      <c r="A69" s="15">
        <f>IFERROR(__xludf.DUMMYFUNCTION("QUERY('предлог_с'!A2:I10000, 
       ""SELECT I, COUNT(I) 
        WHERE I IS NOT NULL 
          AND A = 'Корпус говора деревни Пятиусово' 
        GROUP BY I 
        LABEL COUNT(I) ''"")"),1934.0)</f>
        <v>1934</v>
      </c>
      <c r="B69" s="15">
        <f>IFERROR(__xludf.DUMMYFUNCTION("""COMPUTED_VALUE"""),6.0)</f>
        <v>6</v>
      </c>
      <c r="D69" s="15">
        <f>IFERROR(__xludf.DUMMYFUNCTION("QUERY('предлог_с'!A2:I10000, 
       ""SELECT I, COUNT(I) 
        WHERE I IS NOT NULL 
          AND A = 'Корпус говора деревень Шетнево и Макеево' 
        GROUP BY I 
        LABEL COUNT(I) ''"")"),1932.0)</f>
        <v>1932</v>
      </c>
      <c r="E69" s="15">
        <f>IFERROR(__xludf.DUMMYFUNCTION("""COMPUTED_VALUE"""),22.0)</f>
        <v>22</v>
      </c>
      <c r="G69" s="15">
        <f>IFERROR(__xludf.DUMMYFUNCTION("QUERY('предлог_с'!A2:I10000, 
       ""SELECT I, COUNT(I) 
        WHERE I IS NOT NULL 
          AND A = 'Корпус Опочецких говоров' 
        GROUP BY I 
        LABEL COUNT(I) ''"")"),1930.0)</f>
        <v>1930</v>
      </c>
      <c r="H69" s="15">
        <f>IFERROR(__xludf.DUMMYFUNCTION("""COMPUTED_VALUE"""),12.0)</f>
        <v>12</v>
      </c>
    </row>
    <row r="70">
      <c r="A70" s="15">
        <f>IFERROR(__xludf.DUMMYFUNCTION("""COMPUTED_VALUE"""),1935.0)</f>
        <v>1935</v>
      </c>
      <c r="B70" s="15">
        <f>IFERROR(__xludf.DUMMYFUNCTION("""COMPUTED_VALUE"""),13.0)</f>
        <v>13</v>
      </c>
      <c r="D70" s="15">
        <f>IFERROR(__xludf.DUMMYFUNCTION("""COMPUTED_VALUE"""),1939.0)</f>
        <v>1939</v>
      </c>
      <c r="E70" s="15">
        <f>IFERROR(__xludf.DUMMYFUNCTION("""COMPUTED_VALUE"""),8.0)</f>
        <v>8</v>
      </c>
      <c r="G70" s="15">
        <f>IFERROR(__xludf.DUMMYFUNCTION("""COMPUTED_VALUE"""),1932.0)</f>
        <v>1932</v>
      </c>
      <c r="H70" s="15">
        <f>IFERROR(__xludf.DUMMYFUNCTION("""COMPUTED_VALUE"""),19.0)</f>
        <v>19</v>
      </c>
    </row>
    <row r="71">
      <c r="A71" s="15">
        <f>IFERROR(__xludf.DUMMYFUNCTION("""COMPUTED_VALUE"""),1937.0)</f>
        <v>1937</v>
      </c>
      <c r="B71" s="15">
        <f>IFERROR(__xludf.DUMMYFUNCTION("""COMPUTED_VALUE"""),20.0)</f>
        <v>20</v>
      </c>
      <c r="D71" s="15">
        <f>IFERROR(__xludf.DUMMYFUNCTION("""COMPUTED_VALUE"""),1940.0)</f>
        <v>1940</v>
      </c>
      <c r="E71" s="15">
        <f>IFERROR(__xludf.DUMMYFUNCTION("""COMPUTED_VALUE"""),17.0)</f>
        <v>17</v>
      </c>
      <c r="G71" s="15">
        <f>IFERROR(__xludf.DUMMYFUNCTION("""COMPUTED_VALUE"""),1933.0)</f>
        <v>1933</v>
      </c>
      <c r="H71" s="15">
        <f>IFERROR(__xludf.DUMMYFUNCTION("""COMPUTED_VALUE"""),12.0)</f>
        <v>12</v>
      </c>
    </row>
    <row r="72">
      <c r="A72" s="15">
        <f>IFERROR(__xludf.DUMMYFUNCTION("""COMPUTED_VALUE"""),1954.0)</f>
        <v>1954</v>
      </c>
      <c r="B72" s="15">
        <f>IFERROR(__xludf.DUMMYFUNCTION("""COMPUTED_VALUE"""),4.0)</f>
        <v>4</v>
      </c>
      <c r="D72" s="15">
        <f>IFERROR(__xludf.DUMMYFUNCTION("""COMPUTED_VALUE"""),1941.0)</f>
        <v>1941</v>
      </c>
      <c r="E72" s="15">
        <f>IFERROR(__xludf.DUMMYFUNCTION("""COMPUTED_VALUE"""),9.0)</f>
        <v>9</v>
      </c>
      <c r="G72" s="15">
        <f>IFERROR(__xludf.DUMMYFUNCTION("""COMPUTED_VALUE"""),1949.0)</f>
        <v>1949</v>
      </c>
      <c r="H72" s="15">
        <f>IFERROR(__xludf.DUMMYFUNCTION("""COMPUTED_VALUE"""),7.0)</f>
        <v>7</v>
      </c>
    </row>
    <row r="73">
      <c r="D73" s="15">
        <f>IFERROR(__xludf.DUMMYFUNCTION("""COMPUTED_VALUE"""),1950.0)</f>
        <v>1950</v>
      </c>
      <c r="E73" s="15">
        <f>IFERROR(__xludf.DUMMYFUNCTION("""COMPUTED_VALUE"""),32.0)</f>
        <v>32</v>
      </c>
      <c r="G73" s="15">
        <f>IFERROR(__xludf.DUMMYFUNCTION("""COMPUTED_VALUE"""),1955.0)</f>
        <v>1955</v>
      </c>
      <c r="H73" s="15">
        <f>IFERROR(__xludf.DUMMYFUNCTION("""COMPUTED_VALUE"""),10.0)</f>
        <v>10</v>
      </c>
    </row>
    <row r="74">
      <c r="D74" s="15">
        <f>IFERROR(__xludf.DUMMYFUNCTION("""COMPUTED_VALUE"""),1953.0)</f>
        <v>1953</v>
      </c>
      <c r="E74" s="15">
        <f>IFERROR(__xludf.DUMMYFUNCTION("""COMPUTED_VALUE"""),79.0)</f>
        <v>79</v>
      </c>
      <c r="G74" s="15">
        <f>IFERROR(__xludf.DUMMYFUNCTION("""COMPUTED_VALUE"""),1956.0)</f>
        <v>1956</v>
      </c>
      <c r="H74" s="15">
        <f>IFERROR(__xludf.DUMMYFUNCTION("""COMPUTED_VALUE"""),8.0)</f>
        <v>8</v>
      </c>
    </row>
    <row r="75">
      <c r="D75" s="15">
        <f>IFERROR(__xludf.DUMMYFUNCTION("""COMPUTED_VALUE"""),1954.0)</f>
        <v>1954</v>
      </c>
      <c r="E75" s="15">
        <f>IFERROR(__xludf.DUMMYFUNCTION("""COMPUTED_VALUE"""),5.0)</f>
        <v>5</v>
      </c>
      <c r="G75" s="15">
        <f>IFERROR(__xludf.DUMMYFUNCTION("""COMPUTED_VALUE"""),1958.0)</f>
        <v>1958</v>
      </c>
      <c r="H75" s="15">
        <f>IFERROR(__xludf.DUMMYFUNCTION("""COMPUTED_VALUE"""),25.0)</f>
        <v>25</v>
      </c>
    </row>
    <row r="76">
      <c r="G76" s="15">
        <f>IFERROR(__xludf.DUMMYFUNCTION("""COMPUTED_VALUE"""),1972.0)</f>
        <v>1972</v>
      </c>
      <c r="H76" s="15">
        <f>IFERROR(__xludf.DUMMYFUNCTION("""COMPUTED_VALUE"""),14.0)</f>
        <v>14</v>
      </c>
    </row>
    <row r="77">
      <c r="G77" s="15">
        <f>IFERROR(__xludf.DUMMYFUNCTION("""COMPUTED_VALUE"""),1973.0)</f>
        <v>1973</v>
      </c>
      <c r="H77" s="15">
        <f>IFERROR(__xludf.DUMMYFUNCTION("""COMPUTED_VALUE"""),8.0)</f>
        <v>8</v>
      </c>
    </row>
    <row r="78">
      <c r="G78" s="15">
        <f>IFERROR(__xludf.DUMMYFUNCTION("""COMPUTED_VALUE"""),1980.0)</f>
        <v>1980</v>
      </c>
      <c r="H78" s="15">
        <f>IFERROR(__xludf.DUMMYFUNCTION("""COMPUTED_VALUE"""),3.0)</f>
        <v>3</v>
      </c>
    </row>
    <row r="80">
      <c r="A80" s="19" t="s">
        <v>3946</v>
      </c>
      <c r="D80" s="19" t="s">
        <v>3947</v>
      </c>
      <c r="G80" s="19" t="s">
        <v>3948</v>
      </c>
    </row>
    <row r="81">
      <c r="A81" s="15">
        <f>IFERROR(__xludf.DUMMYFUNCTION("QUERY('предлог_из'!A2:I10000, 
       ""SELECT I, COUNT(I) 
        WHERE I IS NOT NULL 
          AND A = 'корпус говора деревни Пятиусово' 
        GROUP BY I 
        LABEL COUNT(I) ''"")"),1934.0)</f>
        <v>1934</v>
      </c>
      <c r="B81" s="15">
        <f>IFERROR(__xludf.DUMMYFUNCTION("""COMPUTED_VALUE"""),1.0)</f>
        <v>1</v>
      </c>
      <c r="D81" s="15">
        <f>IFERROR(__xludf.DUMMYFUNCTION("QUERY('предлог_из'!A2:I10000, 
       ""SELECT I, COUNT(I) 
        WHERE I IS NOT NULL 
          AND A = 'Корпус говора деревень Шетнево и Макеево' 
        GROUP BY I 
        LABEL COUNT(I) ''"")"),1932.0)</f>
        <v>1932</v>
      </c>
      <c r="E81" s="15">
        <f>IFERROR(__xludf.DUMMYFUNCTION("""COMPUTED_VALUE"""),2.0)</f>
        <v>2</v>
      </c>
      <c r="G81" s="15">
        <f>IFERROR(__xludf.DUMMYFUNCTION("QUERY('предлог_из'!A2:I10000, 
       ""SELECT I, COUNT(I) 
        WHERE I IS NOT NULL 
          AND A = 'Корпус Опочецких говоров' 
        GROUP BY I 
        LABEL COUNT(I) ''"")"),1932.0)</f>
        <v>1932</v>
      </c>
      <c r="H81" s="15">
        <f>IFERROR(__xludf.DUMMYFUNCTION("""COMPUTED_VALUE"""),2.0)</f>
        <v>2</v>
      </c>
    </row>
    <row r="82">
      <c r="A82" s="15">
        <f>IFERROR(__xludf.DUMMYFUNCTION("""COMPUTED_VALUE"""),1935.0)</f>
        <v>1935</v>
      </c>
      <c r="B82" s="15">
        <f>IFERROR(__xludf.DUMMYFUNCTION("""COMPUTED_VALUE"""),2.0)</f>
        <v>2</v>
      </c>
      <c r="D82" s="15">
        <f>IFERROR(__xludf.DUMMYFUNCTION("""COMPUTED_VALUE"""),1939.0)</f>
        <v>1939</v>
      </c>
      <c r="E82" s="15">
        <f>IFERROR(__xludf.DUMMYFUNCTION("""COMPUTED_VALUE"""),2.0)</f>
        <v>2</v>
      </c>
      <c r="G82" s="15">
        <f>IFERROR(__xludf.DUMMYFUNCTION("""COMPUTED_VALUE"""),1949.0)</f>
        <v>1949</v>
      </c>
      <c r="H82" s="15">
        <f>IFERROR(__xludf.DUMMYFUNCTION("""COMPUTED_VALUE"""),1.0)</f>
        <v>1</v>
      </c>
    </row>
    <row r="83">
      <c r="A83" s="15">
        <f>IFERROR(__xludf.DUMMYFUNCTION("""COMPUTED_VALUE"""),1937.0)</f>
        <v>1937</v>
      </c>
      <c r="B83" s="15">
        <f>IFERROR(__xludf.DUMMYFUNCTION("""COMPUTED_VALUE"""),7.0)</f>
        <v>7</v>
      </c>
      <c r="D83" s="15">
        <f>IFERROR(__xludf.DUMMYFUNCTION("""COMPUTED_VALUE"""),1940.0)</f>
        <v>1940</v>
      </c>
      <c r="E83" s="15">
        <f>IFERROR(__xludf.DUMMYFUNCTION("""COMPUTED_VALUE"""),5.0)</f>
        <v>5</v>
      </c>
      <c r="G83" s="15">
        <f>IFERROR(__xludf.DUMMYFUNCTION("""COMPUTED_VALUE"""),1958.0)</f>
        <v>1958</v>
      </c>
      <c r="H83" s="15">
        <f>IFERROR(__xludf.DUMMYFUNCTION("""COMPUTED_VALUE"""),5.0)</f>
        <v>5</v>
      </c>
    </row>
    <row r="84">
      <c r="A84" s="15">
        <f>IFERROR(__xludf.DUMMYFUNCTION("""COMPUTED_VALUE"""),1954.0)</f>
        <v>1954</v>
      </c>
      <c r="B84" s="15">
        <f>IFERROR(__xludf.DUMMYFUNCTION("""COMPUTED_VALUE"""),2.0)</f>
        <v>2</v>
      </c>
      <c r="D84" s="15">
        <f>IFERROR(__xludf.DUMMYFUNCTION("""COMPUTED_VALUE"""),1950.0)</f>
        <v>1950</v>
      </c>
      <c r="E84" s="15">
        <f>IFERROR(__xludf.DUMMYFUNCTION("""COMPUTED_VALUE"""),1.0)</f>
        <v>1</v>
      </c>
      <c r="G84" s="15">
        <f>IFERROR(__xludf.DUMMYFUNCTION("""COMPUTED_VALUE"""),1973.0)</f>
        <v>1973</v>
      </c>
      <c r="H84" s="15">
        <f>IFERROR(__xludf.DUMMYFUNCTION("""COMPUTED_VALUE"""),3.0)</f>
        <v>3</v>
      </c>
    </row>
    <row r="85">
      <c r="D85" s="15">
        <f>IFERROR(__xludf.DUMMYFUNCTION("""COMPUTED_VALUE"""),1953.0)</f>
        <v>1953</v>
      </c>
      <c r="E85" s="15">
        <f>IFERROR(__xludf.DUMMYFUNCTION("""COMPUTED_VALUE"""),8.0)</f>
        <v>8</v>
      </c>
    </row>
    <row r="86">
      <c r="D86" s="15">
        <f>IFERROR(__xludf.DUMMYFUNCTION("""COMPUTED_VALUE"""),1954.0)</f>
        <v>1954</v>
      </c>
      <c r="E86" s="15">
        <f>IFERROR(__xludf.DUMMYFUNCTION("""COMPUTED_VALUE"""),1.0)</f>
        <v>1</v>
      </c>
    </row>
  </sheetData>
  <mergeCells count="5">
    <mergeCell ref="E2:G2"/>
    <mergeCell ref="I2:J2"/>
    <mergeCell ref="Q3:R3"/>
    <mergeCell ref="T3:U3"/>
    <mergeCell ref="N19:O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2" max="2" width="18.5"/>
    <col customWidth="1" min="3" max="3" width="18.63"/>
    <col customWidth="1" min="4" max="4" width="24.75"/>
    <col customWidth="1" min="6" max="6" width="24.5"/>
    <col customWidth="1" min="7" max="7" width="22.25"/>
    <col customWidth="1" min="8" max="8" width="21.38"/>
    <col customWidth="1" min="9" max="9" width="38.13"/>
    <col customWidth="1" min="10" max="10" width="28.13"/>
  </cols>
  <sheetData>
    <row r="1">
      <c r="A1" s="33" t="s">
        <v>3949</v>
      </c>
      <c r="F1" s="34" t="s">
        <v>3950</v>
      </c>
    </row>
    <row r="2">
      <c r="A2" s="29" t="s">
        <v>0</v>
      </c>
      <c r="B2" s="29" t="s">
        <v>3951</v>
      </c>
      <c r="C2" s="29" t="s">
        <v>3952</v>
      </c>
      <c r="D2" s="29" t="s">
        <v>3953</v>
      </c>
      <c r="F2" s="35" t="s">
        <v>3954</v>
      </c>
      <c r="G2" s="35" t="s">
        <v>3955</v>
      </c>
      <c r="H2" s="35" t="s">
        <v>3956</v>
      </c>
      <c r="I2" s="36" t="s">
        <v>3957</v>
      </c>
      <c r="J2" s="36" t="s">
        <v>3958</v>
      </c>
    </row>
    <row r="3">
      <c r="A3" s="37" t="s">
        <v>32</v>
      </c>
      <c r="B3" s="15">
        <f>COUNTIF('предлог_с'!A2:A1000, "Корпус говора деревни Пятиусово")</f>
        <v>109</v>
      </c>
      <c r="C3" s="15">
        <f>COUNTIF('предлог_из'!A2:A1000, "Корпус говора деревни Пятиусово")</f>
        <v>48</v>
      </c>
      <c r="D3" s="15">
        <f t="shared" ref="D3:D7" si="1">SUM(B3:C3)</f>
        <v>157</v>
      </c>
      <c r="F3" s="29" t="s">
        <v>3959</v>
      </c>
      <c r="G3" s="15">
        <f>COUNTIF('предлог_с'!Q2:Q1000, 1)</f>
        <v>173</v>
      </c>
      <c r="H3" s="28">
        <f t="shared" ref="H3:H15" si="2">G3/$G$15</f>
        <v>0.4188861985</v>
      </c>
      <c r="I3" s="15">
        <f>COUNTIF('предлог_из'!Q2:Q1000, 1)</f>
        <v>16</v>
      </c>
      <c r="J3" s="28">
        <f t="shared" ref="J3:J14" si="3">I3/$I$15</f>
        <v>0.1951219512</v>
      </c>
    </row>
    <row r="4">
      <c r="A4" s="38" t="s">
        <v>342</v>
      </c>
      <c r="B4" s="15">
        <f>COUNTIF('предлог_с'!A2:A1001, "Корпус говора деревень Шетнево и Макеево")</f>
        <v>184</v>
      </c>
      <c r="C4" s="15">
        <f>COUNTIF('предлог_из'!A2:A1001, "Корпус говора деревень Шетнево и Макеево")</f>
        <v>22</v>
      </c>
      <c r="D4" s="15">
        <f t="shared" si="1"/>
        <v>206</v>
      </c>
      <c r="F4" s="29" t="s">
        <v>3960</v>
      </c>
      <c r="G4" s="15">
        <f>COUNTIF('предлог_с'!R2:R1000, 1)</f>
        <v>47</v>
      </c>
      <c r="H4" s="28">
        <f t="shared" si="2"/>
        <v>0.1138014528</v>
      </c>
      <c r="I4" s="15">
        <f>COUNTIF('предлог_из'!R2:R1000, 1)</f>
        <v>3</v>
      </c>
      <c r="J4" s="28">
        <f t="shared" si="3"/>
        <v>0.03658536585</v>
      </c>
    </row>
    <row r="5">
      <c r="A5" s="39" t="s">
        <v>794</v>
      </c>
      <c r="B5" s="15">
        <f>COUNTIF('предлог_с'!A2:A1002, "Корпус Опочецких говоров")</f>
        <v>120</v>
      </c>
      <c r="C5" s="15">
        <f>COUNTIF('предлог_из'!A2:A1002, "Корпус Опочецких говоров")</f>
        <v>12</v>
      </c>
      <c r="D5" s="15">
        <f t="shared" si="1"/>
        <v>132</v>
      </c>
      <c r="F5" s="35" t="s">
        <v>18</v>
      </c>
      <c r="G5" s="15">
        <f>COUNTIF('предлог_с'!S2:S1000, 1)</f>
        <v>13</v>
      </c>
      <c r="H5" s="28">
        <f t="shared" si="2"/>
        <v>0.03147699758</v>
      </c>
      <c r="I5" s="15">
        <f>COUNTIF('предлог_из'!S2:S1000, 1)</f>
        <v>4</v>
      </c>
      <c r="J5" s="28">
        <f t="shared" si="3"/>
        <v>0.0487804878</v>
      </c>
    </row>
    <row r="6">
      <c r="A6" s="29" t="s">
        <v>3961</v>
      </c>
      <c r="B6" s="15">
        <f t="shared" ref="B6:C6" si="4">SUM(B3:B5)</f>
        <v>413</v>
      </c>
      <c r="C6" s="15">
        <f t="shared" si="4"/>
        <v>82</v>
      </c>
      <c r="D6" s="15">
        <f t="shared" si="1"/>
        <v>495</v>
      </c>
      <c r="F6" s="29" t="s">
        <v>3962</v>
      </c>
      <c r="G6" s="15">
        <f>COUNTIF('предлог_с'!T2:T1000, 1)</f>
        <v>13</v>
      </c>
      <c r="H6" s="28">
        <f t="shared" si="2"/>
        <v>0.03147699758</v>
      </c>
      <c r="I6" s="15">
        <f>COUNTIF('предлог_из'!T2:T1000, 1)</f>
        <v>1</v>
      </c>
      <c r="J6" s="28">
        <f t="shared" si="3"/>
        <v>0.01219512195</v>
      </c>
    </row>
    <row r="7">
      <c r="A7" s="29" t="s">
        <v>3963</v>
      </c>
      <c r="B7" s="28">
        <f>B6/D6</f>
        <v>0.8343434343</v>
      </c>
      <c r="C7" s="28">
        <f>C6/D6</f>
        <v>0.1656565657</v>
      </c>
      <c r="D7" s="40">
        <f t="shared" si="1"/>
        <v>1</v>
      </c>
      <c r="F7" s="29" t="s">
        <v>20</v>
      </c>
      <c r="G7" s="15">
        <f>COUNTIF('предлог_с'!U2:U1000, 1)</f>
        <v>39</v>
      </c>
      <c r="H7" s="28">
        <f t="shared" si="2"/>
        <v>0.09443099274</v>
      </c>
      <c r="I7" s="15">
        <f>COUNTIF('предлог_из'!U2:U1000, 1)</f>
        <v>9</v>
      </c>
      <c r="J7" s="28">
        <f t="shared" si="3"/>
        <v>0.1097560976</v>
      </c>
    </row>
    <row r="8">
      <c r="F8" s="29" t="s">
        <v>3964</v>
      </c>
      <c r="G8" s="15">
        <f>COUNTIF('предлог_с'!X2:X1000, 1)</f>
        <v>34</v>
      </c>
      <c r="H8" s="28">
        <f t="shared" si="2"/>
        <v>0.08232445521</v>
      </c>
      <c r="I8" s="15">
        <f>COUNTIF('предлог_из'!X2:X1000, 1)</f>
        <v>1</v>
      </c>
      <c r="J8" s="28">
        <f t="shared" si="3"/>
        <v>0.01219512195</v>
      </c>
    </row>
    <row r="9">
      <c r="A9" s="33" t="s">
        <v>3965</v>
      </c>
      <c r="F9" s="29" t="s">
        <v>24</v>
      </c>
      <c r="G9" s="15">
        <f>COUNTIF('предлог_с'!Y2:Y1000, 1)</f>
        <v>58</v>
      </c>
      <c r="H9" s="28">
        <f t="shared" si="2"/>
        <v>0.1404358354</v>
      </c>
      <c r="I9" s="15">
        <f>COUNTIF('предлог_из'!Y2:Y1000, 1)</f>
        <v>30</v>
      </c>
      <c r="J9" s="28">
        <f t="shared" si="3"/>
        <v>0.3658536585</v>
      </c>
    </row>
    <row r="10">
      <c r="A10" s="29" t="s">
        <v>0</v>
      </c>
      <c r="B10" s="29" t="s">
        <v>3951</v>
      </c>
      <c r="C10" s="29" t="s">
        <v>3952</v>
      </c>
      <c r="D10" s="29" t="s">
        <v>3953</v>
      </c>
      <c r="F10" s="29" t="s">
        <v>3966</v>
      </c>
      <c r="G10" s="15">
        <f>COUNTIF('предлог_с'!Z2:Z1000, 1)</f>
        <v>19</v>
      </c>
      <c r="H10" s="28">
        <f t="shared" si="2"/>
        <v>0.04600484262</v>
      </c>
      <c r="I10" s="15">
        <f>COUNTIF('предлог_из'!Z2:Z1000, 1)</f>
        <v>0</v>
      </c>
      <c r="J10" s="28">
        <f t="shared" si="3"/>
        <v>0</v>
      </c>
    </row>
    <row r="11">
      <c r="A11" s="37" t="s">
        <v>32</v>
      </c>
      <c r="B11" s="28">
        <f t="shared" ref="B11:B14" si="5">B3/D3</f>
        <v>0.6942675159</v>
      </c>
      <c r="C11" s="28">
        <f t="shared" ref="C11:C14" si="6">C3/D3</f>
        <v>0.3057324841</v>
      </c>
      <c r="D11" s="28">
        <f t="shared" ref="D11:D14" si="7">D3/$D$6</f>
        <v>0.3171717172</v>
      </c>
      <c r="F11" s="29" t="s">
        <v>26</v>
      </c>
      <c r="G11" s="15">
        <f>COUNTIF('предлог_с'!AA2:AA1000, 1)</f>
        <v>6</v>
      </c>
      <c r="H11" s="28">
        <f t="shared" si="2"/>
        <v>0.01452784504</v>
      </c>
      <c r="I11" s="15">
        <f>COUNTIF('предлог_из'!AA2:AA1000, 1)</f>
        <v>13</v>
      </c>
      <c r="J11" s="28">
        <f t="shared" si="3"/>
        <v>0.1585365854</v>
      </c>
    </row>
    <row r="12">
      <c r="A12" s="38" t="s">
        <v>342</v>
      </c>
      <c r="B12" s="28">
        <f t="shared" si="5"/>
        <v>0.8932038835</v>
      </c>
      <c r="C12" s="28">
        <f t="shared" si="6"/>
        <v>0.1067961165</v>
      </c>
      <c r="D12" s="28">
        <f t="shared" si="7"/>
        <v>0.4161616162</v>
      </c>
      <c r="F12" s="29" t="s">
        <v>3967</v>
      </c>
      <c r="G12" s="15">
        <f>COUNTIF('предлог_с'!AB2:AB1000, 1)</f>
        <v>1</v>
      </c>
      <c r="H12" s="28">
        <f t="shared" si="2"/>
        <v>0.002421307506</v>
      </c>
      <c r="I12" s="15">
        <f>COUNTIF('предлог_из'!AB2:AB1000, 1)</f>
        <v>0</v>
      </c>
      <c r="J12" s="28">
        <f t="shared" si="3"/>
        <v>0</v>
      </c>
    </row>
    <row r="13">
      <c r="A13" s="39" t="s">
        <v>794</v>
      </c>
      <c r="B13" s="28">
        <f t="shared" si="5"/>
        <v>0.9090909091</v>
      </c>
      <c r="C13" s="28">
        <f t="shared" si="6"/>
        <v>0.09090909091</v>
      </c>
      <c r="D13" s="28">
        <f t="shared" si="7"/>
        <v>0.2666666667</v>
      </c>
      <c r="F13" s="41" t="s">
        <v>21</v>
      </c>
      <c r="G13" s="15">
        <f>COUNTIF('предлог_с'!V2:V1000, 1)</f>
        <v>5</v>
      </c>
      <c r="H13" s="28">
        <f t="shared" si="2"/>
        <v>0.01210653753</v>
      </c>
      <c r="I13" s="15">
        <f>COUNTIF('предлог_из'!V2:V1000, 1)</f>
        <v>2</v>
      </c>
      <c r="J13" s="28">
        <f t="shared" si="3"/>
        <v>0.0243902439</v>
      </c>
    </row>
    <row r="14">
      <c r="A14" s="29" t="s">
        <v>3961</v>
      </c>
      <c r="B14" s="28">
        <f t="shared" si="5"/>
        <v>0.8343434343</v>
      </c>
      <c r="C14" s="28">
        <f t="shared" si="6"/>
        <v>0.1656565657</v>
      </c>
      <c r="D14" s="28">
        <f t="shared" si="7"/>
        <v>1</v>
      </c>
      <c r="F14" s="36" t="s">
        <v>22</v>
      </c>
      <c r="G14" s="15">
        <f>COUNTIF('предлог_с'!W2:W1000, 1)</f>
        <v>5</v>
      </c>
      <c r="H14" s="28">
        <f t="shared" si="2"/>
        <v>0.01210653753</v>
      </c>
      <c r="I14" s="15">
        <f>COUNTIF('предлог_из'!W2:W1000, 1)</f>
        <v>3</v>
      </c>
      <c r="J14" s="28">
        <f t="shared" si="3"/>
        <v>0.03658536585</v>
      </c>
    </row>
    <row r="15">
      <c r="F15" s="29" t="s">
        <v>3931</v>
      </c>
      <c r="G15" s="15">
        <f>SUM(G3:G14)</f>
        <v>413</v>
      </c>
      <c r="H15" s="28">
        <f t="shared" si="2"/>
        <v>1</v>
      </c>
      <c r="I15" s="15">
        <f t="shared" ref="I15:J15" si="8">SUM(I3:I14)</f>
        <v>82</v>
      </c>
      <c r="J15" s="28">
        <f t="shared" si="8"/>
        <v>1</v>
      </c>
    </row>
    <row r="16">
      <c r="A16" s="33"/>
      <c r="B16" s="33"/>
      <c r="C16" s="33"/>
      <c r="D16" s="33"/>
    </row>
    <row r="18">
      <c r="A18" s="33" t="s">
        <v>28</v>
      </c>
      <c r="F18" s="33" t="s">
        <v>3968</v>
      </c>
    </row>
    <row r="19">
      <c r="A19" s="29" t="s">
        <v>3969</v>
      </c>
      <c r="B19" s="15">
        <f>COUNTIF('предлог_из'!AC2:AC1000, 1)</f>
        <v>8</v>
      </c>
      <c r="C19" s="28">
        <f t="shared" ref="C19:C20" si="9">B19/$B$21</f>
        <v>0.09756097561</v>
      </c>
      <c r="F19" s="29" t="s">
        <v>3970</v>
      </c>
      <c r="G19" s="29" t="s">
        <v>3955</v>
      </c>
      <c r="H19" s="29" t="s">
        <v>3956</v>
      </c>
      <c r="I19" s="29" t="s">
        <v>3957</v>
      </c>
      <c r="J19" s="29" t="s">
        <v>3958</v>
      </c>
      <c r="L19" s="29" t="s">
        <v>3970</v>
      </c>
      <c r="M19" s="19" t="s">
        <v>3956</v>
      </c>
      <c r="P19" s="29" t="s">
        <v>3970</v>
      </c>
      <c r="Q19" s="19" t="s">
        <v>3958</v>
      </c>
    </row>
    <row r="20">
      <c r="A20" s="29" t="s">
        <v>3971</v>
      </c>
      <c r="B20" s="15">
        <f>COUNTIF('предлог_из'!AC2:AC1000, 0)</f>
        <v>74</v>
      </c>
      <c r="C20" s="28">
        <f t="shared" si="9"/>
        <v>0.9024390244</v>
      </c>
      <c r="F20" s="29" t="s">
        <v>3972</v>
      </c>
      <c r="G20" s="15">
        <f>COUNTIF('предлог_с'!AD2:AD1000, "s")</f>
        <v>250</v>
      </c>
      <c r="H20" s="28">
        <f t="shared" ref="H20:H23" si="10">G20/$G$23</f>
        <v>0.6053268765</v>
      </c>
      <c r="I20" s="15">
        <f>COUNTIF('предлог_из'!AD2:AD1000, "s")</f>
        <v>25</v>
      </c>
      <c r="J20" s="28">
        <f t="shared" ref="J20:J23" si="11">I20/$I$23</f>
        <v>0.3048780488</v>
      </c>
      <c r="L20" s="29" t="s">
        <v>3972</v>
      </c>
      <c r="M20" s="30">
        <v>0.6053268765133172</v>
      </c>
      <c r="P20" s="29" t="s">
        <v>3972</v>
      </c>
      <c r="Q20" s="30">
        <v>0.3048780487804878</v>
      </c>
    </row>
    <row r="21">
      <c r="A21" s="29" t="s">
        <v>3973</v>
      </c>
      <c r="B21" s="15">
        <f>sum(B19:B20)</f>
        <v>82</v>
      </c>
      <c r="C21" s="28">
        <f>SUM(C19:C20)</f>
        <v>1</v>
      </c>
      <c r="F21" s="29" t="s">
        <v>3974</v>
      </c>
      <c r="G21" s="15">
        <f>COUNTIF('предлог_с'!AD2:AD1000, "o")</f>
        <v>49</v>
      </c>
      <c r="H21" s="28">
        <f t="shared" si="10"/>
        <v>0.1186440678</v>
      </c>
      <c r="I21" s="15">
        <f>COUNTIF('предлог_из'!AD2:AD1000, "o")</f>
        <v>33</v>
      </c>
      <c r="J21" s="28">
        <f t="shared" si="11"/>
        <v>0.4024390244</v>
      </c>
      <c r="L21" s="29" t="s">
        <v>3974</v>
      </c>
      <c r="M21" s="30">
        <v>0.11864406779661017</v>
      </c>
      <c r="P21" s="29" t="s">
        <v>3974</v>
      </c>
      <c r="Q21" s="30">
        <v>0.4024390243902439</v>
      </c>
    </row>
    <row r="22">
      <c r="F22" s="29" t="s">
        <v>3975</v>
      </c>
      <c r="G22" s="15">
        <f>COUNTIF('предлог_с'!AD2:AD1000, "a")</f>
        <v>114</v>
      </c>
      <c r="H22" s="28">
        <f t="shared" si="10"/>
        <v>0.2760290557</v>
      </c>
      <c r="I22" s="15">
        <f>COUNTIF('предлог_из'!AD2:AD1000, "a")</f>
        <v>24</v>
      </c>
      <c r="J22" s="28">
        <f t="shared" si="11"/>
        <v>0.2926829268</v>
      </c>
      <c r="L22" s="29" t="s">
        <v>3975</v>
      </c>
      <c r="M22" s="30">
        <v>0.27602905569007263</v>
      </c>
      <c r="P22" s="29" t="s">
        <v>3975</v>
      </c>
      <c r="Q22" s="30">
        <v>0.2926829268292683</v>
      </c>
    </row>
    <row r="23">
      <c r="A23" s="33" t="s">
        <v>3976</v>
      </c>
      <c r="F23" s="29" t="s">
        <v>3931</v>
      </c>
      <c r="G23" s="15">
        <f>SUM(G20:G22)</f>
        <v>413</v>
      </c>
      <c r="H23" s="28">
        <f t="shared" si="10"/>
        <v>1</v>
      </c>
      <c r="I23" s="15">
        <f>SUM(I20:I22)</f>
        <v>82</v>
      </c>
      <c r="J23" s="28">
        <f t="shared" si="11"/>
        <v>1</v>
      </c>
      <c r="M23" s="30">
        <v>1.0</v>
      </c>
      <c r="P23" s="29" t="s">
        <v>3931</v>
      </c>
      <c r="Q23" s="30">
        <v>1.0</v>
      </c>
    </row>
    <row r="24">
      <c r="A24" s="29" t="s">
        <v>3959</v>
      </c>
      <c r="B24" s="15">
        <f>COUNTIFS('предлог_из'!Q2:Q1000, 1,'предлог_из'!AC2:AC1000, 1)</f>
        <v>4</v>
      </c>
    </row>
    <row r="25">
      <c r="A25" s="29" t="s">
        <v>24</v>
      </c>
      <c r="B25" s="15">
        <f>COUNTIFS('предлог_из'!Y2:Y1000, 1,'предлог_из'!AC2:AC1000, 1)</f>
        <v>4</v>
      </c>
    </row>
    <row r="26">
      <c r="A26" s="2"/>
    </row>
    <row r="27">
      <c r="A27" s="33" t="s">
        <v>3977</v>
      </c>
      <c r="G27" s="33" t="s">
        <v>3978</v>
      </c>
    </row>
    <row r="28">
      <c r="A28" s="15"/>
      <c r="B28" s="29" t="s">
        <v>3855</v>
      </c>
      <c r="C28" s="29" t="s">
        <v>3979</v>
      </c>
      <c r="D28" s="29" t="s">
        <v>3980</v>
      </c>
      <c r="E28" s="29" t="s">
        <v>3981</v>
      </c>
      <c r="G28" s="15"/>
      <c r="H28" s="35" t="s">
        <v>3982</v>
      </c>
      <c r="I28" s="35" t="s">
        <v>3983</v>
      </c>
      <c r="J28" s="35" t="s">
        <v>3984</v>
      </c>
    </row>
    <row r="29">
      <c r="A29" s="29" t="s">
        <v>3985</v>
      </c>
      <c r="B29" s="15">
        <f>COUNTIF('предлог_с'!AF2:AF1000, "y")</f>
        <v>9</v>
      </c>
      <c r="C29" s="28">
        <f t="shared" ref="C29:C31" si="12">B29/$B$31</f>
        <v>0.02179176755</v>
      </c>
      <c r="D29" s="15">
        <f>COUNTIF('предлог_из'!AF2:AF1000, "y")</f>
        <v>79</v>
      </c>
      <c r="E29" s="42">
        <f t="shared" ref="E29:E31" si="13">D29/$D$31</f>
        <v>0.9634146341</v>
      </c>
      <c r="G29" s="29" t="s">
        <v>3986</v>
      </c>
      <c r="H29" s="15">
        <f>COUNTIFS('предлог_с'!AD2:AD1000, "s",'предлог_с'!AE2:AE1000, "n")</f>
        <v>0</v>
      </c>
      <c r="I29" s="15">
        <f>COUNTIFS('предлог_с'!AD2:AD1000, "o",'предлог_с'!AE2:AE1000, "n")</f>
        <v>0</v>
      </c>
      <c r="J29" s="15">
        <f>COUNTIFS('предлог_с'!AD2:AD1000, "a",'предлог_с'!AE2:AE1000, "n")</f>
        <v>114</v>
      </c>
    </row>
    <row r="30">
      <c r="A30" s="29" t="s">
        <v>3987</v>
      </c>
      <c r="B30" s="15">
        <f>COUNTIF('предлог_с'!AF2:AF1000, "n")</f>
        <v>404</v>
      </c>
      <c r="C30" s="28">
        <f t="shared" si="12"/>
        <v>0.9782082324</v>
      </c>
      <c r="D30" s="15">
        <f>COUNTIF('предлог_из'!AF2:AF1000, "n")</f>
        <v>3</v>
      </c>
      <c r="E30" s="42">
        <f t="shared" si="13"/>
        <v>0.03658536585</v>
      </c>
      <c r="G30" s="29" t="s">
        <v>3988</v>
      </c>
      <c r="H30" s="15">
        <f>COUNTIFS('предлог_с'!AD2:AD1000, "s",'предлог_с'!AE2:AE1000, "v")</f>
        <v>250</v>
      </c>
      <c r="I30" s="15">
        <f>COUNTIFS('предлог_с'!AD2:AD1000, "o",'предлог_с'!AE2:AE1000, "v")</f>
        <v>49</v>
      </c>
      <c r="J30" s="15">
        <f>COUNTIFS('предлог_с'!AD3:AD1001, "a",'предлог_с'!AE3:AE1001, "v")</f>
        <v>0</v>
      </c>
    </row>
    <row r="31">
      <c r="A31" s="29" t="s">
        <v>3931</v>
      </c>
      <c r="B31" s="15">
        <f>SUM(B29:B30)</f>
        <v>413</v>
      </c>
      <c r="C31" s="28">
        <f t="shared" si="12"/>
        <v>1</v>
      </c>
      <c r="D31" s="15">
        <f>SUM(D29:D30)</f>
        <v>82</v>
      </c>
      <c r="E31" s="42">
        <f t="shared" si="13"/>
        <v>1</v>
      </c>
    </row>
    <row r="32">
      <c r="A32" s="19"/>
    </row>
    <row r="33">
      <c r="A33" s="19"/>
      <c r="G33" s="33" t="s">
        <v>3989</v>
      </c>
    </row>
    <row r="34">
      <c r="A34" s="43"/>
      <c r="G34" s="15"/>
      <c r="H34" s="35" t="s">
        <v>3982</v>
      </c>
      <c r="I34" s="35" t="s">
        <v>3983</v>
      </c>
      <c r="J34" s="35" t="s">
        <v>3984</v>
      </c>
    </row>
    <row r="35">
      <c r="A35" s="1"/>
      <c r="G35" s="29" t="s">
        <v>3986</v>
      </c>
      <c r="H35" s="15">
        <f>COUNTIFS('предлог_из'!AD2:AD1000, "s",'предлог_из'!AE2:AE1000, "n")</f>
        <v>0</v>
      </c>
      <c r="I35" s="15">
        <f>COUNTIFS('предлог_из'!AD2:AD1000, "o",'предлог_из'!AE2:AE1000, "n")</f>
        <v>4</v>
      </c>
      <c r="J35" s="15">
        <f>COUNTIFS('предлог_из'!AD2:AD1000, "a",'предлог_из'!AE2:AE1000, "n")</f>
        <v>24</v>
      </c>
    </row>
    <row r="36">
      <c r="G36" s="29" t="s">
        <v>3988</v>
      </c>
      <c r="H36" s="15">
        <f>COUNTIFS('предлог_из'!AD2:AD1000, "s",'предлог_из'!AE2:AE1000, "v")</f>
        <v>25</v>
      </c>
      <c r="I36" s="15">
        <f>COUNTIFS('предлог_из'!AD2:AD1000, "o",'предлог_из'!AE2:AE1000, "v")</f>
        <v>29</v>
      </c>
      <c r="J36" s="15">
        <f>COUNTIFS('предлог_из'!AD3:AD1001, "a",'предлог_из'!AE3:AE1001, "v")</f>
        <v>0</v>
      </c>
    </row>
    <row r="38">
      <c r="A38" s="33" t="s">
        <v>3990</v>
      </c>
      <c r="G38" s="33" t="s">
        <v>3990</v>
      </c>
    </row>
    <row r="39">
      <c r="A39" s="15"/>
      <c r="B39" s="29" t="s">
        <v>3972</v>
      </c>
      <c r="C39" s="35" t="s">
        <v>3983</v>
      </c>
      <c r="D39" s="35" t="s">
        <v>3984</v>
      </c>
      <c r="E39" s="29" t="s">
        <v>3931</v>
      </c>
      <c r="G39" s="15"/>
      <c r="H39" s="29" t="s">
        <v>3972</v>
      </c>
      <c r="I39" s="35" t="s">
        <v>3983</v>
      </c>
      <c r="J39" s="44" t="s">
        <v>3984</v>
      </c>
      <c r="K39" s="19"/>
    </row>
    <row r="40">
      <c r="A40" s="29" t="s">
        <v>3959</v>
      </c>
      <c r="B40" s="15">
        <f>COUNTIFS('предлог_с'!AD2:AD1000, "s",'предлог_с'!Q2:Q1000, 1)</f>
        <v>111</v>
      </c>
      <c r="C40" s="15">
        <f>COUNTIFS('предлог_с'!AD2:AD1000, "o",'предлог_с'!Q2:Q1000, 1)</f>
        <v>0</v>
      </c>
      <c r="D40" s="15">
        <f>COUNTIFS('предлог_с'!AD2:AD1000, "a",'предлог_с'!Q2:Q1000, 1)</f>
        <v>62</v>
      </c>
      <c r="E40" s="15">
        <f t="shared" ref="E40:E51" si="14">SUM(B40:D40)</f>
        <v>173</v>
      </c>
      <c r="G40" s="29" t="s">
        <v>3959</v>
      </c>
      <c r="H40" s="28">
        <f t="shared" ref="H40:H52" si="15">B40/E40</f>
        <v>0.6416184971</v>
      </c>
      <c r="I40" s="28">
        <f t="shared" ref="I40:I52" si="16">C40/E40</f>
        <v>0</v>
      </c>
      <c r="J40" s="28">
        <f t="shared" ref="J40:J52" si="17">D40/E40</f>
        <v>0.3583815029</v>
      </c>
    </row>
    <row r="41">
      <c r="A41" s="29" t="s">
        <v>3960</v>
      </c>
      <c r="B41" s="15">
        <f>COUNTIFS('предлог_с'!AD2:AD1000, "s",'предлог_с'!R2:R1000, 1)</f>
        <v>25</v>
      </c>
      <c r="C41" s="15">
        <f>COUNTIFS('предлог_с'!AD2:AD1000, "o",'предлог_с'!R2:R1000, 1)</f>
        <v>0</v>
      </c>
      <c r="D41" s="15">
        <f>COUNTIFS('предлог_с'!AD2:AD1000, "a",'предлог_с'!R2:R1000, 1)</f>
        <v>22</v>
      </c>
      <c r="E41" s="15">
        <f t="shared" si="14"/>
        <v>47</v>
      </c>
      <c r="G41" s="29" t="s">
        <v>3960</v>
      </c>
      <c r="H41" s="28">
        <f t="shared" si="15"/>
        <v>0.5319148936</v>
      </c>
      <c r="I41" s="28">
        <f t="shared" si="16"/>
        <v>0</v>
      </c>
      <c r="J41" s="28">
        <f t="shared" si="17"/>
        <v>0.4680851064</v>
      </c>
    </row>
    <row r="42">
      <c r="A42" s="35" t="s">
        <v>18</v>
      </c>
      <c r="B42" s="15">
        <f>COUNTIFS('предлог_с'!AD2:AD1000, "s",'предлог_с'!S2:S1000, 1)</f>
        <v>13</v>
      </c>
      <c r="C42" s="15">
        <f>COUNTIFS('предлог_с'!AD2:AD1000, "o",'предлог_с'!S2:S1000, 1)</f>
        <v>0</v>
      </c>
      <c r="D42" s="15">
        <f>COUNTIFS('предлог_с'!AD2:AD1000, "a",'предлог_с'!S2:S1000, 1)</f>
        <v>0</v>
      </c>
      <c r="E42" s="15">
        <f t="shared" si="14"/>
        <v>13</v>
      </c>
      <c r="G42" s="35" t="s">
        <v>18</v>
      </c>
      <c r="H42" s="28">
        <f t="shared" si="15"/>
        <v>1</v>
      </c>
      <c r="I42" s="28">
        <f t="shared" si="16"/>
        <v>0</v>
      </c>
      <c r="J42" s="28">
        <f t="shared" si="17"/>
        <v>0</v>
      </c>
    </row>
    <row r="43">
      <c r="A43" s="29" t="s">
        <v>3962</v>
      </c>
      <c r="B43" s="15">
        <f>COUNTIFS('предлог_с'!AD2:AD1000, "s",'предлог_с'!T2:T1000, 1)</f>
        <v>13</v>
      </c>
      <c r="C43" s="15">
        <f>COUNTIFS('предлог_с'!AD2:AD1000, "o",'предлог_с'!T2:T1000, 1)</f>
        <v>0</v>
      </c>
      <c r="D43" s="15">
        <f>COUNTIFS('предлог_с'!AD2:AD1000, "a",'предлог_с'!T2:T1000, 1)</f>
        <v>0</v>
      </c>
      <c r="E43" s="15">
        <f t="shared" si="14"/>
        <v>13</v>
      </c>
      <c r="G43" s="29" t="s">
        <v>3962</v>
      </c>
      <c r="H43" s="28">
        <f t="shared" si="15"/>
        <v>1</v>
      </c>
      <c r="I43" s="28">
        <f t="shared" si="16"/>
        <v>0</v>
      </c>
      <c r="J43" s="28">
        <f t="shared" si="17"/>
        <v>0</v>
      </c>
    </row>
    <row r="44">
      <c r="A44" s="29" t="s">
        <v>20</v>
      </c>
      <c r="B44" s="15">
        <f>COUNTIFS('предлог_с'!AD2:AD1000, "s",'предлог_с'!U2:U1000, 1)</f>
        <v>35</v>
      </c>
      <c r="C44" s="15">
        <f>COUNTIFS('предлог_с'!AD2:AD1000, "o",'предлог_с'!U2:U1000, 1)</f>
        <v>0</v>
      </c>
      <c r="D44" s="15">
        <f>COUNTIFS('предлог_с'!AD2:AD1000, "a",'предлог_с'!U2:U1000, 1)</f>
        <v>4</v>
      </c>
      <c r="E44" s="15">
        <f t="shared" si="14"/>
        <v>39</v>
      </c>
      <c r="G44" s="29" t="s">
        <v>20</v>
      </c>
      <c r="H44" s="28">
        <f t="shared" si="15"/>
        <v>0.8974358974</v>
      </c>
      <c r="I44" s="28">
        <f t="shared" si="16"/>
        <v>0</v>
      </c>
      <c r="J44" s="28">
        <f t="shared" si="17"/>
        <v>0.1025641026</v>
      </c>
    </row>
    <row r="45">
      <c r="A45" s="29" t="s">
        <v>3964</v>
      </c>
      <c r="B45" s="15">
        <f>COUNTIFS('предлог_с'!AD2:AD1000, "s",'предлог_с'!X2:X1000, 1)</f>
        <v>29</v>
      </c>
      <c r="C45" s="15">
        <f>COUNTIFS('предлог_с'!AD2:AD1000, "o",'предлог_с'!X2:X1000, 1)</f>
        <v>2</v>
      </c>
      <c r="D45" s="15">
        <f>COUNTIFS('предлог_с'!AD2:AD1000, "a",'предлог_с'!X2:X1000, 1)</f>
        <v>3</v>
      </c>
      <c r="E45" s="15">
        <f t="shared" si="14"/>
        <v>34</v>
      </c>
      <c r="G45" s="29" t="s">
        <v>3964</v>
      </c>
      <c r="H45" s="28">
        <f t="shared" si="15"/>
        <v>0.8529411765</v>
      </c>
      <c r="I45" s="28">
        <f t="shared" si="16"/>
        <v>0.05882352941</v>
      </c>
      <c r="J45" s="28">
        <f t="shared" si="17"/>
        <v>0.08823529412</v>
      </c>
    </row>
    <row r="46">
      <c r="A46" s="29" t="s">
        <v>24</v>
      </c>
      <c r="B46" s="15">
        <f>COUNTIFS('предлог_с'!AD2:AD1000, "s",'предлог_с'!Y2:Y1000, 1)</f>
        <v>0</v>
      </c>
      <c r="C46" s="15">
        <f>COUNTIFS('предлог_с'!AD2:AD1000, "o",'предлог_с'!Y2:Y1000, 1)</f>
        <v>45</v>
      </c>
      <c r="D46" s="15">
        <f>COUNTIFS('предлог_с'!AD2:AD1000, "a",'предлог_с'!Y2:Y1000, 1)</f>
        <v>13</v>
      </c>
      <c r="E46" s="15">
        <f t="shared" si="14"/>
        <v>58</v>
      </c>
      <c r="G46" s="29" t="s">
        <v>24</v>
      </c>
      <c r="H46" s="28">
        <f t="shared" si="15"/>
        <v>0</v>
      </c>
      <c r="I46" s="28">
        <f t="shared" si="16"/>
        <v>0.775862069</v>
      </c>
      <c r="J46" s="28">
        <f t="shared" si="17"/>
        <v>0.224137931</v>
      </c>
    </row>
    <row r="47">
      <c r="A47" s="29" t="s">
        <v>3966</v>
      </c>
      <c r="B47" s="15">
        <f>COUNTIFS('предлог_с'!AD2:AD1000, "s",'предлог_с'!Z2:Z1000, 1)</f>
        <v>14</v>
      </c>
      <c r="C47" s="15">
        <f>COUNTIFS('предлог_с'!AD2:AD1000, "o",'предлог_с'!Z2:Z1000, 1)</f>
        <v>0</v>
      </c>
      <c r="D47" s="15">
        <f>COUNTIFS('предлог_с'!AD2:AD1000, "a",'предлог_с'!Z2:Z1000, 1)</f>
        <v>5</v>
      </c>
      <c r="E47" s="15">
        <f t="shared" si="14"/>
        <v>19</v>
      </c>
      <c r="G47" s="29" t="s">
        <v>3966</v>
      </c>
      <c r="H47" s="28">
        <f t="shared" si="15"/>
        <v>0.7368421053</v>
      </c>
      <c r="I47" s="28">
        <f t="shared" si="16"/>
        <v>0</v>
      </c>
      <c r="J47" s="28">
        <f t="shared" si="17"/>
        <v>0.2631578947</v>
      </c>
    </row>
    <row r="48">
      <c r="A48" s="29" t="s">
        <v>26</v>
      </c>
      <c r="B48" s="15">
        <f>COUNTIFS('предлог_с'!AD2:AD1000, "s",'предлог_с'!AA2:AA1000, 1)</f>
        <v>2</v>
      </c>
      <c r="C48" s="15">
        <f>COUNTIFS('предлог_с'!AD2:AD1000, "o",'предлог_с'!AA2:AA1000, 1)</f>
        <v>0</v>
      </c>
      <c r="D48" s="15">
        <f>COUNTIFS('предлог_с'!AD2:AD1000, "a",'предлог_с'!AA2:AA1000, 1)</f>
        <v>4</v>
      </c>
      <c r="E48" s="15">
        <f t="shared" si="14"/>
        <v>6</v>
      </c>
      <c r="G48" s="29" t="s">
        <v>26</v>
      </c>
      <c r="H48" s="28">
        <f t="shared" si="15"/>
        <v>0.3333333333</v>
      </c>
      <c r="I48" s="28">
        <f t="shared" si="16"/>
        <v>0</v>
      </c>
      <c r="J48" s="28">
        <f t="shared" si="17"/>
        <v>0.6666666667</v>
      </c>
    </row>
    <row r="49">
      <c r="A49" s="29" t="s">
        <v>3967</v>
      </c>
      <c r="B49" s="15">
        <f>COUNTIFS('предлог_с'!AD2:AD1000, "s",'предлог_с'!AB2:AB1000, 1)</f>
        <v>0</v>
      </c>
      <c r="C49" s="15">
        <f>COUNTIFS('предлог_с'!AD2:AD1000, "o",'предлог_с'!AB2:AB1000, 1)</f>
        <v>1</v>
      </c>
      <c r="D49" s="15">
        <f>COUNTIFS('предлог_с'!AD2:AD1000, "a",'предлог_с'!AB2:AB1000, 1)</f>
        <v>0</v>
      </c>
      <c r="E49" s="15">
        <f t="shared" si="14"/>
        <v>1</v>
      </c>
      <c r="G49" s="29" t="s">
        <v>3967</v>
      </c>
      <c r="H49" s="28">
        <f t="shared" si="15"/>
        <v>0</v>
      </c>
      <c r="I49" s="28">
        <f t="shared" si="16"/>
        <v>1</v>
      </c>
      <c r="J49" s="28">
        <f t="shared" si="17"/>
        <v>0</v>
      </c>
    </row>
    <row r="50">
      <c r="A50" s="41" t="s">
        <v>21</v>
      </c>
      <c r="B50" s="15">
        <f>COUNTIFS('предлог_с'!AD2:AD1000, "s",'предлог_с'!V2:V1000, 1)</f>
        <v>4</v>
      </c>
      <c r="C50" s="15">
        <f>COUNTIFS('предлог_с'!AD2:AD1000, "o",'предлог_с'!V2:V1000, 1)</f>
        <v>0</v>
      </c>
      <c r="D50" s="15">
        <f>COUNTIFS('предлог_с'!AD2:AD1000, "a",'предлог_с'!V2:V1000, 1)</f>
        <v>1</v>
      </c>
      <c r="E50" s="15">
        <f t="shared" si="14"/>
        <v>5</v>
      </c>
      <c r="G50" s="41" t="s">
        <v>21</v>
      </c>
      <c r="H50" s="28">
        <f t="shared" si="15"/>
        <v>0.8</v>
      </c>
      <c r="I50" s="28">
        <f t="shared" si="16"/>
        <v>0</v>
      </c>
      <c r="J50" s="28">
        <f t="shared" si="17"/>
        <v>0.2</v>
      </c>
    </row>
    <row r="51">
      <c r="A51" s="36" t="s">
        <v>22</v>
      </c>
      <c r="B51" s="15">
        <f>COUNTIFS('предлог_с'!AD2:AD1000, "s",'предлог_с'!W2:W1000, 1)</f>
        <v>4</v>
      </c>
      <c r="C51" s="15">
        <f>COUNTIFS('предлог_с'!AD2:AD1000, "o",'предлог_с'!W2:W1000, 1)</f>
        <v>1</v>
      </c>
      <c r="D51" s="15">
        <f>COUNTIFS('предлог_с'!AD2:AD1000, "a",'предлог_с'!W2:W1000, 1)</f>
        <v>0</v>
      </c>
      <c r="E51" s="15">
        <f t="shared" si="14"/>
        <v>5</v>
      </c>
      <c r="G51" s="36" t="s">
        <v>22</v>
      </c>
      <c r="H51" s="28">
        <f t="shared" si="15"/>
        <v>0.8</v>
      </c>
      <c r="I51" s="28">
        <f t="shared" si="16"/>
        <v>0.2</v>
      </c>
      <c r="J51" s="28">
        <f t="shared" si="17"/>
        <v>0</v>
      </c>
    </row>
    <row r="52">
      <c r="A52" s="29" t="s">
        <v>3931</v>
      </c>
      <c r="B52" s="15">
        <f t="shared" ref="B52:E52" si="18">SUM(B39:B51)</f>
        <v>250</v>
      </c>
      <c r="C52" s="15">
        <f t="shared" si="18"/>
        <v>49</v>
      </c>
      <c r="D52" s="15">
        <f t="shared" si="18"/>
        <v>114</v>
      </c>
      <c r="E52" s="15">
        <f t="shared" si="18"/>
        <v>413</v>
      </c>
      <c r="G52" s="29" t="s">
        <v>3931</v>
      </c>
      <c r="H52" s="42">
        <f t="shared" si="15"/>
        <v>0.6053268765</v>
      </c>
      <c r="I52" s="42">
        <f t="shared" si="16"/>
        <v>0.1186440678</v>
      </c>
      <c r="J52" s="42">
        <f t="shared" si="17"/>
        <v>0.2760290557</v>
      </c>
    </row>
    <row r="55">
      <c r="A55" s="33" t="s">
        <v>3991</v>
      </c>
      <c r="G55" s="33" t="s">
        <v>3991</v>
      </c>
    </row>
    <row r="56">
      <c r="A56" s="15"/>
      <c r="B56" s="29" t="s">
        <v>3972</v>
      </c>
      <c r="C56" s="35" t="s">
        <v>3983</v>
      </c>
      <c r="D56" s="35" t="s">
        <v>3984</v>
      </c>
      <c r="E56" s="29" t="s">
        <v>3931</v>
      </c>
      <c r="G56" s="15"/>
      <c r="H56" s="29" t="s">
        <v>3972</v>
      </c>
      <c r="I56" s="35" t="s">
        <v>3983</v>
      </c>
      <c r="J56" s="35" t="s">
        <v>3984</v>
      </c>
    </row>
    <row r="57">
      <c r="A57" s="29" t="s">
        <v>3959</v>
      </c>
      <c r="B57" s="15">
        <f>COUNTIFS('предлог_из'!AD2:AD1000, "s",'предлог_из'!Q2:Q1000, 1)</f>
        <v>8</v>
      </c>
      <c r="C57" s="15">
        <f>COUNTIFS('предлог_из'!AD2:AD1000, "o",'предлог_из'!Q2:Q1000, 1)</f>
        <v>0</v>
      </c>
      <c r="D57" s="15">
        <f>COUNTIFS('предлог_из'!AD2:AD1000, "a",'предлог_из'!Q2:Q1000, 1)</f>
        <v>8</v>
      </c>
      <c r="E57" s="15">
        <f t="shared" ref="E57:E68" si="19">SUM(B57:D57)</f>
        <v>16</v>
      </c>
      <c r="G57" s="29" t="s">
        <v>3959</v>
      </c>
      <c r="H57" s="28">
        <f t="shared" ref="H57:H63" si="20">B57/E57</f>
        <v>0.5</v>
      </c>
      <c r="I57" s="28">
        <f t="shared" ref="I57:I63" si="21">C57/E57</f>
        <v>0</v>
      </c>
      <c r="J57" s="28">
        <f t="shared" ref="J57:J63" si="22">D57/E57</f>
        <v>0.5</v>
      </c>
    </row>
    <row r="58">
      <c r="A58" s="29" t="s">
        <v>3960</v>
      </c>
      <c r="B58" s="15">
        <f>COUNTIFS('предлог_из'!AD2:AD1000, "s",'предлог_из'!R2:R1000, 1)</f>
        <v>0</v>
      </c>
      <c r="C58" s="15">
        <f>COUNTIFS('предлог_из'!AD2:AD1000, "o",'предлог_из'!R2:R1000, 1)</f>
        <v>2</v>
      </c>
      <c r="D58" s="15">
        <f>COUNTIFS('предлог_с'!AD2:AD1000, "a",'предлог_с'!R2:R1000, 1)</f>
        <v>22</v>
      </c>
      <c r="E58" s="15">
        <f t="shared" si="19"/>
        <v>24</v>
      </c>
      <c r="G58" s="29" t="s">
        <v>3960</v>
      </c>
      <c r="H58" s="28">
        <f t="shared" si="20"/>
        <v>0</v>
      </c>
      <c r="I58" s="28">
        <f t="shared" si="21"/>
        <v>0.08333333333</v>
      </c>
      <c r="J58" s="28">
        <f t="shared" si="22"/>
        <v>0.9166666667</v>
      </c>
    </row>
    <row r="59">
      <c r="A59" s="35" t="s">
        <v>18</v>
      </c>
      <c r="B59" s="15">
        <f>COUNTIFS('предлог_из'!AD2:AD1000, "s",'предлог_из'!S2:S1000, 1)</f>
        <v>4</v>
      </c>
      <c r="C59" s="15">
        <f>COUNTIFS('предлог_из'!AD2:AD1000, "o",'предлог_из'!S2:S1000, 1)</f>
        <v>0</v>
      </c>
      <c r="D59" s="15">
        <f>COUNTIFS('предлог_из'!AD2:AD1000, "a",'предлог_из'!S2:S1000, 1)</f>
        <v>0</v>
      </c>
      <c r="E59" s="15">
        <f t="shared" si="19"/>
        <v>4</v>
      </c>
      <c r="G59" s="35" t="s">
        <v>18</v>
      </c>
      <c r="H59" s="28">
        <f t="shared" si="20"/>
        <v>1</v>
      </c>
      <c r="I59" s="28">
        <f t="shared" si="21"/>
        <v>0</v>
      </c>
      <c r="J59" s="28">
        <f t="shared" si="22"/>
        <v>0</v>
      </c>
    </row>
    <row r="60">
      <c r="A60" s="29" t="s">
        <v>3962</v>
      </c>
      <c r="B60" s="15">
        <f>COUNTIFS('предлог_из'!AD2:AD1000, "s",'предлог_из'!T2:T1000, 1)</f>
        <v>1</v>
      </c>
      <c r="C60" s="15">
        <f>COUNTIFS('предлог_из'!AD2:AD1000, "o",'предлог_из'!T2:T1000, 1)</f>
        <v>0</v>
      </c>
      <c r="D60" s="15">
        <f>COUNTIFS('предлог_из'!AD2:AD1000, "a",'предлог_из'!T2:T1000, 1)</f>
        <v>0</v>
      </c>
      <c r="E60" s="15">
        <f t="shared" si="19"/>
        <v>1</v>
      </c>
      <c r="G60" s="29" t="s">
        <v>3962</v>
      </c>
      <c r="H60" s="28">
        <f t="shared" si="20"/>
        <v>1</v>
      </c>
      <c r="I60" s="28">
        <f t="shared" si="21"/>
        <v>0</v>
      </c>
      <c r="J60" s="28">
        <f t="shared" si="22"/>
        <v>0</v>
      </c>
    </row>
    <row r="61">
      <c r="A61" s="29" t="s">
        <v>20</v>
      </c>
      <c r="B61" s="15">
        <f>COUNTIFS('предлог_из'!AD2:AD1000, "s",'предлог_из'!U2:U1000, 1)</f>
        <v>9</v>
      </c>
      <c r="C61" s="15">
        <f>COUNTIFS('предлог_из'!AD2:AD1000, "o",'предлог_из'!U2:U1000, 1)</f>
        <v>0</v>
      </c>
      <c r="D61" s="15">
        <f>COUNTIFS('предлог_из'!AD2:AD1000, "a",'предлог_из'!U2:U1000, 1)</f>
        <v>0</v>
      </c>
      <c r="E61" s="15">
        <f t="shared" si="19"/>
        <v>9</v>
      </c>
      <c r="G61" s="29" t="s">
        <v>20</v>
      </c>
      <c r="H61" s="28">
        <f t="shared" si="20"/>
        <v>1</v>
      </c>
      <c r="I61" s="28">
        <f t="shared" si="21"/>
        <v>0</v>
      </c>
      <c r="J61" s="28">
        <f t="shared" si="22"/>
        <v>0</v>
      </c>
    </row>
    <row r="62">
      <c r="A62" s="29" t="s">
        <v>3964</v>
      </c>
      <c r="B62" s="15">
        <f>COUNTIFS('предлог_из'!AD2:AD1000, "s",'предлог_из'!X2:X1000, 1)</f>
        <v>1</v>
      </c>
      <c r="C62" s="15">
        <f>COUNTIFS('предлог_из'!AD2:AD1000, "o",'предлог_из'!X2:X1000, 1)</f>
        <v>0</v>
      </c>
      <c r="D62" s="15">
        <f>COUNTIFS('предлог_из'!AD2:AD1000, "a",'предлог_из'!X2:X1000, 1)</f>
        <v>0</v>
      </c>
      <c r="E62" s="15">
        <f t="shared" si="19"/>
        <v>1</v>
      </c>
      <c r="G62" s="29" t="s">
        <v>3964</v>
      </c>
      <c r="H62" s="28">
        <f t="shared" si="20"/>
        <v>1</v>
      </c>
      <c r="I62" s="28">
        <f t="shared" si="21"/>
        <v>0</v>
      </c>
      <c r="J62" s="28">
        <f t="shared" si="22"/>
        <v>0</v>
      </c>
    </row>
    <row r="63">
      <c r="A63" s="29" t="s">
        <v>24</v>
      </c>
      <c r="B63" s="15">
        <f>COUNTIFS('предлог_из'!AD2:AD1000, "s",'предлог_из'!Y2:Y1000, 1)</f>
        <v>0</v>
      </c>
      <c r="C63" s="15">
        <f>COUNTIFS('предлог_из'!AD2:AD1000, "o",'предлог_из'!Y2:Y1000, 1)</f>
        <v>24</v>
      </c>
      <c r="D63" s="15">
        <f>COUNTIFS('предлог_из'!AD2:AD1000, "a",'предлог_из'!Y2:Y1000, 1)</f>
        <v>6</v>
      </c>
      <c r="E63" s="15">
        <f t="shared" si="19"/>
        <v>30</v>
      </c>
      <c r="G63" s="29" t="s">
        <v>24</v>
      </c>
      <c r="H63" s="28">
        <f t="shared" si="20"/>
        <v>0</v>
      </c>
      <c r="I63" s="28">
        <f t="shared" si="21"/>
        <v>0.8</v>
      </c>
      <c r="J63" s="28">
        <f t="shared" si="22"/>
        <v>0.2</v>
      </c>
    </row>
    <row r="64">
      <c r="A64" s="29" t="s">
        <v>3966</v>
      </c>
      <c r="B64" s="15">
        <f>COUNTIFS('предлог_из'!AD2:AD1000, "s",'предлог_из'!Z2:Z1000, 1)</f>
        <v>0</v>
      </c>
      <c r="C64" s="15">
        <f>COUNTIFS('предлог_из'!AD2:AD1000, "o",'предлог_из'!Z2:Z1000, 1)</f>
        <v>0</v>
      </c>
      <c r="D64" s="15">
        <f>COUNTIFS('предлог_из'!AD2:AD1000, "a",'предлог_из'!Z2:Z1000, 1)</f>
        <v>0</v>
      </c>
      <c r="E64" s="15">
        <f t="shared" si="19"/>
        <v>0</v>
      </c>
      <c r="G64" s="29" t="s">
        <v>3966</v>
      </c>
      <c r="H64" s="42">
        <v>0.0</v>
      </c>
      <c r="I64" s="42">
        <v>0.0</v>
      </c>
      <c r="J64" s="42">
        <v>0.0</v>
      </c>
    </row>
    <row r="65">
      <c r="A65" s="29" t="s">
        <v>26</v>
      </c>
      <c r="B65" s="15">
        <f>COUNTIFS('предлог_из'!AD2:AD1000, "s",'предлог_из'!AA2:AA1000, 1)</f>
        <v>0</v>
      </c>
      <c r="C65" s="15">
        <f>COUNTIFS('предлог_из'!AD2:AD1000, "o",'предлог_из'!AA2:AA1000, 1)</f>
        <v>6</v>
      </c>
      <c r="D65" s="15">
        <f>COUNTIFS('предлог_из'!AD2:AD1000, "a",'предлог_из'!AA2:AA1000, 1)</f>
        <v>7</v>
      </c>
      <c r="E65" s="15">
        <f t="shared" si="19"/>
        <v>13</v>
      </c>
      <c r="G65" s="29" t="s">
        <v>26</v>
      </c>
      <c r="H65" s="28">
        <f>B65/E65</f>
        <v>0</v>
      </c>
      <c r="I65" s="28">
        <f>C65/E65</f>
        <v>0.4615384615</v>
      </c>
      <c r="J65" s="28">
        <f>D65/E65</f>
        <v>0.5384615385</v>
      </c>
    </row>
    <row r="66">
      <c r="A66" s="29" t="s">
        <v>3967</v>
      </c>
      <c r="B66" s="15">
        <f>COUNTIFS('предлог_из'!AD2:AD1000, "s",'предлог_из'!AB2:AB1000, 1)</f>
        <v>0</v>
      </c>
      <c r="C66" s="15">
        <f>COUNTIFS('предлог_из'!AD2:AD1000, "o",'предлог_из'!AB2:AB1000, 1)</f>
        <v>0</v>
      </c>
      <c r="D66" s="15">
        <f>COUNTIFS('предлог_из'!AD2:AD1000, "a",'предлог_из'!AB2:AB1000, 1)</f>
        <v>0</v>
      </c>
      <c r="E66" s="15">
        <f t="shared" si="19"/>
        <v>0</v>
      </c>
      <c r="G66" s="29" t="s">
        <v>3967</v>
      </c>
      <c r="H66" s="42">
        <v>0.0</v>
      </c>
      <c r="I66" s="42">
        <v>0.0</v>
      </c>
      <c r="J66" s="42">
        <v>0.0</v>
      </c>
    </row>
    <row r="67">
      <c r="A67" s="41" t="s">
        <v>21</v>
      </c>
      <c r="B67" s="15">
        <f>COUNTIFS('предлог_из'!AD2:AD1000, "s",'предлог_из'!V2:V1000, 1)</f>
        <v>2</v>
      </c>
      <c r="C67" s="15">
        <f>COUNTIFS('предлог_из'!AD2:AD1000, "o",'предлог_из'!V2:V1000, 1)</f>
        <v>0</v>
      </c>
      <c r="D67" s="15">
        <f>COUNTIFS('предлог_из'!AD2:AD1000, "a",'предлог_из'!V2:V1000, 1)</f>
        <v>0</v>
      </c>
      <c r="E67" s="15">
        <f t="shared" si="19"/>
        <v>2</v>
      </c>
      <c r="G67" s="41" t="s">
        <v>21</v>
      </c>
      <c r="H67" s="28">
        <f t="shared" ref="H67:H69" si="23">B67/E67</f>
        <v>1</v>
      </c>
      <c r="I67" s="28">
        <f t="shared" ref="I67:I69" si="24">C67/E67</f>
        <v>0</v>
      </c>
      <c r="J67" s="28">
        <f t="shared" ref="J67:J69" si="25">D67/E67</f>
        <v>0</v>
      </c>
    </row>
    <row r="68">
      <c r="A68" s="36" t="s">
        <v>22</v>
      </c>
      <c r="B68" s="15">
        <f>COUNTIFS('предлог_из'!AD2:AD1000, "s",'предлог_из'!W2:W1000, 1)</f>
        <v>0</v>
      </c>
      <c r="C68" s="15">
        <f>COUNTIFS('предлог_из'!AD2:AD1000, "o",'предлог_из'!W2:W1000, 1)</f>
        <v>1</v>
      </c>
      <c r="D68" s="15">
        <f>COUNTIFS('предлог_из'!AD2:AD1000, "a",'предлог_из'!W2:W1000, 1)</f>
        <v>2</v>
      </c>
      <c r="E68" s="15">
        <f t="shared" si="19"/>
        <v>3</v>
      </c>
      <c r="G68" s="36" t="s">
        <v>22</v>
      </c>
      <c r="H68" s="28">
        <f t="shared" si="23"/>
        <v>0</v>
      </c>
      <c r="I68" s="28">
        <f t="shared" si="24"/>
        <v>0.3333333333</v>
      </c>
      <c r="J68" s="28">
        <f t="shared" si="25"/>
        <v>0.6666666667</v>
      </c>
    </row>
    <row r="69">
      <c r="A69" s="29" t="s">
        <v>3931</v>
      </c>
      <c r="B69" s="29">
        <f t="shared" ref="B69:D69" si="26">SUM(B55:B68)</f>
        <v>25</v>
      </c>
      <c r="C69" s="29">
        <f t="shared" si="26"/>
        <v>33</v>
      </c>
      <c r="D69" s="29">
        <f t="shared" si="26"/>
        <v>45</v>
      </c>
      <c r="E69" s="15">
        <f>SUM(E57:E68)</f>
        <v>103</v>
      </c>
      <c r="G69" s="29" t="s">
        <v>3931</v>
      </c>
      <c r="H69" s="28">
        <f t="shared" si="23"/>
        <v>0.2427184466</v>
      </c>
      <c r="I69" s="28">
        <f t="shared" si="24"/>
        <v>0.3203883495</v>
      </c>
      <c r="J69" s="28">
        <f t="shared" si="25"/>
        <v>0.4368932039</v>
      </c>
    </row>
    <row r="71">
      <c r="A71" s="33" t="s">
        <v>3992</v>
      </c>
      <c r="G71" s="33" t="s">
        <v>3992</v>
      </c>
    </row>
    <row r="72">
      <c r="A72" s="15"/>
      <c r="B72" s="29" t="s">
        <v>3972</v>
      </c>
      <c r="C72" s="35" t="s">
        <v>3983</v>
      </c>
      <c r="D72" s="35" t="s">
        <v>3984</v>
      </c>
      <c r="E72" s="29" t="s">
        <v>3931</v>
      </c>
      <c r="G72" s="15"/>
      <c r="H72" s="29" t="s">
        <v>3972</v>
      </c>
      <c r="I72" s="35" t="s">
        <v>3983</v>
      </c>
      <c r="J72" s="35" t="s">
        <v>3984</v>
      </c>
    </row>
    <row r="73">
      <c r="A73" s="29" t="s">
        <v>3959</v>
      </c>
      <c r="B73" s="15">
        <v>8.0</v>
      </c>
      <c r="C73" s="15">
        <v>0.0</v>
      </c>
      <c r="D73" s="29">
        <v>4.0</v>
      </c>
      <c r="E73" s="29">
        <v>12.0</v>
      </c>
      <c r="G73" s="29" t="s">
        <v>3959</v>
      </c>
      <c r="H73" s="28">
        <f t="shared" ref="H73:H79" si="27">B73/E73</f>
        <v>0.6666666667</v>
      </c>
      <c r="I73" s="42">
        <f t="shared" ref="I73:I79" si="28">C73/E73</f>
        <v>0</v>
      </c>
      <c r="J73" s="28">
        <f t="shared" ref="J73:J79" si="29">D73/E73</f>
        <v>0.3333333333</v>
      </c>
    </row>
    <row r="74">
      <c r="A74" s="29" t="s">
        <v>3960</v>
      </c>
      <c r="B74" s="15">
        <v>0.0</v>
      </c>
      <c r="C74" s="15">
        <v>2.0</v>
      </c>
      <c r="D74" s="15">
        <v>22.0</v>
      </c>
      <c r="E74" s="15">
        <v>24.0</v>
      </c>
      <c r="G74" s="29" t="s">
        <v>3960</v>
      </c>
      <c r="H74" s="28">
        <f t="shared" si="27"/>
        <v>0</v>
      </c>
      <c r="I74" s="42">
        <f t="shared" si="28"/>
        <v>0.08333333333</v>
      </c>
      <c r="J74" s="28">
        <f t="shared" si="29"/>
        <v>0.9166666667</v>
      </c>
    </row>
    <row r="75">
      <c r="A75" s="35" t="s">
        <v>18</v>
      </c>
      <c r="B75" s="15">
        <v>4.0</v>
      </c>
      <c r="C75" s="15">
        <v>0.0</v>
      </c>
      <c r="D75" s="15">
        <v>0.0</v>
      </c>
      <c r="E75" s="15">
        <v>4.0</v>
      </c>
      <c r="G75" s="35" t="s">
        <v>18</v>
      </c>
      <c r="H75" s="28">
        <f t="shared" si="27"/>
        <v>1</v>
      </c>
      <c r="I75" s="42">
        <f t="shared" si="28"/>
        <v>0</v>
      </c>
      <c r="J75" s="28">
        <f t="shared" si="29"/>
        <v>0</v>
      </c>
    </row>
    <row r="76">
      <c r="A76" s="29" t="s">
        <v>3962</v>
      </c>
      <c r="B76" s="15">
        <v>1.0</v>
      </c>
      <c r="C76" s="15">
        <v>0.0</v>
      </c>
      <c r="D76" s="15">
        <v>0.0</v>
      </c>
      <c r="E76" s="15">
        <v>1.0</v>
      </c>
      <c r="G76" s="29" t="s">
        <v>3962</v>
      </c>
      <c r="H76" s="28">
        <f t="shared" si="27"/>
        <v>1</v>
      </c>
      <c r="I76" s="42">
        <f t="shared" si="28"/>
        <v>0</v>
      </c>
      <c r="J76" s="28">
        <f t="shared" si="29"/>
        <v>0</v>
      </c>
    </row>
    <row r="77">
      <c r="A77" s="29" t="s">
        <v>20</v>
      </c>
      <c r="B77" s="15">
        <v>9.0</v>
      </c>
      <c r="C77" s="15">
        <v>0.0</v>
      </c>
      <c r="D77" s="15">
        <v>0.0</v>
      </c>
      <c r="E77" s="15">
        <v>9.0</v>
      </c>
      <c r="G77" s="29" t="s">
        <v>20</v>
      </c>
      <c r="H77" s="28">
        <f t="shared" si="27"/>
        <v>1</v>
      </c>
      <c r="I77" s="42">
        <f t="shared" si="28"/>
        <v>0</v>
      </c>
      <c r="J77" s="28">
        <f t="shared" si="29"/>
        <v>0</v>
      </c>
    </row>
    <row r="78">
      <c r="A78" s="29" t="s">
        <v>3964</v>
      </c>
      <c r="B78" s="15">
        <v>1.0</v>
      </c>
      <c r="C78" s="15">
        <v>0.0</v>
      </c>
      <c r="D78" s="15">
        <v>0.0</v>
      </c>
      <c r="E78" s="15">
        <v>1.0</v>
      </c>
      <c r="G78" s="29" t="s">
        <v>3964</v>
      </c>
      <c r="H78" s="28">
        <f t="shared" si="27"/>
        <v>1</v>
      </c>
      <c r="I78" s="42">
        <f t="shared" si="28"/>
        <v>0</v>
      </c>
      <c r="J78" s="28">
        <f t="shared" si="29"/>
        <v>0</v>
      </c>
    </row>
    <row r="79">
      <c r="A79" s="29" t="s">
        <v>24</v>
      </c>
      <c r="B79" s="15">
        <v>0.0</v>
      </c>
      <c r="C79" s="29">
        <v>20.0</v>
      </c>
      <c r="D79" s="15">
        <v>6.0</v>
      </c>
      <c r="E79" s="29">
        <v>26.0</v>
      </c>
      <c r="G79" s="29" t="s">
        <v>24</v>
      </c>
      <c r="H79" s="28">
        <f t="shared" si="27"/>
        <v>0</v>
      </c>
      <c r="I79" s="42">
        <f t="shared" si="28"/>
        <v>0.7692307692</v>
      </c>
      <c r="J79" s="28">
        <f t="shared" si="29"/>
        <v>0.2307692308</v>
      </c>
    </row>
    <row r="80">
      <c r="A80" s="29" t="s">
        <v>3966</v>
      </c>
      <c r="B80" s="15">
        <v>0.0</v>
      </c>
      <c r="C80" s="15">
        <v>0.0</v>
      </c>
      <c r="D80" s="15">
        <v>0.0</v>
      </c>
      <c r="E80" s="15">
        <v>0.0</v>
      </c>
      <c r="G80" s="29" t="s">
        <v>3966</v>
      </c>
      <c r="H80" s="42">
        <v>0.0</v>
      </c>
      <c r="I80" s="42">
        <v>0.0</v>
      </c>
      <c r="J80" s="42">
        <v>0.0</v>
      </c>
    </row>
    <row r="81">
      <c r="A81" s="29" t="s">
        <v>26</v>
      </c>
      <c r="B81" s="15">
        <v>0.0</v>
      </c>
      <c r="C81" s="15">
        <v>6.0</v>
      </c>
      <c r="D81" s="15">
        <v>7.0</v>
      </c>
      <c r="E81" s="15">
        <v>13.0</v>
      </c>
      <c r="G81" s="29" t="s">
        <v>26</v>
      </c>
      <c r="H81" s="28">
        <f>B81/E81</f>
        <v>0</v>
      </c>
      <c r="I81" s="42">
        <f>C81/E81</f>
        <v>0.4615384615</v>
      </c>
      <c r="J81" s="28">
        <f>D81/E81</f>
        <v>0.5384615385</v>
      </c>
    </row>
    <row r="82">
      <c r="A82" s="29" t="s">
        <v>3967</v>
      </c>
      <c r="B82" s="15">
        <v>0.0</v>
      </c>
      <c r="C82" s="15">
        <v>0.0</v>
      </c>
      <c r="D82" s="15">
        <v>0.0</v>
      </c>
      <c r="E82" s="15">
        <v>0.0</v>
      </c>
      <c r="G82" s="29" t="s">
        <v>3967</v>
      </c>
      <c r="H82" s="42">
        <v>0.0</v>
      </c>
      <c r="I82" s="42">
        <v>0.0</v>
      </c>
      <c r="J82" s="42">
        <v>0.0</v>
      </c>
    </row>
    <row r="83">
      <c r="A83" s="41" t="s">
        <v>21</v>
      </c>
      <c r="B83" s="15">
        <v>2.0</v>
      </c>
      <c r="C83" s="15">
        <v>0.0</v>
      </c>
      <c r="D83" s="15">
        <v>0.0</v>
      </c>
      <c r="E83" s="15">
        <v>2.0</v>
      </c>
      <c r="G83" s="41" t="s">
        <v>21</v>
      </c>
      <c r="H83" s="28">
        <f t="shared" ref="H83:H85" si="30">B83/E83</f>
        <v>1</v>
      </c>
      <c r="I83" s="42">
        <f t="shared" ref="I83:I85" si="31">C83/E83</f>
        <v>0</v>
      </c>
      <c r="J83" s="28">
        <f t="shared" ref="J83:J85" si="32">D83/E83</f>
        <v>0</v>
      </c>
    </row>
    <row r="84">
      <c r="A84" s="36" t="s">
        <v>22</v>
      </c>
      <c r="B84" s="15">
        <v>0.0</v>
      </c>
      <c r="C84" s="15">
        <v>1.0</v>
      </c>
      <c r="D84" s="15">
        <v>2.0</v>
      </c>
      <c r="E84" s="15">
        <v>3.0</v>
      </c>
      <c r="G84" s="36" t="s">
        <v>22</v>
      </c>
      <c r="H84" s="28">
        <f t="shared" si="30"/>
        <v>0</v>
      </c>
      <c r="I84" s="42">
        <f t="shared" si="31"/>
        <v>0.3333333333</v>
      </c>
      <c r="J84" s="28">
        <f t="shared" si="32"/>
        <v>0.6666666667</v>
      </c>
    </row>
    <row r="85">
      <c r="A85" s="29" t="s">
        <v>3931</v>
      </c>
      <c r="B85" s="29">
        <f t="shared" ref="B85:E85" si="33">SUM(B72:B84)</f>
        <v>25</v>
      </c>
      <c r="C85" s="29">
        <f t="shared" si="33"/>
        <v>29</v>
      </c>
      <c r="D85" s="29">
        <f t="shared" si="33"/>
        <v>41</v>
      </c>
      <c r="E85" s="15">
        <f t="shared" si="33"/>
        <v>95</v>
      </c>
      <c r="G85" s="29" t="s">
        <v>3931</v>
      </c>
      <c r="H85" s="28">
        <f t="shared" si="30"/>
        <v>0.2631578947</v>
      </c>
      <c r="I85" s="42">
        <f t="shared" si="31"/>
        <v>0.3052631579</v>
      </c>
      <c r="J85" s="28">
        <f t="shared" si="32"/>
        <v>0.4315789474</v>
      </c>
    </row>
    <row r="90">
      <c r="G90" s="19" t="s">
        <v>3993</v>
      </c>
    </row>
    <row r="91">
      <c r="G91" s="35" t="s">
        <v>3954</v>
      </c>
      <c r="H91" s="35" t="s">
        <v>3957</v>
      </c>
      <c r="I91" s="35" t="s">
        <v>3958</v>
      </c>
    </row>
    <row r="92">
      <c r="G92" s="29" t="s">
        <v>3959</v>
      </c>
      <c r="H92" s="45">
        <v>12.0</v>
      </c>
      <c r="I92" s="46">
        <f>H92/H104</f>
        <v>0.1463414634</v>
      </c>
    </row>
    <row r="93">
      <c r="G93" s="29" t="s">
        <v>3960</v>
      </c>
      <c r="H93" s="47">
        <v>3.0</v>
      </c>
      <c r="I93" s="46">
        <f t="shared" ref="I93:I103" si="34">H93/$H$104</f>
        <v>0.03658536585</v>
      </c>
    </row>
    <row r="94">
      <c r="G94" s="35" t="s">
        <v>18</v>
      </c>
      <c r="H94" s="47">
        <v>4.0</v>
      </c>
      <c r="I94" s="46">
        <f t="shared" si="34"/>
        <v>0.0487804878</v>
      </c>
    </row>
    <row r="95">
      <c r="G95" s="29" t="s">
        <v>3962</v>
      </c>
      <c r="H95" s="47">
        <v>1.0</v>
      </c>
      <c r="I95" s="46">
        <f t="shared" si="34"/>
        <v>0.01219512195</v>
      </c>
    </row>
    <row r="96">
      <c r="G96" s="29" t="s">
        <v>20</v>
      </c>
      <c r="H96" s="47">
        <v>9.0</v>
      </c>
      <c r="I96" s="46">
        <f t="shared" si="34"/>
        <v>0.1097560976</v>
      </c>
    </row>
    <row r="97">
      <c r="G97" s="29" t="s">
        <v>3964</v>
      </c>
      <c r="H97" s="47">
        <v>1.0</v>
      </c>
      <c r="I97" s="46">
        <f t="shared" si="34"/>
        <v>0.01219512195</v>
      </c>
    </row>
    <row r="98">
      <c r="G98" s="29" t="s">
        <v>24</v>
      </c>
      <c r="H98" s="45">
        <v>26.0</v>
      </c>
      <c r="I98" s="46">
        <f t="shared" si="34"/>
        <v>0.3170731707</v>
      </c>
    </row>
    <row r="99">
      <c r="G99" s="29" t="s">
        <v>3966</v>
      </c>
      <c r="H99" s="47">
        <v>0.0</v>
      </c>
      <c r="I99" s="46">
        <f t="shared" si="34"/>
        <v>0</v>
      </c>
    </row>
    <row r="100">
      <c r="G100" s="29" t="s">
        <v>26</v>
      </c>
      <c r="H100" s="47">
        <v>13.0</v>
      </c>
      <c r="I100" s="46">
        <f t="shared" si="34"/>
        <v>0.1585365854</v>
      </c>
    </row>
    <row r="101">
      <c r="G101" s="29" t="s">
        <v>3967</v>
      </c>
      <c r="H101" s="47">
        <v>0.0</v>
      </c>
      <c r="I101" s="46">
        <f t="shared" si="34"/>
        <v>0</v>
      </c>
    </row>
    <row r="102">
      <c r="G102" s="41" t="s">
        <v>21</v>
      </c>
      <c r="H102" s="47">
        <v>2.0</v>
      </c>
      <c r="I102" s="46">
        <f t="shared" si="34"/>
        <v>0.0243902439</v>
      </c>
    </row>
    <row r="103">
      <c r="G103" s="36" t="s">
        <v>22</v>
      </c>
      <c r="H103" s="47">
        <v>3.0</v>
      </c>
      <c r="I103" s="46">
        <f t="shared" si="34"/>
        <v>0.03658536585</v>
      </c>
    </row>
    <row r="104">
      <c r="G104" s="29" t="s">
        <v>3931</v>
      </c>
      <c r="H104" s="45">
        <v>82.0</v>
      </c>
      <c r="I104" s="46"/>
    </row>
  </sheetData>
  <mergeCells count="15">
    <mergeCell ref="G27:J27"/>
    <mergeCell ref="G33:J33"/>
    <mergeCell ref="A38:E38"/>
    <mergeCell ref="G38:J38"/>
    <mergeCell ref="A55:E55"/>
    <mergeCell ref="G55:J55"/>
    <mergeCell ref="A71:E71"/>
    <mergeCell ref="G71:J71"/>
    <mergeCell ref="A1:D1"/>
    <mergeCell ref="F1:J1"/>
    <mergeCell ref="A9:D9"/>
    <mergeCell ref="A18:C18"/>
    <mergeCell ref="F18:J18"/>
    <mergeCell ref="A23:B23"/>
    <mergeCell ref="A27:E2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88"/>
    <col customWidth="1" min="3" max="3" width="50.0"/>
  </cols>
  <sheetData>
    <row r="1">
      <c r="A1" s="48" t="s">
        <v>3994</v>
      </c>
      <c r="B1" s="19" t="s">
        <v>3995</v>
      </c>
      <c r="C1" s="19" t="s">
        <v>3996</v>
      </c>
      <c r="D1" s="19" t="s">
        <v>3997</v>
      </c>
    </row>
    <row r="2">
      <c r="A2" s="48" t="s">
        <v>248</v>
      </c>
      <c r="B2" s="19" t="s">
        <v>3998</v>
      </c>
      <c r="C2" s="19" t="s">
        <v>3999</v>
      </c>
      <c r="D2" s="19" t="s">
        <v>4000</v>
      </c>
    </row>
    <row r="3">
      <c r="A3" s="49" t="s">
        <v>284</v>
      </c>
      <c r="B3" s="19" t="s">
        <v>4001</v>
      </c>
      <c r="C3" s="19" t="s">
        <v>4002</v>
      </c>
      <c r="D3" s="19" t="s">
        <v>4003</v>
      </c>
    </row>
    <row r="4">
      <c r="A4" s="48" t="s">
        <v>483</v>
      </c>
      <c r="B4" s="19" t="s">
        <v>4004</v>
      </c>
      <c r="C4" s="19" t="s">
        <v>4005</v>
      </c>
      <c r="D4" s="19" t="s">
        <v>4000</v>
      </c>
    </row>
    <row r="5">
      <c r="A5" s="48" t="s">
        <v>588</v>
      </c>
      <c r="B5" s="19" t="s">
        <v>4006</v>
      </c>
      <c r="C5" s="19" t="s">
        <v>4007</v>
      </c>
      <c r="D5" s="19" t="s">
        <v>4000</v>
      </c>
    </row>
    <row r="6">
      <c r="A6" s="48" t="s">
        <v>511</v>
      </c>
      <c r="B6" s="19" t="s">
        <v>4008</v>
      </c>
      <c r="C6" s="19" t="s">
        <v>4009</v>
      </c>
      <c r="D6" s="19" t="s">
        <v>4000</v>
      </c>
    </row>
    <row r="7">
      <c r="A7" s="48" t="s">
        <v>625</v>
      </c>
      <c r="B7" s="19" t="s">
        <v>4010</v>
      </c>
      <c r="C7" s="19" t="s">
        <v>4011</v>
      </c>
      <c r="D7" s="19" t="s">
        <v>4000</v>
      </c>
    </row>
    <row r="8">
      <c r="A8" s="48" t="s">
        <v>633</v>
      </c>
      <c r="B8" s="19" t="s">
        <v>4012</v>
      </c>
      <c r="D8" s="19" t="s">
        <v>4013</v>
      </c>
    </row>
    <row r="9">
      <c r="A9" s="48" t="s">
        <v>633</v>
      </c>
      <c r="B9" s="19" t="s">
        <v>4014</v>
      </c>
      <c r="C9" s="19" t="s">
        <v>4015</v>
      </c>
      <c r="D9" s="19" t="s">
        <v>4016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7.25"/>
    <col customWidth="1" min="3" max="3" width="9.13"/>
    <col customWidth="1" min="4" max="4" width="8.0"/>
    <col customWidth="1" min="5" max="5" width="7.63"/>
    <col customWidth="1" min="7" max="7" width="26.75"/>
    <col customWidth="1" min="8" max="8" width="8.13"/>
    <col customWidth="1" min="9" max="9" width="7.63"/>
    <col customWidth="1" min="10" max="10" width="7.25"/>
    <col customWidth="1" min="11" max="11" width="6.25"/>
  </cols>
  <sheetData>
    <row r="1">
      <c r="A1" s="1" t="s">
        <v>3896</v>
      </c>
      <c r="G1" s="1" t="s">
        <v>4017</v>
      </c>
      <c r="O1" s="2"/>
      <c r="P1" s="34" t="s">
        <v>4018</v>
      </c>
      <c r="AD1" s="34" t="s">
        <v>4019</v>
      </c>
    </row>
    <row r="2">
      <c r="A2" s="35" t="s">
        <v>3954</v>
      </c>
      <c r="B2" s="29" t="s">
        <v>4020</v>
      </c>
      <c r="C2" s="29" t="s">
        <v>65</v>
      </c>
      <c r="D2" s="29" t="s">
        <v>391</v>
      </c>
      <c r="E2" s="29" t="s">
        <v>843</v>
      </c>
      <c r="G2" s="35" t="s">
        <v>3954</v>
      </c>
      <c r="H2" s="29" t="s">
        <v>4020</v>
      </c>
      <c r="I2" s="29" t="s">
        <v>65</v>
      </c>
      <c r="J2" s="29" t="s">
        <v>391</v>
      </c>
      <c r="K2" s="29" t="s">
        <v>843</v>
      </c>
      <c r="O2" s="35"/>
      <c r="P2" s="50" t="s">
        <v>4020</v>
      </c>
      <c r="Q2" s="26"/>
      <c r="R2" s="27"/>
      <c r="S2" s="50" t="s">
        <v>65</v>
      </c>
      <c r="T2" s="26"/>
      <c r="U2" s="27"/>
      <c r="V2" s="50" t="s">
        <v>391</v>
      </c>
      <c r="W2" s="26"/>
      <c r="X2" s="27"/>
      <c r="Y2" s="50" t="s">
        <v>843</v>
      </c>
      <c r="Z2" s="26"/>
      <c r="AA2" s="27"/>
      <c r="AC2" s="35"/>
      <c r="AD2" s="50" t="s">
        <v>4020</v>
      </c>
      <c r="AE2" s="26"/>
      <c r="AF2" s="27"/>
      <c r="AG2" s="50" t="s">
        <v>65</v>
      </c>
      <c r="AH2" s="26"/>
      <c r="AI2" s="27"/>
      <c r="AJ2" s="50" t="s">
        <v>391</v>
      </c>
      <c r="AK2" s="26"/>
      <c r="AL2" s="27"/>
      <c r="AM2" s="50" t="s">
        <v>843</v>
      </c>
      <c r="AN2" s="26"/>
      <c r="AO2" s="27"/>
    </row>
    <row r="3">
      <c r="A3" s="35"/>
      <c r="B3" s="42"/>
      <c r="C3" s="42"/>
      <c r="D3" s="42"/>
      <c r="E3" s="42"/>
      <c r="G3" s="35"/>
      <c r="H3" s="42"/>
      <c r="I3" s="42"/>
      <c r="J3" s="42"/>
      <c r="K3" s="42"/>
      <c r="N3" s="2"/>
      <c r="O3" s="35"/>
      <c r="P3" s="36" t="s">
        <v>38</v>
      </c>
      <c r="Q3" s="36" t="s">
        <v>92</v>
      </c>
      <c r="R3" s="36" t="s">
        <v>44</v>
      </c>
      <c r="S3" s="36" t="s">
        <v>38</v>
      </c>
      <c r="T3" s="36" t="s">
        <v>92</v>
      </c>
      <c r="U3" s="36" t="s">
        <v>44</v>
      </c>
      <c r="V3" s="36" t="s">
        <v>38</v>
      </c>
      <c r="W3" s="36" t="s">
        <v>92</v>
      </c>
      <c r="X3" s="36" t="s">
        <v>44</v>
      </c>
      <c r="Y3" s="36" t="s">
        <v>38</v>
      </c>
      <c r="Z3" s="29" t="s">
        <v>92</v>
      </c>
      <c r="AA3" s="29" t="s">
        <v>44</v>
      </c>
      <c r="AC3" s="35"/>
      <c r="AD3" s="36" t="s">
        <v>38</v>
      </c>
      <c r="AE3" s="36" t="s">
        <v>92</v>
      </c>
      <c r="AF3" s="36" t="s">
        <v>44</v>
      </c>
      <c r="AG3" s="36" t="s">
        <v>38</v>
      </c>
      <c r="AH3" s="36" t="s">
        <v>92</v>
      </c>
      <c r="AI3" s="36" t="s">
        <v>44</v>
      </c>
      <c r="AJ3" s="36" t="s">
        <v>38</v>
      </c>
      <c r="AK3" s="36" t="s">
        <v>92</v>
      </c>
      <c r="AL3" s="36" t="s">
        <v>44</v>
      </c>
      <c r="AM3" s="36" t="s">
        <v>38</v>
      </c>
      <c r="AN3" s="29" t="s">
        <v>92</v>
      </c>
      <c r="AO3" s="29" t="s">
        <v>44</v>
      </c>
    </row>
    <row r="4">
      <c r="A4" s="35" t="s">
        <v>3959</v>
      </c>
      <c r="B4" s="42">
        <v>0.4189</v>
      </c>
      <c r="C4" s="42">
        <v>0.4495</v>
      </c>
      <c r="D4" s="42">
        <v>0.3804</v>
      </c>
      <c r="E4" s="42">
        <v>0.45</v>
      </c>
      <c r="G4" s="35" t="s">
        <v>3959</v>
      </c>
      <c r="H4" s="42">
        <v>0.1951</v>
      </c>
      <c r="I4" s="42">
        <v>0.1042</v>
      </c>
      <c r="J4" s="42">
        <v>0.3182</v>
      </c>
      <c r="K4" s="42">
        <v>0.3333</v>
      </c>
      <c r="N4" s="2"/>
      <c r="O4" s="35" t="s">
        <v>3959</v>
      </c>
      <c r="P4" s="51">
        <v>0.6416</v>
      </c>
      <c r="Q4" s="51">
        <v>0.0</v>
      </c>
      <c r="R4" s="51">
        <v>0.3584</v>
      </c>
      <c r="S4" s="51">
        <v>0.6735</v>
      </c>
      <c r="T4" s="51">
        <v>0.0</v>
      </c>
      <c r="U4" s="51">
        <v>0.3265</v>
      </c>
      <c r="V4" s="51">
        <v>0.6429</v>
      </c>
      <c r="W4" s="51">
        <v>0.0</v>
      </c>
      <c r="X4" s="51">
        <v>0.3571</v>
      </c>
      <c r="Y4" s="51">
        <v>0.6111</v>
      </c>
      <c r="Z4" s="42">
        <v>0.0</v>
      </c>
      <c r="AA4" s="42">
        <v>0.3889</v>
      </c>
      <c r="AC4" s="35" t="s">
        <v>3959</v>
      </c>
      <c r="AD4" s="51">
        <v>0.5</v>
      </c>
      <c r="AE4" s="51">
        <v>0.0</v>
      </c>
      <c r="AF4" s="51">
        <v>0.5</v>
      </c>
      <c r="AG4" s="51">
        <v>0.6</v>
      </c>
      <c r="AH4" s="51">
        <v>0.0</v>
      </c>
      <c r="AI4" s="51">
        <v>0.4</v>
      </c>
      <c r="AJ4" s="51">
        <v>0.4286</v>
      </c>
      <c r="AK4" s="51">
        <v>0.0</v>
      </c>
      <c r="AL4" s="51">
        <v>0.5714</v>
      </c>
      <c r="AM4" s="51">
        <v>0.5</v>
      </c>
      <c r="AN4" s="42">
        <v>0.0</v>
      </c>
      <c r="AO4" s="42">
        <v>0.5</v>
      </c>
    </row>
    <row r="5">
      <c r="A5" s="35" t="s">
        <v>3960</v>
      </c>
      <c r="B5" s="42">
        <v>0.1138</v>
      </c>
      <c r="C5" s="42">
        <v>0.1193</v>
      </c>
      <c r="D5" s="42">
        <v>0.0924</v>
      </c>
      <c r="E5" s="42">
        <v>0.1417</v>
      </c>
      <c r="G5" s="35" t="s">
        <v>3960</v>
      </c>
      <c r="H5" s="42">
        <v>0.0366</v>
      </c>
      <c r="I5" s="42">
        <v>0.0417</v>
      </c>
      <c r="J5" s="42">
        <v>0.0455</v>
      </c>
      <c r="K5" s="42">
        <v>0.0</v>
      </c>
      <c r="N5" s="2"/>
      <c r="O5" s="35" t="s">
        <v>3960</v>
      </c>
      <c r="P5" s="51">
        <v>0.5319</v>
      </c>
      <c r="Q5" s="51">
        <v>0.0</v>
      </c>
      <c r="R5" s="51">
        <v>0.4681</v>
      </c>
      <c r="S5" s="51">
        <v>0.4615</v>
      </c>
      <c r="T5" s="51">
        <v>0.0</v>
      </c>
      <c r="U5" s="51">
        <v>0.5385</v>
      </c>
      <c r="V5" s="51">
        <v>0.4706</v>
      </c>
      <c r="W5" s="51">
        <v>0.0</v>
      </c>
      <c r="X5" s="51">
        <v>0.5294</v>
      </c>
      <c r="Y5" s="51">
        <v>0.6471</v>
      </c>
      <c r="Z5" s="42">
        <v>0.0</v>
      </c>
      <c r="AA5" s="42">
        <v>0.3529</v>
      </c>
      <c r="AC5" s="35" t="s">
        <v>3960</v>
      </c>
      <c r="AD5" s="51">
        <v>0.0</v>
      </c>
      <c r="AE5" s="51">
        <v>0.0833</v>
      </c>
      <c r="AF5" s="51">
        <v>0.9167</v>
      </c>
      <c r="AG5" s="51">
        <v>0.0</v>
      </c>
      <c r="AH5" s="51">
        <v>1.0</v>
      </c>
      <c r="AI5" s="51">
        <v>0.0</v>
      </c>
      <c r="AJ5" s="51">
        <v>0.0</v>
      </c>
      <c r="AK5" s="51">
        <v>0.0</v>
      </c>
      <c r="AL5" s="51">
        <v>1.0</v>
      </c>
      <c r="AM5" s="51">
        <v>0.0</v>
      </c>
      <c r="AN5" s="42">
        <v>0.0</v>
      </c>
      <c r="AO5" s="42">
        <v>0.0</v>
      </c>
    </row>
    <row r="6">
      <c r="A6" s="35" t="s">
        <v>18</v>
      </c>
      <c r="B6" s="42">
        <v>0.0315</v>
      </c>
      <c r="C6" s="42">
        <v>0.0183</v>
      </c>
      <c r="D6" s="42">
        <v>0.038</v>
      </c>
      <c r="E6" s="42">
        <v>0.0333</v>
      </c>
      <c r="G6" s="35" t="s">
        <v>18</v>
      </c>
      <c r="H6" s="42">
        <v>0.0488</v>
      </c>
      <c r="I6" s="42">
        <v>0.0417</v>
      </c>
      <c r="J6" s="42">
        <v>0.0909</v>
      </c>
      <c r="K6" s="42">
        <v>0.0</v>
      </c>
      <c r="N6" s="2"/>
      <c r="O6" s="35" t="s">
        <v>18</v>
      </c>
      <c r="P6" s="51">
        <v>1.0</v>
      </c>
      <c r="Q6" s="51">
        <v>0.0</v>
      </c>
      <c r="R6" s="51">
        <v>0.0</v>
      </c>
      <c r="S6" s="51">
        <v>1.0</v>
      </c>
      <c r="T6" s="51">
        <v>0.0</v>
      </c>
      <c r="U6" s="51">
        <v>0.0</v>
      </c>
      <c r="V6" s="51">
        <v>1.0</v>
      </c>
      <c r="W6" s="51">
        <v>0.0</v>
      </c>
      <c r="X6" s="51">
        <v>0.0</v>
      </c>
      <c r="Y6" s="51">
        <v>1.0</v>
      </c>
      <c r="Z6" s="42">
        <v>0.0</v>
      </c>
      <c r="AA6" s="42">
        <v>0.0</v>
      </c>
      <c r="AC6" s="35" t="s">
        <v>18</v>
      </c>
      <c r="AD6" s="51">
        <v>1.0</v>
      </c>
      <c r="AE6" s="51">
        <v>0.0</v>
      </c>
      <c r="AF6" s="51">
        <v>0.0</v>
      </c>
      <c r="AG6" s="51">
        <v>1.0</v>
      </c>
      <c r="AH6" s="51">
        <v>0.0</v>
      </c>
      <c r="AI6" s="51">
        <v>0.0</v>
      </c>
      <c r="AJ6" s="51">
        <v>1.0</v>
      </c>
      <c r="AK6" s="51">
        <v>0.0</v>
      </c>
      <c r="AL6" s="51">
        <v>0.0</v>
      </c>
      <c r="AM6" s="51">
        <v>0.0</v>
      </c>
      <c r="AN6" s="42">
        <v>0.0</v>
      </c>
      <c r="AO6" s="42">
        <v>0.0</v>
      </c>
    </row>
    <row r="7">
      <c r="A7" s="35" t="s">
        <v>3962</v>
      </c>
      <c r="B7" s="42">
        <v>0.0315</v>
      </c>
      <c r="C7" s="42">
        <v>0.0367</v>
      </c>
      <c r="D7" s="42">
        <v>0.0272</v>
      </c>
      <c r="E7" s="42">
        <v>0.0333</v>
      </c>
      <c r="G7" s="35" t="s">
        <v>3962</v>
      </c>
      <c r="H7" s="42">
        <v>0.0122</v>
      </c>
      <c r="I7" s="42">
        <v>0.0208</v>
      </c>
      <c r="J7" s="42">
        <v>0.0</v>
      </c>
      <c r="K7" s="42">
        <v>0.0</v>
      </c>
      <c r="N7" s="2"/>
      <c r="O7" s="35" t="s">
        <v>3962</v>
      </c>
      <c r="P7" s="51">
        <v>1.0</v>
      </c>
      <c r="Q7" s="51">
        <v>0.0</v>
      </c>
      <c r="R7" s="51">
        <v>0.0</v>
      </c>
      <c r="S7" s="51">
        <v>1.0</v>
      </c>
      <c r="T7" s="51">
        <v>0.0</v>
      </c>
      <c r="U7" s="51">
        <v>0.0</v>
      </c>
      <c r="V7" s="51">
        <v>1.0</v>
      </c>
      <c r="W7" s="51">
        <v>0.0</v>
      </c>
      <c r="X7" s="51">
        <v>0.0</v>
      </c>
      <c r="Y7" s="51">
        <v>1.0</v>
      </c>
      <c r="Z7" s="42">
        <v>0.0</v>
      </c>
      <c r="AA7" s="42">
        <v>0.0</v>
      </c>
      <c r="AC7" s="35" t="s">
        <v>3962</v>
      </c>
      <c r="AD7" s="51">
        <v>1.0</v>
      </c>
      <c r="AE7" s="51">
        <v>0.0</v>
      </c>
      <c r="AF7" s="51">
        <v>0.0</v>
      </c>
      <c r="AG7" s="51">
        <v>1.0</v>
      </c>
      <c r="AH7" s="51">
        <v>0.0</v>
      </c>
      <c r="AI7" s="51">
        <v>0.0</v>
      </c>
      <c r="AJ7" s="51">
        <v>0.0</v>
      </c>
      <c r="AK7" s="51">
        <v>0.0</v>
      </c>
      <c r="AL7" s="51">
        <v>0.0</v>
      </c>
      <c r="AM7" s="51">
        <v>0.0</v>
      </c>
      <c r="AN7" s="42">
        <v>0.0</v>
      </c>
      <c r="AO7" s="42">
        <v>0.0</v>
      </c>
    </row>
    <row r="8">
      <c r="A8" s="35" t="s">
        <v>20</v>
      </c>
      <c r="B8" s="42">
        <v>0.0944</v>
      </c>
      <c r="C8" s="42">
        <v>0.0826</v>
      </c>
      <c r="D8" s="42">
        <v>0.1196</v>
      </c>
      <c r="E8" s="42">
        <v>0.0667</v>
      </c>
      <c r="G8" s="35" t="s">
        <v>20</v>
      </c>
      <c r="H8" s="42">
        <v>0.1098</v>
      </c>
      <c r="I8" s="42">
        <v>0.0208</v>
      </c>
      <c r="J8" s="42">
        <v>0.1818</v>
      </c>
      <c r="K8" s="42">
        <v>0.3333</v>
      </c>
      <c r="N8" s="2"/>
      <c r="O8" s="35" t="s">
        <v>20</v>
      </c>
      <c r="P8" s="51">
        <v>0.8974</v>
      </c>
      <c r="Q8" s="51">
        <v>0.0</v>
      </c>
      <c r="R8" s="51">
        <v>0.1026</v>
      </c>
      <c r="S8" s="51">
        <v>1.0</v>
      </c>
      <c r="T8" s="51">
        <v>0.0</v>
      </c>
      <c r="U8" s="51">
        <v>0.0</v>
      </c>
      <c r="V8" s="51">
        <v>0.9545</v>
      </c>
      <c r="W8" s="51">
        <v>0.0</v>
      </c>
      <c r="X8" s="51">
        <v>0.0455</v>
      </c>
      <c r="Y8" s="51">
        <v>0.625</v>
      </c>
      <c r="Z8" s="42">
        <v>0.0</v>
      </c>
      <c r="AA8" s="42">
        <v>0.375</v>
      </c>
      <c r="AC8" s="35" t="s">
        <v>20</v>
      </c>
      <c r="AD8" s="51">
        <v>1.0</v>
      </c>
      <c r="AE8" s="51">
        <v>0.0</v>
      </c>
      <c r="AF8" s="51">
        <v>0.0</v>
      </c>
      <c r="AG8" s="51">
        <v>1.0</v>
      </c>
      <c r="AH8" s="51">
        <v>0.0</v>
      </c>
      <c r="AI8" s="51">
        <v>0.0</v>
      </c>
      <c r="AJ8" s="51">
        <v>1.0</v>
      </c>
      <c r="AK8" s="51">
        <v>0.0</v>
      </c>
      <c r="AL8" s="51">
        <v>0.0</v>
      </c>
      <c r="AM8" s="51">
        <v>1.0</v>
      </c>
      <c r="AN8" s="42">
        <v>0.0</v>
      </c>
      <c r="AO8" s="42">
        <v>0.0</v>
      </c>
    </row>
    <row r="9">
      <c r="A9" s="35" t="s">
        <v>3964</v>
      </c>
      <c r="B9" s="42">
        <v>0.0823</v>
      </c>
      <c r="C9" s="42">
        <v>0.0826</v>
      </c>
      <c r="D9" s="42">
        <v>0.0761</v>
      </c>
      <c r="E9" s="42">
        <v>0.0917</v>
      </c>
      <c r="G9" s="35" t="s">
        <v>3964</v>
      </c>
      <c r="H9" s="42">
        <v>0.0122</v>
      </c>
      <c r="I9" s="42">
        <v>0.0</v>
      </c>
      <c r="J9" s="42">
        <v>0.0</v>
      </c>
      <c r="K9" s="42">
        <v>0.0833</v>
      </c>
      <c r="N9" s="2"/>
      <c r="O9" s="35" t="s">
        <v>3964</v>
      </c>
      <c r="P9" s="51">
        <v>0.8529</v>
      </c>
      <c r="Q9" s="51">
        <v>0.0588</v>
      </c>
      <c r="R9" s="51">
        <v>0.0882</v>
      </c>
      <c r="S9" s="51">
        <v>1.0</v>
      </c>
      <c r="T9" s="51">
        <v>0.0</v>
      </c>
      <c r="U9" s="51">
        <v>0.0</v>
      </c>
      <c r="V9" s="51">
        <v>0.7857</v>
      </c>
      <c r="W9" s="51">
        <v>0.1429</v>
      </c>
      <c r="X9" s="51">
        <v>0.0714</v>
      </c>
      <c r="Y9" s="51">
        <v>0.8182</v>
      </c>
      <c r="Z9" s="42">
        <v>0.0</v>
      </c>
      <c r="AA9" s="42">
        <v>0.1818</v>
      </c>
      <c r="AC9" s="35" t="s">
        <v>3964</v>
      </c>
      <c r="AD9" s="51">
        <v>1.0</v>
      </c>
      <c r="AE9" s="51">
        <v>0.0</v>
      </c>
      <c r="AF9" s="51">
        <v>0.0</v>
      </c>
      <c r="AG9" s="51">
        <v>0.0</v>
      </c>
      <c r="AH9" s="51">
        <v>0.0</v>
      </c>
      <c r="AI9" s="51">
        <v>0.0</v>
      </c>
      <c r="AJ9" s="51">
        <v>0.0</v>
      </c>
      <c r="AK9" s="51">
        <v>0.0</v>
      </c>
      <c r="AL9" s="51">
        <v>0.0</v>
      </c>
      <c r="AM9" s="51">
        <v>1.0</v>
      </c>
      <c r="AN9" s="42">
        <v>0.0</v>
      </c>
      <c r="AO9" s="42">
        <v>0.0</v>
      </c>
    </row>
    <row r="10">
      <c r="A10" s="35" t="s">
        <v>24</v>
      </c>
      <c r="B10" s="42">
        <v>0.1404</v>
      </c>
      <c r="C10" s="42">
        <v>0.1101</v>
      </c>
      <c r="D10" s="42">
        <v>0.2011</v>
      </c>
      <c r="E10" s="42">
        <v>0.075</v>
      </c>
      <c r="G10" s="35" t="s">
        <v>24</v>
      </c>
      <c r="H10" s="42">
        <v>0.3659</v>
      </c>
      <c r="I10" s="42">
        <v>0.4167</v>
      </c>
      <c r="J10" s="42">
        <v>0.3636</v>
      </c>
      <c r="K10" s="42">
        <v>0.1667</v>
      </c>
      <c r="N10" s="2"/>
      <c r="O10" s="35" t="s">
        <v>24</v>
      </c>
      <c r="P10" s="51">
        <v>0.0</v>
      </c>
      <c r="Q10" s="51">
        <v>0.7759</v>
      </c>
      <c r="R10" s="51">
        <v>0.2241</v>
      </c>
      <c r="S10" s="51">
        <v>0.0</v>
      </c>
      <c r="T10" s="51">
        <v>1.0</v>
      </c>
      <c r="U10" s="51">
        <v>0.0</v>
      </c>
      <c r="V10" s="51">
        <v>0.0</v>
      </c>
      <c r="W10" s="51">
        <v>0.6757</v>
      </c>
      <c r="X10" s="51">
        <v>0.3243</v>
      </c>
      <c r="Y10" s="51">
        <v>0.0</v>
      </c>
      <c r="Z10" s="42">
        <v>0.8889</v>
      </c>
      <c r="AA10" s="42">
        <v>0.1111</v>
      </c>
      <c r="AC10" s="35" t="s">
        <v>24</v>
      </c>
      <c r="AD10" s="51">
        <v>0.0</v>
      </c>
      <c r="AE10" s="51">
        <v>0.8</v>
      </c>
      <c r="AF10" s="51">
        <v>0.2</v>
      </c>
      <c r="AG10" s="51">
        <v>0.0</v>
      </c>
      <c r="AH10" s="51">
        <v>0.9</v>
      </c>
      <c r="AI10" s="51">
        <v>0.1</v>
      </c>
      <c r="AJ10" s="51">
        <v>0.0</v>
      </c>
      <c r="AK10" s="51">
        <v>0.5</v>
      </c>
      <c r="AL10" s="51">
        <v>0.5</v>
      </c>
      <c r="AM10" s="51">
        <v>0.0</v>
      </c>
      <c r="AN10" s="42">
        <v>1.0</v>
      </c>
      <c r="AO10" s="42">
        <v>0.0</v>
      </c>
    </row>
    <row r="11">
      <c r="A11" s="35" t="s">
        <v>3966</v>
      </c>
      <c r="B11" s="42">
        <v>0.046</v>
      </c>
      <c r="C11" s="42">
        <v>0.0459</v>
      </c>
      <c r="D11" s="42">
        <v>0.0435</v>
      </c>
      <c r="E11" s="42">
        <v>0.05</v>
      </c>
      <c r="G11" s="35" t="s">
        <v>3966</v>
      </c>
      <c r="H11" s="42">
        <v>0.0</v>
      </c>
      <c r="I11" s="42">
        <v>0.0</v>
      </c>
      <c r="J11" s="42">
        <v>0.0</v>
      </c>
      <c r="K11" s="42">
        <v>0.0</v>
      </c>
      <c r="N11" s="2"/>
      <c r="O11" s="35" t="s">
        <v>3966</v>
      </c>
      <c r="P11" s="51">
        <v>0.7368</v>
      </c>
      <c r="Q11" s="51">
        <v>0.0</v>
      </c>
      <c r="R11" s="51">
        <v>0.2632</v>
      </c>
      <c r="S11" s="51">
        <v>0.6</v>
      </c>
      <c r="T11" s="51">
        <v>0.0</v>
      </c>
      <c r="U11" s="51">
        <v>0.4</v>
      </c>
      <c r="V11" s="51">
        <v>0.875</v>
      </c>
      <c r="W11" s="51">
        <v>0.0</v>
      </c>
      <c r="X11" s="51">
        <v>0.125</v>
      </c>
      <c r="Y11" s="51">
        <v>0.6667</v>
      </c>
      <c r="Z11" s="42">
        <v>0.0</v>
      </c>
      <c r="AA11" s="42">
        <v>0.3333</v>
      </c>
      <c r="AC11" s="35" t="s">
        <v>3966</v>
      </c>
      <c r="AD11" s="51">
        <v>0.0</v>
      </c>
      <c r="AE11" s="51">
        <v>0.0</v>
      </c>
      <c r="AF11" s="51">
        <v>0.0</v>
      </c>
      <c r="AG11" s="51">
        <v>0.0</v>
      </c>
      <c r="AH11" s="51">
        <v>0.0</v>
      </c>
      <c r="AI11" s="51">
        <v>0.0</v>
      </c>
      <c r="AJ11" s="51">
        <v>0.0</v>
      </c>
      <c r="AK11" s="51">
        <v>0.0</v>
      </c>
      <c r="AL11" s="51">
        <v>0.0</v>
      </c>
      <c r="AM11" s="51">
        <v>0.0</v>
      </c>
      <c r="AN11" s="42">
        <v>0.0</v>
      </c>
      <c r="AO11" s="42">
        <v>0.0</v>
      </c>
    </row>
    <row r="12">
      <c r="A12" s="35" t="s">
        <v>26</v>
      </c>
      <c r="B12" s="42">
        <v>0.0145</v>
      </c>
      <c r="C12" s="42">
        <v>0.0183</v>
      </c>
      <c r="D12" s="42">
        <v>0.0054</v>
      </c>
      <c r="E12" s="42">
        <v>0.025</v>
      </c>
      <c r="G12" s="35" t="s">
        <v>26</v>
      </c>
      <c r="H12" s="42">
        <v>0.1585</v>
      </c>
      <c r="I12" s="42">
        <v>0.25</v>
      </c>
      <c r="J12" s="42">
        <v>0.0</v>
      </c>
      <c r="K12" s="42">
        <v>0.0833</v>
      </c>
      <c r="N12" s="2"/>
      <c r="O12" s="35" t="s">
        <v>26</v>
      </c>
      <c r="P12" s="51">
        <v>0.3333</v>
      </c>
      <c r="Q12" s="51">
        <v>0.0</v>
      </c>
      <c r="R12" s="51">
        <v>0.6667</v>
      </c>
      <c r="S12" s="51">
        <v>0.5</v>
      </c>
      <c r="T12" s="51">
        <v>0.0</v>
      </c>
      <c r="U12" s="51">
        <v>0.5</v>
      </c>
      <c r="V12" s="51">
        <v>1.0</v>
      </c>
      <c r="W12" s="51">
        <v>0.0</v>
      </c>
      <c r="X12" s="51">
        <v>0.0</v>
      </c>
      <c r="Y12" s="51">
        <v>0.0</v>
      </c>
      <c r="Z12" s="42">
        <v>0.0</v>
      </c>
      <c r="AA12" s="42">
        <v>1.0</v>
      </c>
      <c r="AC12" s="35" t="s">
        <v>26</v>
      </c>
      <c r="AD12" s="51">
        <v>0.0</v>
      </c>
      <c r="AE12" s="51">
        <v>0.4615</v>
      </c>
      <c r="AF12" s="51">
        <v>0.5385</v>
      </c>
      <c r="AG12" s="51">
        <v>0.0</v>
      </c>
      <c r="AH12" s="51">
        <v>0.4167</v>
      </c>
      <c r="AI12" s="51">
        <v>0.5833</v>
      </c>
      <c r="AJ12" s="51">
        <v>0.0</v>
      </c>
      <c r="AK12" s="51">
        <v>0.0</v>
      </c>
      <c r="AL12" s="51">
        <v>0.0</v>
      </c>
      <c r="AM12" s="51">
        <v>0.0</v>
      </c>
      <c r="AN12" s="42">
        <v>1.0</v>
      </c>
      <c r="AO12" s="42">
        <v>0.0</v>
      </c>
    </row>
    <row r="13">
      <c r="A13" s="35" t="s">
        <v>3967</v>
      </c>
      <c r="B13" s="42">
        <v>0.0024</v>
      </c>
      <c r="C13" s="42">
        <v>0.0092</v>
      </c>
      <c r="D13" s="42">
        <v>0.0</v>
      </c>
      <c r="E13" s="42">
        <v>0.0</v>
      </c>
      <c r="G13" s="35" t="s">
        <v>3967</v>
      </c>
      <c r="H13" s="42">
        <v>0.0</v>
      </c>
      <c r="I13" s="42">
        <v>0.0</v>
      </c>
      <c r="J13" s="42">
        <v>0.0</v>
      </c>
      <c r="K13" s="42">
        <v>0.0</v>
      </c>
      <c r="N13" s="2"/>
      <c r="O13" s="35" t="s">
        <v>3967</v>
      </c>
      <c r="P13" s="51">
        <v>0.0</v>
      </c>
      <c r="Q13" s="51">
        <v>1.0</v>
      </c>
      <c r="R13" s="51">
        <v>0.0</v>
      </c>
      <c r="S13" s="51">
        <v>0.0</v>
      </c>
      <c r="T13" s="51">
        <v>1.0</v>
      </c>
      <c r="U13" s="51">
        <v>0.0</v>
      </c>
      <c r="V13" s="51">
        <v>0.0</v>
      </c>
      <c r="W13" s="51">
        <v>0.0</v>
      </c>
      <c r="X13" s="51">
        <v>0.0</v>
      </c>
      <c r="Y13" s="51">
        <v>0.0</v>
      </c>
      <c r="Z13" s="42">
        <v>0.0</v>
      </c>
      <c r="AA13" s="42">
        <v>0.0</v>
      </c>
      <c r="AC13" s="35" t="s">
        <v>3967</v>
      </c>
      <c r="AD13" s="51">
        <v>0.0</v>
      </c>
      <c r="AE13" s="51">
        <v>0.0</v>
      </c>
      <c r="AF13" s="51">
        <v>0.0</v>
      </c>
      <c r="AG13" s="51">
        <v>0.0</v>
      </c>
      <c r="AH13" s="51">
        <v>0.0</v>
      </c>
      <c r="AI13" s="51">
        <v>0.0</v>
      </c>
      <c r="AJ13" s="51">
        <v>0.0</v>
      </c>
      <c r="AK13" s="51">
        <v>0.0</v>
      </c>
      <c r="AL13" s="51">
        <v>0.0</v>
      </c>
      <c r="AM13" s="51">
        <v>0.0</v>
      </c>
      <c r="AN13" s="42">
        <v>0.0</v>
      </c>
      <c r="AO13" s="42">
        <v>0.0</v>
      </c>
    </row>
    <row r="14">
      <c r="A14" s="52" t="s">
        <v>21</v>
      </c>
      <c r="B14" s="42">
        <v>0.0121</v>
      </c>
      <c r="C14" s="42">
        <v>0.0183</v>
      </c>
      <c r="D14" s="42">
        <v>0.0163</v>
      </c>
      <c r="E14" s="42">
        <v>0.0</v>
      </c>
      <c r="G14" s="52" t="s">
        <v>21</v>
      </c>
      <c r="H14" s="42">
        <v>0.0244</v>
      </c>
      <c r="I14" s="42">
        <v>0.0417</v>
      </c>
      <c r="J14" s="42">
        <v>0.0</v>
      </c>
      <c r="K14" s="42">
        <v>0.0</v>
      </c>
      <c r="N14" s="53"/>
      <c r="O14" s="52" t="s">
        <v>21</v>
      </c>
      <c r="P14" s="51">
        <v>0.8</v>
      </c>
      <c r="Q14" s="51">
        <v>0.0</v>
      </c>
      <c r="R14" s="51">
        <v>0.2</v>
      </c>
      <c r="S14" s="51">
        <v>1.0</v>
      </c>
      <c r="T14" s="51">
        <v>0.0</v>
      </c>
      <c r="U14" s="51">
        <v>0.0</v>
      </c>
      <c r="V14" s="51">
        <v>0.6667</v>
      </c>
      <c r="W14" s="51">
        <v>0.0</v>
      </c>
      <c r="X14" s="51">
        <v>0.3333</v>
      </c>
      <c r="Y14" s="51">
        <v>0.0</v>
      </c>
      <c r="Z14" s="42">
        <v>0.0</v>
      </c>
      <c r="AA14" s="42">
        <v>0.0</v>
      </c>
      <c r="AC14" s="52" t="s">
        <v>21</v>
      </c>
      <c r="AD14" s="51">
        <v>1.0</v>
      </c>
      <c r="AE14" s="51">
        <v>0.0</v>
      </c>
      <c r="AF14" s="51">
        <v>0.0</v>
      </c>
      <c r="AG14" s="51">
        <v>1.0</v>
      </c>
      <c r="AH14" s="51">
        <v>0.0</v>
      </c>
      <c r="AI14" s="51">
        <v>0.0</v>
      </c>
      <c r="AJ14" s="51">
        <v>0.0</v>
      </c>
      <c r="AK14" s="51">
        <v>0.0</v>
      </c>
      <c r="AL14" s="51">
        <v>0.0</v>
      </c>
      <c r="AM14" s="51">
        <v>0.0</v>
      </c>
      <c r="AN14" s="42">
        <v>0.0</v>
      </c>
      <c r="AO14" s="42">
        <v>0.0</v>
      </c>
    </row>
    <row r="15">
      <c r="A15" s="35" t="s">
        <v>22</v>
      </c>
      <c r="B15" s="42">
        <v>0.0121</v>
      </c>
      <c r="C15" s="42">
        <v>0.0092</v>
      </c>
      <c r="D15" s="42">
        <v>0.0</v>
      </c>
      <c r="E15" s="42">
        <v>0.0333</v>
      </c>
      <c r="G15" s="35" t="s">
        <v>22</v>
      </c>
      <c r="H15" s="42">
        <v>0.0366</v>
      </c>
      <c r="I15" s="42">
        <v>0.0625</v>
      </c>
      <c r="J15" s="42">
        <v>0.0</v>
      </c>
      <c r="K15" s="42">
        <v>0.0</v>
      </c>
      <c r="N15" s="2"/>
      <c r="O15" s="35" t="s">
        <v>22</v>
      </c>
      <c r="P15" s="51">
        <v>0.8</v>
      </c>
      <c r="Q15" s="51">
        <v>0.2</v>
      </c>
      <c r="R15" s="51">
        <v>0.0</v>
      </c>
      <c r="S15" s="51">
        <v>1.0</v>
      </c>
      <c r="T15" s="51">
        <v>0.0</v>
      </c>
      <c r="U15" s="51">
        <v>0.0</v>
      </c>
      <c r="V15" s="51">
        <v>0.0</v>
      </c>
      <c r="W15" s="51">
        <v>0.0</v>
      </c>
      <c r="X15" s="51">
        <v>0.0</v>
      </c>
      <c r="Y15" s="51">
        <v>0.75</v>
      </c>
      <c r="Z15" s="42">
        <v>0.25</v>
      </c>
      <c r="AA15" s="42">
        <v>0.0</v>
      </c>
      <c r="AC15" s="35" t="s">
        <v>22</v>
      </c>
      <c r="AD15" s="51">
        <v>0.0</v>
      </c>
      <c r="AE15" s="51">
        <v>0.3333</v>
      </c>
      <c r="AF15" s="51">
        <v>0.6667</v>
      </c>
      <c r="AG15" s="51">
        <v>0.0</v>
      </c>
      <c r="AH15" s="51">
        <v>0.3333</v>
      </c>
      <c r="AI15" s="51">
        <v>0.6667</v>
      </c>
      <c r="AJ15" s="51">
        <v>0.0</v>
      </c>
      <c r="AK15" s="51">
        <v>0.0</v>
      </c>
      <c r="AL15" s="51">
        <v>0.0</v>
      </c>
      <c r="AM15" s="51">
        <v>0.0</v>
      </c>
      <c r="AN15" s="42">
        <v>0.0</v>
      </c>
      <c r="AO15" s="42">
        <v>0.0</v>
      </c>
    </row>
    <row r="16">
      <c r="A16" s="35" t="s">
        <v>3931</v>
      </c>
      <c r="B16" s="42">
        <v>1.0</v>
      </c>
      <c r="C16" s="42">
        <v>1.0</v>
      </c>
      <c r="D16" s="42">
        <v>1.0</v>
      </c>
      <c r="E16" s="42">
        <v>1.0</v>
      </c>
      <c r="G16" s="35" t="s">
        <v>3931</v>
      </c>
      <c r="H16" s="42">
        <v>1.0</v>
      </c>
      <c r="I16" s="42">
        <v>1.0</v>
      </c>
      <c r="J16" s="42">
        <v>1.0</v>
      </c>
      <c r="K16" s="42">
        <v>1.0</v>
      </c>
      <c r="N16" s="19"/>
      <c r="O16" s="35" t="s">
        <v>3931</v>
      </c>
      <c r="P16" s="51">
        <v>0.6053</v>
      </c>
      <c r="Q16" s="51">
        <v>0.1186</v>
      </c>
      <c r="R16" s="51">
        <v>0.276</v>
      </c>
      <c r="S16" s="51">
        <v>0.6422</v>
      </c>
      <c r="T16" s="51">
        <v>0.1193</v>
      </c>
      <c r="U16" s="51">
        <v>0.2385</v>
      </c>
      <c r="V16" s="51">
        <v>0.5815</v>
      </c>
      <c r="W16" s="51">
        <v>0.1467</v>
      </c>
      <c r="X16" s="51">
        <v>0.2717</v>
      </c>
      <c r="Y16" s="51">
        <v>0.6083</v>
      </c>
      <c r="Z16" s="42">
        <v>0.075</v>
      </c>
      <c r="AA16" s="42">
        <v>0.3167</v>
      </c>
      <c r="AC16" s="35" t="s">
        <v>3931</v>
      </c>
      <c r="AD16" s="51">
        <v>0.2427</v>
      </c>
      <c r="AE16" s="51">
        <v>0.3204</v>
      </c>
      <c r="AF16" s="51">
        <v>0.4369</v>
      </c>
      <c r="AG16" s="51">
        <v>0.1875</v>
      </c>
      <c r="AH16" s="51">
        <v>0.5417</v>
      </c>
      <c r="AI16" s="51">
        <v>0.2708</v>
      </c>
      <c r="AJ16" s="51">
        <v>0.4091</v>
      </c>
      <c r="AK16" s="51">
        <v>0.1818</v>
      </c>
      <c r="AL16" s="51">
        <v>0.4091</v>
      </c>
      <c r="AM16" s="51">
        <v>0.5833</v>
      </c>
      <c r="AN16" s="42">
        <v>0.25</v>
      </c>
      <c r="AO16" s="42">
        <v>0.1667</v>
      </c>
    </row>
    <row r="17">
      <c r="E17" s="54"/>
      <c r="F17" s="54"/>
    </row>
    <row r="18">
      <c r="O18" s="15"/>
      <c r="P18" s="55" t="s">
        <v>4021</v>
      </c>
      <c r="Q18" s="55" t="s">
        <v>4022</v>
      </c>
      <c r="R18" s="55" t="s">
        <v>4023</v>
      </c>
      <c r="S18" s="55" t="s">
        <v>4024</v>
      </c>
      <c r="T18" s="2"/>
      <c r="AC18" s="15"/>
      <c r="AD18" s="55" t="s">
        <v>4021</v>
      </c>
      <c r="AE18" s="55" t="s">
        <v>4022</v>
      </c>
      <c r="AF18" s="55" t="s">
        <v>4023</v>
      </c>
      <c r="AG18" s="55" t="s">
        <v>4024</v>
      </c>
    </row>
    <row r="19">
      <c r="O19" s="35" t="s">
        <v>3959</v>
      </c>
      <c r="P19" s="46">
        <v>0.6735</v>
      </c>
      <c r="Q19" s="46">
        <v>0.6429</v>
      </c>
      <c r="R19" s="46">
        <v>0.6111</v>
      </c>
      <c r="S19" s="46">
        <v>0.6416</v>
      </c>
      <c r="T19" s="56"/>
      <c r="AC19" s="35" t="s">
        <v>3959</v>
      </c>
      <c r="AD19" s="51">
        <v>0.6</v>
      </c>
      <c r="AE19" s="51">
        <v>0.4286</v>
      </c>
      <c r="AF19" s="51">
        <v>0.5</v>
      </c>
      <c r="AG19" s="51">
        <v>0.5</v>
      </c>
    </row>
    <row r="20">
      <c r="O20" s="35" t="s">
        <v>3960</v>
      </c>
      <c r="P20" s="46">
        <v>0.4615</v>
      </c>
      <c r="Q20" s="46">
        <v>0.4706</v>
      </c>
      <c r="R20" s="46">
        <v>0.6471</v>
      </c>
      <c r="S20" s="46">
        <v>0.5319</v>
      </c>
      <c r="T20" s="56"/>
      <c r="AC20" s="35" t="s">
        <v>3960</v>
      </c>
      <c r="AD20" s="51">
        <v>0.0</v>
      </c>
      <c r="AE20" s="51">
        <v>0.0</v>
      </c>
      <c r="AF20" s="51">
        <v>0.0</v>
      </c>
      <c r="AG20" s="51">
        <v>0.0</v>
      </c>
    </row>
    <row r="21">
      <c r="O21" s="35" t="s">
        <v>18</v>
      </c>
      <c r="P21" s="46">
        <v>1.0</v>
      </c>
      <c r="Q21" s="46">
        <v>1.0</v>
      </c>
      <c r="R21" s="46">
        <v>1.0</v>
      </c>
      <c r="S21" s="46">
        <v>1.0</v>
      </c>
      <c r="T21" s="56"/>
      <c r="AC21" s="35" t="s">
        <v>18</v>
      </c>
      <c r="AD21" s="51">
        <v>1.0</v>
      </c>
      <c r="AE21" s="51">
        <v>1.0</v>
      </c>
      <c r="AF21" s="51">
        <v>0.0</v>
      </c>
      <c r="AG21" s="51">
        <v>1.0</v>
      </c>
    </row>
    <row r="22">
      <c r="O22" s="35" t="s">
        <v>3962</v>
      </c>
      <c r="P22" s="46">
        <v>1.0</v>
      </c>
      <c r="Q22" s="46">
        <v>1.0</v>
      </c>
      <c r="R22" s="46">
        <v>1.0</v>
      </c>
      <c r="S22" s="46">
        <v>1.0</v>
      </c>
      <c r="T22" s="56"/>
      <c r="AC22" s="35" t="s">
        <v>3962</v>
      </c>
      <c r="AD22" s="51">
        <v>1.0</v>
      </c>
      <c r="AE22" s="51">
        <v>0.0</v>
      </c>
      <c r="AF22" s="51">
        <v>0.0</v>
      </c>
      <c r="AG22" s="51">
        <v>1.0</v>
      </c>
    </row>
    <row r="23">
      <c r="O23" s="35" t="s">
        <v>20</v>
      </c>
      <c r="P23" s="46">
        <v>1.0</v>
      </c>
      <c r="Q23" s="46">
        <v>0.9545</v>
      </c>
      <c r="R23" s="46">
        <v>0.625</v>
      </c>
      <c r="S23" s="46">
        <v>0.8974</v>
      </c>
      <c r="T23" s="56"/>
      <c r="AC23" s="35" t="s">
        <v>20</v>
      </c>
      <c r="AD23" s="51">
        <v>1.0</v>
      </c>
      <c r="AE23" s="51">
        <v>1.0</v>
      </c>
      <c r="AF23" s="51">
        <v>1.0</v>
      </c>
      <c r="AG23" s="51">
        <v>1.0</v>
      </c>
    </row>
    <row r="24">
      <c r="O24" s="35" t="s">
        <v>3964</v>
      </c>
      <c r="P24" s="46">
        <v>1.0</v>
      </c>
      <c r="Q24" s="46">
        <v>0.7857</v>
      </c>
      <c r="R24" s="46">
        <v>0.8182</v>
      </c>
      <c r="S24" s="46">
        <v>0.8529</v>
      </c>
      <c r="T24" s="56"/>
      <c r="AC24" s="35" t="s">
        <v>3964</v>
      </c>
      <c r="AD24" s="51">
        <v>0.0</v>
      </c>
      <c r="AE24" s="51">
        <v>0.0</v>
      </c>
      <c r="AF24" s="51">
        <v>1.0</v>
      </c>
      <c r="AG24" s="51">
        <v>1.0</v>
      </c>
    </row>
    <row r="25">
      <c r="O25" s="35" t="s">
        <v>24</v>
      </c>
      <c r="P25" s="46">
        <v>0.0</v>
      </c>
      <c r="Q25" s="46">
        <v>0.0</v>
      </c>
      <c r="R25" s="46">
        <v>0.0</v>
      </c>
      <c r="S25" s="46">
        <v>0.0</v>
      </c>
      <c r="T25" s="56"/>
      <c r="AC25" s="35" t="s">
        <v>24</v>
      </c>
      <c r="AD25" s="51">
        <v>0.0</v>
      </c>
      <c r="AE25" s="51">
        <v>0.0</v>
      </c>
      <c r="AF25" s="51">
        <v>0.0</v>
      </c>
      <c r="AG25" s="51">
        <v>0.0</v>
      </c>
    </row>
    <row r="26">
      <c r="O26" s="35" t="s">
        <v>3966</v>
      </c>
      <c r="P26" s="46">
        <v>0.6</v>
      </c>
      <c r="Q26" s="46">
        <v>0.875</v>
      </c>
      <c r="R26" s="46">
        <v>0.6667</v>
      </c>
      <c r="S26" s="46">
        <v>0.7368</v>
      </c>
      <c r="T26" s="56"/>
      <c r="AC26" s="35" t="s">
        <v>3966</v>
      </c>
      <c r="AD26" s="51">
        <v>0.0</v>
      </c>
      <c r="AE26" s="51">
        <v>0.0</v>
      </c>
      <c r="AF26" s="51">
        <v>0.0</v>
      </c>
      <c r="AG26" s="51">
        <v>0.0</v>
      </c>
    </row>
    <row r="27">
      <c r="O27" s="35" t="s">
        <v>26</v>
      </c>
      <c r="P27" s="46">
        <v>0.5</v>
      </c>
      <c r="Q27" s="46">
        <v>1.0</v>
      </c>
      <c r="R27" s="46">
        <v>0.0</v>
      </c>
      <c r="S27" s="46">
        <v>0.3333</v>
      </c>
      <c r="T27" s="56"/>
      <c r="AC27" s="35" t="s">
        <v>26</v>
      </c>
      <c r="AD27" s="51">
        <v>0.0</v>
      </c>
      <c r="AE27" s="51">
        <v>0.0</v>
      </c>
      <c r="AF27" s="51">
        <v>0.0</v>
      </c>
      <c r="AG27" s="51">
        <v>0.0</v>
      </c>
    </row>
    <row r="28">
      <c r="O28" s="35" t="s">
        <v>3967</v>
      </c>
      <c r="P28" s="46">
        <v>0.0</v>
      </c>
      <c r="Q28" s="46">
        <v>0.0</v>
      </c>
      <c r="R28" s="46">
        <v>0.0</v>
      </c>
      <c r="S28" s="46">
        <v>0.0</v>
      </c>
      <c r="T28" s="56"/>
      <c r="AC28" s="35" t="s">
        <v>3967</v>
      </c>
      <c r="AD28" s="51">
        <v>0.0</v>
      </c>
      <c r="AE28" s="51">
        <v>0.0</v>
      </c>
      <c r="AF28" s="51">
        <v>0.0</v>
      </c>
      <c r="AG28" s="51">
        <v>0.0</v>
      </c>
    </row>
    <row r="29">
      <c r="O29" s="52" t="s">
        <v>21</v>
      </c>
      <c r="P29" s="46">
        <v>1.0</v>
      </c>
      <c r="Q29" s="46">
        <v>0.6667</v>
      </c>
      <c r="R29" s="46">
        <v>0.0</v>
      </c>
      <c r="S29" s="46">
        <v>0.8</v>
      </c>
      <c r="T29" s="56"/>
      <c r="AC29" s="52" t="s">
        <v>21</v>
      </c>
      <c r="AD29" s="51">
        <v>1.0</v>
      </c>
      <c r="AE29" s="51">
        <v>0.0</v>
      </c>
      <c r="AF29" s="51">
        <v>0.0</v>
      </c>
      <c r="AG29" s="51">
        <v>1.0</v>
      </c>
    </row>
    <row r="30">
      <c r="O30" s="35" t="s">
        <v>22</v>
      </c>
      <c r="P30" s="46">
        <v>1.0</v>
      </c>
      <c r="Q30" s="46">
        <v>0.0</v>
      </c>
      <c r="R30" s="46">
        <v>0.75</v>
      </c>
      <c r="S30" s="46">
        <v>0.8</v>
      </c>
      <c r="T30" s="56"/>
      <c r="AC30" s="35" t="s">
        <v>22</v>
      </c>
      <c r="AD30" s="51">
        <v>0.0</v>
      </c>
      <c r="AE30" s="51">
        <v>0.0</v>
      </c>
      <c r="AF30" s="51">
        <v>0.0</v>
      </c>
      <c r="AG30" s="51">
        <v>0.0</v>
      </c>
    </row>
    <row r="31">
      <c r="O31" s="35" t="s">
        <v>3931</v>
      </c>
      <c r="P31" s="46">
        <v>0.6422</v>
      </c>
      <c r="Q31" s="46">
        <v>0.5815</v>
      </c>
      <c r="R31" s="46">
        <v>0.6083</v>
      </c>
      <c r="S31" s="46">
        <v>0.6053</v>
      </c>
      <c r="T31" s="56"/>
      <c r="AC31" s="35" t="s">
        <v>3931</v>
      </c>
      <c r="AD31" s="51">
        <v>0.1875</v>
      </c>
      <c r="AE31" s="51">
        <v>0.4091</v>
      </c>
      <c r="AF31" s="51">
        <v>0.5833</v>
      </c>
      <c r="AG31" s="51">
        <v>0.2427</v>
      </c>
    </row>
    <row r="37">
      <c r="O37" s="15"/>
      <c r="P37" s="36" t="s">
        <v>4025</v>
      </c>
      <c r="Q37" s="36" t="s">
        <v>4026</v>
      </c>
      <c r="R37" s="36" t="s">
        <v>4027</v>
      </c>
      <c r="S37" s="36" t="s">
        <v>4028</v>
      </c>
      <c r="AC37" s="15"/>
      <c r="AD37" s="36" t="s">
        <v>4025</v>
      </c>
      <c r="AE37" s="36" t="s">
        <v>4026</v>
      </c>
      <c r="AF37" s="36" t="s">
        <v>4027</v>
      </c>
      <c r="AG37" s="36" t="s">
        <v>4028</v>
      </c>
    </row>
    <row r="38">
      <c r="A38" s="19" t="s">
        <v>3965</v>
      </c>
      <c r="O38" s="35" t="s">
        <v>3959</v>
      </c>
      <c r="P38" s="51">
        <v>0.0</v>
      </c>
      <c r="Q38" s="51">
        <v>0.0</v>
      </c>
      <c r="R38" s="57">
        <v>0.0</v>
      </c>
      <c r="S38" s="57">
        <v>0.0</v>
      </c>
      <c r="AC38" s="35" t="s">
        <v>3959</v>
      </c>
      <c r="AD38" s="51">
        <v>0.0</v>
      </c>
      <c r="AE38" s="51">
        <v>0.0</v>
      </c>
      <c r="AF38" s="42">
        <v>0.0</v>
      </c>
      <c r="AG38" s="51">
        <v>0.0</v>
      </c>
    </row>
    <row r="39">
      <c r="A39" s="29" t="s">
        <v>0</v>
      </c>
      <c r="B39" s="29" t="s">
        <v>3951</v>
      </c>
      <c r="C39" s="29" t="s">
        <v>3952</v>
      </c>
      <c r="D39" s="29" t="s">
        <v>3953</v>
      </c>
      <c r="O39" s="35" t="s">
        <v>3960</v>
      </c>
      <c r="P39" s="51">
        <v>0.0</v>
      </c>
      <c r="Q39" s="51">
        <v>0.0</v>
      </c>
      <c r="R39" s="57">
        <v>0.0</v>
      </c>
      <c r="S39" s="57">
        <v>0.0</v>
      </c>
      <c r="AC39" s="35" t="s">
        <v>3960</v>
      </c>
      <c r="AD39" s="51">
        <v>1.0</v>
      </c>
      <c r="AE39" s="51">
        <v>0.0</v>
      </c>
      <c r="AF39" s="42">
        <v>0.0</v>
      </c>
      <c r="AG39" s="51">
        <v>0.0833</v>
      </c>
    </row>
    <row r="40">
      <c r="A40" s="29" t="s">
        <v>32</v>
      </c>
      <c r="B40" s="42">
        <v>0.6943</v>
      </c>
      <c r="C40" s="42">
        <v>0.3057</v>
      </c>
      <c r="D40" s="42">
        <v>0.3172</v>
      </c>
      <c r="O40" s="35" t="s">
        <v>18</v>
      </c>
      <c r="P40" s="51">
        <v>0.0</v>
      </c>
      <c r="Q40" s="51">
        <v>0.0</v>
      </c>
      <c r="R40" s="57">
        <v>0.0</v>
      </c>
      <c r="S40" s="57">
        <v>0.0</v>
      </c>
      <c r="AC40" s="35" t="s">
        <v>18</v>
      </c>
      <c r="AD40" s="51">
        <v>0.0</v>
      </c>
      <c r="AE40" s="51">
        <v>0.0</v>
      </c>
      <c r="AF40" s="42">
        <v>0.0</v>
      </c>
      <c r="AG40" s="51">
        <v>0.0</v>
      </c>
    </row>
    <row r="41">
      <c r="A41" s="29" t="s">
        <v>342</v>
      </c>
      <c r="B41" s="42">
        <v>0.8932</v>
      </c>
      <c r="C41" s="42">
        <v>0.1068</v>
      </c>
      <c r="D41" s="42">
        <v>0.4162</v>
      </c>
      <c r="O41" s="35" t="s">
        <v>3962</v>
      </c>
      <c r="P41" s="51">
        <v>0.0</v>
      </c>
      <c r="Q41" s="51">
        <v>0.0</v>
      </c>
      <c r="R41" s="57">
        <v>0.0</v>
      </c>
      <c r="S41" s="57">
        <v>0.0</v>
      </c>
      <c r="AC41" s="35" t="s">
        <v>3962</v>
      </c>
      <c r="AD41" s="51">
        <v>0.0</v>
      </c>
      <c r="AE41" s="51">
        <v>0.0</v>
      </c>
      <c r="AF41" s="42">
        <v>0.0</v>
      </c>
      <c r="AG41" s="51">
        <v>0.0</v>
      </c>
    </row>
    <row r="42">
      <c r="A42" s="29" t="s">
        <v>794</v>
      </c>
      <c r="B42" s="42">
        <v>0.9091</v>
      </c>
      <c r="C42" s="42">
        <v>0.0909</v>
      </c>
      <c r="D42" s="42">
        <v>0.2667</v>
      </c>
      <c r="H42" s="16"/>
      <c r="L42" s="16"/>
      <c r="O42" s="35" t="s">
        <v>20</v>
      </c>
      <c r="P42" s="51">
        <v>0.0</v>
      </c>
      <c r="Q42" s="51">
        <v>0.0</v>
      </c>
      <c r="R42" s="57">
        <v>0.0</v>
      </c>
      <c r="S42" s="57">
        <v>0.0</v>
      </c>
      <c r="AC42" s="35" t="s">
        <v>20</v>
      </c>
      <c r="AD42" s="51">
        <v>0.0</v>
      </c>
      <c r="AE42" s="51">
        <v>0.0</v>
      </c>
      <c r="AF42" s="42">
        <v>0.0</v>
      </c>
      <c r="AG42" s="51">
        <v>0.0</v>
      </c>
    </row>
    <row r="43">
      <c r="A43" s="29" t="s">
        <v>3961</v>
      </c>
      <c r="B43" s="42">
        <v>0.8343</v>
      </c>
      <c r="C43" s="42">
        <v>0.1657</v>
      </c>
      <c r="D43" s="42">
        <v>1.0</v>
      </c>
      <c r="O43" s="35" t="s">
        <v>3964</v>
      </c>
      <c r="P43" s="51">
        <v>0.0</v>
      </c>
      <c r="Q43" s="51">
        <v>0.1429</v>
      </c>
      <c r="R43" s="57">
        <v>0.0</v>
      </c>
      <c r="S43" s="57">
        <v>0.0</v>
      </c>
      <c r="AC43" s="35" t="s">
        <v>3964</v>
      </c>
      <c r="AD43" s="51">
        <v>0.0</v>
      </c>
      <c r="AE43" s="51">
        <v>0.0</v>
      </c>
      <c r="AF43" s="42">
        <v>0.0</v>
      </c>
      <c r="AG43" s="51">
        <v>0.0</v>
      </c>
    </row>
    <row r="44">
      <c r="O44" s="35" t="s">
        <v>24</v>
      </c>
      <c r="P44" s="51">
        <v>1.0</v>
      </c>
      <c r="Q44" s="51">
        <v>0.6757</v>
      </c>
      <c r="R44" s="57">
        <v>0.8889</v>
      </c>
      <c r="S44" s="57">
        <v>0.8889</v>
      </c>
      <c r="AC44" s="35" t="s">
        <v>24</v>
      </c>
      <c r="AD44" s="51">
        <v>0.9</v>
      </c>
      <c r="AE44" s="51">
        <v>0.5</v>
      </c>
      <c r="AF44" s="42">
        <v>1.0</v>
      </c>
      <c r="AG44" s="51">
        <v>0.8</v>
      </c>
    </row>
    <row r="45">
      <c r="O45" s="35" t="s">
        <v>3966</v>
      </c>
      <c r="P45" s="51">
        <v>0.0</v>
      </c>
      <c r="Q45" s="51">
        <v>0.0</v>
      </c>
      <c r="R45" s="57">
        <v>0.0</v>
      </c>
      <c r="S45" s="57">
        <v>0.0</v>
      </c>
      <c r="AC45" s="35" t="s">
        <v>3966</v>
      </c>
      <c r="AD45" s="51">
        <v>0.0</v>
      </c>
      <c r="AE45" s="51">
        <v>0.0</v>
      </c>
      <c r="AF45" s="42">
        <v>0.0</v>
      </c>
      <c r="AG45" s="51">
        <v>0.0</v>
      </c>
    </row>
    <row r="46">
      <c r="O46" s="35" t="s">
        <v>26</v>
      </c>
      <c r="P46" s="51">
        <v>0.0</v>
      </c>
      <c r="Q46" s="51">
        <v>0.0</v>
      </c>
      <c r="R46" s="57">
        <v>0.0</v>
      </c>
      <c r="S46" s="57">
        <v>0.0</v>
      </c>
      <c r="AC46" s="35" t="s">
        <v>26</v>
      </c>
      <c r="AD46" s="51">
        <v>0.4167</v>
      </c>
      <c r="AE46" s="51">
        <v>0.0</v>
      </c>
      <c r="AF46" s="42">
        <v>1.0</v>
      </c>
      <c r="AG46" s="51">
        <v>0.4615</v>
      </c>
    </row>
    <row r="47">
      <c r="O47" s="35" t="s">
        <v>3967</v>
      </c>
      <c r="P47" s="51">
        <v>1.0</v>
      </c>
      <c r="Q47" s="51">
        <v>0.0</v>
      </c>
      <c r="R47" s="57">
        <v>0.0</v>
      </c>
      <c r="S47" s="57">
        <v>0.0</v>
      </c>
      <c r="AC47" s="35" t="s">
        <v>3967</v>
      </c>
      <c r="AD47" s="51">
        <v>0.0</v>
      </c>
      <c r="AE47" s="51">
        <v>0.0</v>
      </c>
      <c r="AF47" s="42">
        <v>0.0</v>
      </c>
      <c r="AG47" s="51">
        <v>0.0</v>
      </c>
    </row>
    <row r="48">
      <c r="O48" s="52" t="s">
        <v>21</v>
      </c>
      <c r="P48" s="51">
        <v>0.0</v>
      </c>
      <c r="Q48" s="51">
        <v>0.0</v>
      </c>
      <c r="R48" s="57">
        <v>0.0</v>
      </c>
      <c r="S48" s="57">
        <v>0.0</v>
      </c>
      <c r="AC48" s="52" t="s">
        <v>21</v>
      </c>
      <c r="AD48" s="51">
        <v>0.0</v>
      </c>
      <c r="AE48" s="51">
        <v>0.0</v>
      </c>
      <c r="AF48" s="42">
        <v>0.0</v>
      </c>
      <c r="AG48" s="51">
        <v>0.0</v>
      </c>
    </row>
    <row r="49">
      <c r="O49" s="35" t="s">
        <v>22</v>
      </c>
      <c r="P49" s="51">
        <v>0.0</v>
      </c>
      <c r="Q49" s="51">
        <v>0.0</v>
      </c>
      <c r="R49" s="57">
        <v>0.25</v>
      </c>
      <c r="S49" s="57">
        <v>0.25</v>
      </c>
      <c r="AC49" s="35" t="s">
        <v>22</v>
      </c>
      <c r="AD49" s="51">
        <v>0.3333</v>
      </c>
      <c r="AE49" s="51">
        <v>0.0</v>
      </c>
      <c r="AF49" s="42">
        <v>0.0</v>
      </c>
      <c r="AG49" s="51">
        <v>0.3333</v>
      </c>
    </row>
    <row r="50">
      <c r="O50" s="35" t="s">
        <v>3931</v>
      </c>
      <c r="P50" s="51">
        <v>0.1193</v>
      </c>
      <c r="Q50" s="51">
        <v>0.1467</v>
      </c>
      <c r="R50" s="57">
        <v>0.075</v>
      </c>
      <c r="S50" s="57">
        <v>0.075</v>
      </c>
      <c r="AC50" s="35" t="s">
        <v>3931</v>
      </c>
      <c r="AD50" s="51">
        <v>0.5417</v>
      </c>
      <c r="AE50" s="51">
        <v>0.1818</v>
      </c>
      <c r="AF50" s="42">
        <v>0.25</v>
      </c>
      <c r="AG50" s="51">
        <v>0.3204</v>
      </c>
    </row>
    <row r="55">
      <c r="O55" s="15"/>
      <c r="P55" s="36" t="s">
        <v>4029</v>
      </c>
      <c r="Q55" s="36" t="s">
        <v>4030</v>
      </c>
      <c r="R55" s="36" t="s">
        <v>4031</v>
      </c>
      <c r="S55" s="36" t="s">
        <v>4032</v>
      </c>
      <c r="AC55" s="15"/>
      <c r="AD55" s="36" t="s">
        <v>4029</v>
      </c>
      <c r="AE55" s="36" t="s">
        <v>4030</v>
      </c>
      <c r="AF55" s="36" t="s">
        <v>4031</v>
      </c>
      <c r="AG55" s="36" t="s">
        <v>4032</v>
      </c>
    </row>
    <row r="56">
      <c r="O56" s="35" t="s">
        <v>3959</v>
      </c>
      <c r="P56" s="57">
        <v>0.3265</v>
      </c>
      <c r="Q56" s="57">
        <v>0.3571</v>
      </c>
      <c r="R56" s="57">
        <v>0.3889</v>
      </c>
      <c r="S56" s="57">
        <v>0.3584</v>
      </c>
      <c r="AC56" s="35" t="s">
        <v>3959</v>
      </c>
      <c r="AD56" s="51">
        <v>0.4</v>
      </c>
      <c r="AE56" s="51">
        <v>0.5714</v>
      </c>
      <c r="AF56" s="57">
        <v>0.5</v>
      </c>
      <c r="AG56" s="51">
        <v>0.5</v>
      </c>
    </row>
    <row r="57">
      <c r="O57" s="35" t="s">
        <v>3960</v>
      </c>
      <c r="P57" s="57">
        <v>0.5385</v>
      </c>
      <c r="Q57" s="57">
        <v>0.5294</v>
      </c>
      <c r="R57" s="57">
        <v>0.3529</v>
      </c>
      <c r="S57" s="57">
        <v>0.4681</v>
      </c>
      <c r="AC57" s="35" t="s">
        <v>3960</v>
      </c>
      <c r="AD57" s="51">
        <v>0.0</v>
      </c>
      <c r="AE57" s="51">
        <v>1.0</v>
      </c>
      <c r="AF57" s="57">
        <v>0.0</v>
      </c>
      <c r="AG57" s="51">
        <v>0.9167</v>
      </c>
    </row>
    <row r="58">
      <c r="O58" s="35" t="s">
        <v>18</v>
      </c>
      <c r="P58" s="57">
        <v>0.0</v>
      </c>
      <c r="Q58" s="57">
        <v>0.0</v>
      </c>
      <c r="R58" s="57">
        <v>0.0</v>
      </c>
      <c r="S58" s="57">
        <v>0.0</v>
      </c>
      <c r="AC58" s="35" t="s">
        <v>18</v>
      </c>
      <c r="AD58" s="51">
        <v>0.0</v>
      </c>
      <c r="AE58" s="51">
        <v>0.0</v>
      </c>
      <c r="AF58" s="57">
        <v>0.0</v>
      </c>
      <c r="AG58" s="51">
        <v>0.0</v>
      </c>
    </row>
    <row r="59">
      <c r="O59" s="35" t="s">
        <v>3962</v>
      </c>
      <c r="P59" s="57">
        <v>0.0</v>
      </c>
      <c r="Q59" s="57">
        <v>0.0</v>
      </c>
      <c r="R59" s="57">
        <v>0.0</v>
      </c>
      <c r="S59" s="57">
        <v>0.0</v>
      </c>
      <c r="AC59" s="35" t="s">
        <v>3962</v>
      </c>
      <c r="AD59" s="51">
        <v>0.0</v>
      </c>
      <c r="AE59" s="51">
        <v>0.0</v>
      </c>
      <c r="AF59" s="57">
        <v>0.0</v>
      </c>
      <c r="AG59" s="51">
        <v>0.0</v>
      </c>
    </row>
    <row r="60">
      <c r="O60" s="35" t="s">
        <v>20</v>
      </c>
      <c r="P60" s="57">
        <v>0.0</v>
      </c>
      <c r="Q60" s="57">
        <v>0.0455</v>
      </c>
      <c r="R60" s="57">
        <v>0.375</v>
      </c>
      <c r="S60" s="57">
        <v>0.1026</v>
      </c>
      <c r="AC60" s="35" t="s">
        <v>20</v>
      </c>
      <c r="AD60" s="51">
        <v>0.0</v>
      </c>
      <c r="AE60" s="51">
        <v>0.0</v>
      </c>
      <c r="AF60" s="57">
        <v>0.0</v>
      </c>
      <c r="AG60" s="51">
        <v>0.0</v>
      </c>
    </row>
    <row r="61">
      <c r="O61" s="35" t="s">
        <v>3964</v>
      </c>
      <c r="P61" s="57">
        <v>0.0</v>
      </c>
      <c r="Q61" s="57">
        <v>0.0714</v>
      </c>
      <c r="R61" s="57">
        <v>0.1818</v>
      </c>
      <c r="S61" s="57">
        <v>0.0882</v>
      </c>
      <c r="AC61" s="35" t="s">
        <v>3964</v>
      </c>
      <c r="AD61" s="51">
        <v>0.0</v>
      </c>
      <c r="AE61" s="51">
        <v>0.0</v>
      </c>
      <c r="AF61" s="57">
        <v>0.0</v>
      </c>
      <c r="AG61" s="51">
        <v>0.0</v>
      </c>
    </row>
    <row r="62">
      <c r="O62" s="35" t="s">
        <v>24</v>
      </c>
      <c r="P62" s="57">
        <v>0.0</v>
      </c>
      <c r="Q62" s="57">
        <v>0.3243</v>
      </c>
      <c r="R62" s="57">
        <v>0.1111</v>
      </c>
      <c r="S62" s="57">
        <v>0.2241</v>
      </c>
      <c r="AC62" s="35" t="s">
        <v>24</v>
      </c>
      <c r="AD62" s="51">
        <v>0.1</v>
      </c>
      <c r="AE62" s="51">
        <v>0.5</v>
      </c>
      <c r="AF62" s="57">
        <v>0.0</v>
      </c>
      <c r="AG62" s="51">
        <v>0.2</v>
      </c>
    </row>
    <row r="63">
      <c r="O63" s="35" t="s">
        <v>3966</v>
      </c>
      <c r="P63" s="57">
        <v>0.4</v>
      </c>
      <c r="Q63" s="57">
        <v>0.125</v>
      </c>
      <c r="R63" s="57">
        <v>0.3333</v>
      </c>
      <c r="S63" s="57">
        <v>0.2632</v>
      </c>
      <c r="AC63" s="35" t="s">
        <v>3966</v>
      </c>
      <c r="AD63" s="51">
        <v>0.0</v>
      </c>
      <c r="AE63" s="51">
        <v>0.0</v>
      </c>
      <c r="AF63" s="57">
        <v>0.0</v>
      </c>
      <c r="AG63" s="51">
        <v>0.0</v>
      </c>
    </row>
    <row r="64">
      <c r="A64" s="16" t="s">
        <v>3968</v>
      </c>
      <c r="O64" s="35" t="s">
        <v>26</v>
      </c>
      <c r="P64" s="57">
        <v>0.5</v>
      </c>
      <c r="Q64" s="57">
        <v>0.0</v>
      </c>
      <c r="R64" s="57">
        <v>1.0</v>
      </c>
      <c r="S64" s="57">
        <v>0.6667</v>
      </c>
      <c r="AC64" s="35" t="s">
        <v>26</v>
      </c>
      <c r="AD64" s="51">
        <v>0.5833</v>
      </c>
      <c r="AE64" s="51">
        <v>0.0</v>
      </c>
      <c r="AF64" s="57">
        <v>0.0</v>
      </c>
      <c r="AG64" s="51">
        <v>0.5385</v>
      </c>
    </row>
    <row r="65">
      <c r="A65" s="35" t="s">
        <v>3970</v>
      </c>
      <c r="B65" s="29" t="s">
        <v>4020</v>
      </c>
      <c r="C65" s="29" t="s">
        <v>65</v>
      </c>
      <c r="D65" s="29" t="s">
        <v>391</v>
      </c>
      <c r="E65" s="29" t="s">
        <v>843</v>
      </c>
      <c r="O65" s="35" t="s">
        <v>3967</v>
      </c>
      <c r="P65" s="57">
        <v>0.0</v>
      </c>
      <c r="Q65" s="57">
        <v>0.0</v>
      </c>
      <c r="R65" s="57">
        <v>0.0</v>
      </c>
      <c r="S65" s="57">
        <v>0.0</v>
      </c>
      <c r="AC65" s="35" t="s">
        <v>3967</v>
      </c>
      <c r="AD65" s="51">
        <v>0.0</v>
      </c>
      <c r="AE65" s="51">
        <v>0.0</v>
      </c>
      <c r="AF65" s="57">
        <v>0.0</v>
      </c>
      <c r="AG65" s="51">
        <v>0.0</v>
      </c>
    </row>
    <row r="66">
      <c r="A66" s="35" t="s">
        <v>3972</v>
      </c>
      <c r="B66" s="42">
        <v>0.6053</v>
      </c>
      <c r="C66" s="42">
        <v>0.6422</v>
      </c>
      <c r="D66" s="42">
        <v>0.5815</v>
      </c>
      <c r="E66" s="42">
        <v>0.6083</v>
      </c>
      <c r="O66" s="52" t="s">
        <v>21</v>
      </c>
      <c r="P66" s="57">
        <v>0.0</v>
      </c>
      <c r="Q66" s="57">
        <v>0.3333</v>
      </c>
      <c r="R66" s="57">
        <v>0.0</v>
      </c>
      <c r="S66" s="57">
        <v>0.2</v>
      </c>
      <c r="AC66" s="52" t="s">
        <v>21</v>
      </c>
      <c r="AD66" s="51">
        <v>0.0</v>
      </c>
      <c r="AE66" s="51">
        <v>0.0</v>
      </c>
      <c r="AF66" s="57">
        <v>0.0</v>
      </c>
      <c r="AG66" s="51">
        <v>0.0</v>
      </c>
    </row>
    <row r="67">
      <c r="A67" s="35" t="s">
        <v>3974</v>
      </c>
      <c r="B67" s="42">
        <v>0.1186</v>
      </c>
      <c r="C67" s="42">
        <v>0.1193</v>
      </c>
      <c r="D67" s="42">
        <v>0.1467</v>
      </c>
      <c r="E67" s="42">
        <v>0.075</v>
      </c>
      <c r="O67" s="35" t="s">
        <v>22</v>
      </c>
      <c r="P67" s="57">
        <v>0.0</v>
      </c>
      <c r="Q67" s="57">
        <v>0.0</v>
      </c>
      <c r="R67" s="57">
        <v>0.0</v>
      </c>
      <c r="S67" s="57">
        <v>0.0</v>
      </c>
      <c r="AC67" s="35" t="s">
        <v>22</v>
      </c>
      <c r="AD67" s="51">
        <v>0.6667</v>
      </c>
      <c r="AE67" s="51">
        <v>0.0</v>
      </c>
      <c r="AF67" s="57">
        <v>0.0</v>
      </c>
      <c r="AG67" s="51">
        <v>0.6667</v>
      </c>
    </row>
    <row r="68">
      <c r="A68" s="35" t="s">
        <v>3975</v>
      </c>
      <c r="B68" s="42">
        <v>0.276</v>
      </c>
      <c r="C68" s="42">
        <v>0.2385</v>
      </c>
      <c r="D68" s="42">
        <v>0.2717</v>
      </c>
      <c r="E68" s="42">
        <v>0.3167</v>
      </c>
      <c r="O68" s="29" t="s">
        <v>3931</v>
      </c>
      <c r="P68" s="42">
        <v>0.2385</v>
      </c>
      <c r="Q68" s="42">
        <v>0.2717</v>
      </c>
      <c r="R68" s="42">
        <v>0.3167</v>
      </c>
      <c r="S68" s="42">
        <v>0.276</v>
      </c>
      <c r="AC68" s="29" t="s">
        <v>3931</v>
      </c>
      <c r="AD68" s="51">
        <v>0.2708</v>
      </c>
      <c r="AE68" s="51">
        <v>0.4091</v>
      </c>
      <c r="AF68" s="42">
        <v>0.1667</v>
      </c>
      <c r="AG68" s="51">
        <v>0.4369</v>
      </c>
    </row>
    <row r="69">
      <c r="A69" s="35" t="s">
        <v>3931</v>
      </c>
      <c r="B69" s="42">
        <v>1.0</v>
      </c>
      <c r="C69" s="42">
        <v>1.0</v>
      </c>
      <c r="D69" s="42">
        <v>1.0</v>
      </c>
      <c r="E69" s="42">
        <v>1.0</v>
      </c>
    </row>
    <row r="90">
      <c r="A90" s="34" t="s">
        <v>4033</v>
      </c>
    </row>
    <row r="91">
      <c r="A91" s="35" t="s">
        <v>3970</v>
      </c>
      <c r="B91" s="29" t="s">
        <v>4020</v>
      </c>
      <c r="C91" s="29" t="s">
        <v>65</v>
      </c>
      <c r="D91" s="29" t="s">
        <v>391</v>
      </c>
      <c r="E91" s="29" t="s">
        <v>843</v>
      </c>
    </row>
    <row r="92">
      <c r="A92" s="35" t="s">
        <v>3972</v>
      </c>
      <c r="B92" s="28">
        <v>0.3048780487804878</v>
      </c>
      <c r="C92" s="28">
        <v>0.1875</v>
      </c>
      <c r="D92" s="28">
        <v>0.4090909090909091</v>
      </c>
      <c r="E92" s="28">
        <v>0.5833333333333334</v>
      </c>
    </row>
    <row r="93">
      <c r="A93" s="35" t="s">
        <v>3974</v>
      </c>
      <c r="B93" s="28">
        <v>0.4024390243902439</v>
      </c>
      <c r="C93" s="28">
        <v>0.5416666666666666</v>
      </c>
      <c r="D93" s="28">
        <v>0.18181818181818182</v>
      </c>
      <c r="E93" s="28">
        <v>0.25</v>
      </c>
    </row>
    <row r="94">
      <c r="A94" s="35" t="s">
        <v>3975</v>
      </c>
      <c r="B94" s="28">
        <v>0.2926829268292683</v>
      </c>
      <c r="C94" s="28">
        <v>0.2708333333333333</v>
      </c>
      <c r="D94" s="28">
        <v>0.4090909090909091</v>
      </c>
      <c r="E94" s="28">
        <v>0.16666666666666666</v>
      </c>
    </row>
    <row r="95">
      <c r="A95" s="35" t="s">
        <v>3931</v>
      </c>
      <c r="B95" s="28">
        <v>1.0</v>
      </c>
      <c r="C95" s="28">
        <v>1.0</v>
      </c>
      <c r="D95" s="28">
        <v>1.0</v>
      </c>
      <c r="E95" s="28">
        <v>1.0</v>
      </c>
    </row>
    <row r="117">
      <c r="A117" s="14" t="s">
        <v>3954</v>
      </c>
      <c r="B117" s="14" t="s">
        <v>3956</v>
      </c>
    </row>
    <row r="118">
      <c r="A118" s="19" t="s">
        <v>3959</v>
      </c>
      <c r="B118" s="30">
        <v>0.4188861985472155</v>
      </c>
    </row>
    <row r="119">
      <c r="A119" s="19" t="s">
        <v>3960</v>
      </c>
      <c r="B119" s="30">
        <v>0.11380145278450363</v>
      </c>
    </row>
    <row r="120">
      <c r="A120" s="14" t="s">
        <v>18</v>
      </c>
      <c r="B120" s="30">
        <v>0.031476997578692496</v>
      </c>
    </row>
    <row r="121">
      <c r="A121" s="19" t="s">
        <v>3962</v>
      </c>
      <c r="B121" s="30">
        <v>0.031476997578692496</v>
      </c>
    </row>
    <row r="122">
      <c r="A122" s="19" t="s">
        <v>20</v>
      </c>
      <c r="B122" s="30">
        <v>0.09443099273607748</v>
      </c>
    </row>
    <row r="123">
      <c r="A123" s="19" t="s">
        <v>3964</v>
      </c>
      <c r="B123" s="30">
        <v>0.08232445520581114</v>
      </c>
    </row>
    <row r="124">
      <c r="A124" s="19" t="s">
        <v>24</v>
      </c>
      <c r="B124" s="30">
        <v>0.14043583535108958</v>
      </c>
    </row>
    <row r="125">
      <c r="A125" s="19" t="s">
        <v>3966</v>
      </c>
      <c r="B125" s="30">
        <v>0.04600484261501211</v>
      </c>
    </row>
    <row r="126">
      <c r="A126" s="19" t="s">
        <v>26</v>
      </c>
      <c r="B126" s="30">
        <v>0.014527845036319613</v>
      </c>
    </row>
    <row r="127">
      <c r="A127" s="19" t="s">
        <v>3967</v>
      </c>
      <c r="B127" s="30">
        <v>0.002421307506053269</v>
      </c>
    </row>
    <row r="128">
      <c r="A128" s="14" t="s">
        <v>21</v>
      </c>
      <c r="B128" s="30">
        <v>0.012106537530266344</v>
      </c>
    </row>
    <row r="129">
      <c r="A129" s="19" t="s">
        <v>22</v>
      </c>
      <c r="B129" s="30">
        <v>0.012106537530266344</v>
      </c>
    </row>
    <row r="130">
      <c r="A130" s="19" t="s">
        <v>3931</v>
      </c>
      <c r="B130" s="30">
        <v>1.0</v>
      </c>
    </row>
    <row r="133">
      <c r="A133" s="14" t="s">
        <v>3954</v>
      </c>
      <c r="B133" s="19" t="s">
        <v>3958</v>
      </c>
    </row>
    <row r="134">
      <c r="A134" s="19" t="s">
        <v>3959</v>
      </c>
      <c r="B134" s="30">
        <v>0.1951219512195122</v>
      </c>
    </row>
    <row r="135">
      <c r="A135" s="19" t="s">
        <v>3960</v>
      </c>
      <c r="B135" s="30">
        <v>0.036585365853658534</v>
      </c>
    </row>
    <row r="136">
      <c r="A136" s="14" t="s">
        <v>18</v>
      </c>
      <c r="B136" s="30">
        <v>0.04878048780487805</v>
      </c>
    </row>
    <row r="137">
      <c r="A137" s="19" t="s">
        <v>3962</v>
      </c>
      <c r="B137" s="30">
        <v>0.012195121951219513</v>
      </c>
    </row>
    <row r="138">
      <c r="A138" s="19" t="s">
        <v>20</v>
      </c>
      <c r="B138" s="30">
        <v>0.10975609756097561</v>
      </c>
    </row>
    <row r="139">
      <c r="A139" s="19" t="s">
        <v>3964</v>
      </c>
      <c r="B139" s="30">
        <v>0.012195121951219513</v>
      </c>
    </row>
    <row r="140">
      <c r="A140" s="19" t="s">
        <v>24</v>
      </c>
      <c r="B140" s="30">
        <v>0.36585365853658536</v>
      </c>
    </row>
    <row r="141">
      <c r="A141" s="19" t="s">
        <v>3966</v>
      </c>
      <c r="B141" s="30">
        <v>0.0</v>
      </c>
    </row>
    <row r="142">
      <c r="A142" s="19" t="s">
        <v>26</v>
      </c>
      <c r="B142" s="30">
        <v>0.15853658536585366</v>
      </c>
    </row>
    <row r="143">
      <c r="A143" s="19" t="s">
        <v>3967</v>
      </c>
      <c r="B143" s="30">
        <v>0.0</v>
      </c>
    </row>
    <row r="144">
      <c r="A144" s="14" t="s">
        <v>21</v>
      </c>
      <c r="B144" s="30">
        <v>0.024390243902439025</v>
      </c>
    </row>
    <row r="145">
      <c r="A145" s="19" t="s">
        <v>22</v>
      </c>
      <c r="B145" s="30">
        <v>0.036585365853658534</v>
      </c>
    </row>
    <row r="146">
      <c r="A146" s="19" t="s">
        <v>3931</v>
      </c>
      <c r="B146" s="30">
        <v>1.0</v>
      </c>
    </row>
    <row r="153">
      <c r="A153" s="19" t="s">
        <v>4034</v>
      </c>
    </row>
    <row r="154">
      <c r="A154" s="15" t="s">
        <v>3954</v>
      </c>
      <c r="B154" s="29" t="s">
        <v>3958</v>
      </c>
    </row>
    <row r="155">
      <c r="A155" s="29" t="s">
        <v>3959</v>
      </c>
      <c r="B155" s="28">
        <v>0.14634146341463414</v>
      </c>
    </row>
    <row r="156">
      <c r="A156" s="29" t="s">
        <v>3960</v>
      </c>
      <c r="B156" s="28">
        <v>0.036585365853658534</v>
      </c>
    </row>
    <row r="157">
      <c r="A157" s="15" t="s">
        <v>18</v>
      </c>
      <c r="B157" s="28">
        <v>0.04878048780487805</v>
      </c>
    </row>
    <row r="158">
      <c r="A158" s="29" t="s">
        <v>3962</v>
      </c>
      <c r="B158" s="28">
        <v>0.012195121951219513</v>
      </c>
    </row>
    <row r="159">
      <c r="A159" s="29" t="s">
        <v>20</v>
      </c>
      <c r="B159" s="28">
        <v>0.10975609756097561</v>
      </c>
    </row>
    <row r="160">
      <c r="A160" s="29" t="s">
        <v>3964</v>
      </c>
      <c r="B160" s="28">
        <v>0.012195121951219513</v>
      </c>
    </row>
    <row r="161">
      <c r="A161" s="29" t="s">
        <v>24</v>
      </c>
      <c r="B161" s="28">
        <v>0.3170731707317073</v>
      </c>
    </row>
    <row r="162">
      <c r="A162" s="29" t="s">
        <v>3966</v>
      </c>
      <c r="B162" s="28">
        <v>0.0</v>
      </c>
    </row>
    <row r="163">
      <c r="A163" s="29" t="s">
        <v>26</v>
      </c>
      <c r="B163" s="28">
        <v>0.15853658536585366</v>
      </c>
    </row>
    <row r="164">
      <c r="A164" s="29" t="s">
        <v>3967</v>
      </c>
      <c r="B164" s="28">
        <v>0.0</v>
      </c>
    </row>
    <row r="165">
      <c r="A165" s="15" t="s">
        <v>21</v>
      </c>
      <c r="B165" s="28">
        <v>0.024390243902439025</v>
      </c>
    </row>
    <row r="166">
      <c r="A166" s="29" t="s">
        <v>22</v>
      </c>
      <c r="B166" s="28">
        <v>0.036585365853658534</v>
      </c>
    </row>
    <row r="167">
      <c r="A167" s="29"/>
      <c r="B167" s="28"/>
    </row>
  </sheetData>
  <mergeCells count="15">
    <mergeCell ref="Y2:AA2"/>
    <mergeCell ref="AD2:AF2"/>
    <mergeCell ref="H42:K42"/>
    <mergeCell ref="A64:E64"/>
    <mergeCell ref="A90:E90"/>
    <mergeCell ref="AG2:AI2"/>
    <mergeCell ref="AJ2:AL2"/>
    <mergeCell ref="AM2:AO2"/>
    <mergeCell ref="A1:E1"/>
    <mergeCell ref="G1:K1"/>
    <mergeCell ref="P1:Y1"/>
    <mergeCell ref="AD1:AM1"/>
    <mergeCell ref="P2:R2"/>
    <mergeCell ref="S2:U2"/>
    <mergeCell ref="V2:X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0"/>
    <col customWidth="1" min="3" max="3" width="22.0"/>
    <col customWidth="1" min="5" max="5" width="25.25"/>
    <col customWidth="1" min="6" max="6" width="22.75"/>
    <col customWidth="1" min="7" max="7" width="24.88"/>
    <col customWidth="1" min="8" max="8" width="23.63"/>
    <col customWidth="1" min="9" max="9" width="24.88"/>
  </cols>
  <sheetData>
    <row r="1">
      <c r="A1" s="33" t="s">
        <v>4035</v>
      </c>
      <c r="E1" s="34" t="s">
        <v>4036</v>
      </c>
    </row>
    <row r="2">
      <c r="A2" s="29" t="s">
        <v>4037</v>
      </c>
      <c r="B2" s="29" t="s">
        <v>4038</v>
      </c>
      <c r="C2" s="29" t="s">
        <v>4039</v>
      </c>
      <c r="E2" s="35" t="s">
        <v>3954</v>
      </c>
      <c r="F2" s="35" t="s">
        <v>3955</v>
      </c>
      <c r="G2" s="35" t="s">
        <v>3956</v>
      </c>
      <c r="H2" s="36" t="s">
        <v>3957</v>
      </c>
      <c r="I2" s="36" t="s">
        <v>3958</v>
      </c>
    </row>
    <row r="3">
      <c r="A3" s="29" t="s">
        <v>35</v>
      </c>
      <c r="B3" s="15">
        <f>'статистика'!B3</f>
        <v>109</v>
      </c>
      <c r="C3" s="28">
        <f>B3/'статистика'!D6</f>
        <v>0.2202020202</v>
      </c>
      <c r="E3" s="29" t="s">
        <v>3959</v>
      </c>
      <c r="F3" s="15">
        <f>COUNTIFS('предлог_с'!A2:A1000, "Корпус говора деревни Пятиусово",'предлог_с'!Q2:Q1000, 1)</f>
        <v>49</v>
      </c>
      <c r="G3" s="28">
        <f t="shared" ref="G3:G15" si="1">F3/$F$15</f>
        <v>0.4495412844</v>
      </c>
      <c r="H3" s="15">
        <f>COUNTIFS('предлог_из'!A2:A1000, "Корпус говора деревни Пятиусово",'предлог_из'!Q2:Q1000, 1)</f>
        <v>5</v>
      </c>
      <c r="I3" s="28">
        <f t="shared" ref="I3:I15" si="2">H3/$H$15</f>
        <v>0.1041666667</v>
      </c>
    </row>
    <row r="4">
      <c r="A4" s="29" t="s">
        <v>1110</v>
      </c>
      <c r="B4" s="15">
        <f>'статистика'!C3</f>
        <v>48</v>
      </c>
      <c r="C4" s="28">
        <f>B4/'статистика'!D6</f>
        <v>0.09696969697</v>
      </c>
      <c r="E4" s="29" t="s">
        <v>3960</v>
      </c>
      <c r="F4" s="15">
        <f>COUNTIFS('предлог_с'!A2:A1000, "Корпус говора деревни Пятиусово",'предлог_с'!R2:R1000, 1)</f>
        <v>13</v>
      </c>
      <c r="G4" s="28">
        <f t="shared" si="1"/>
        <v>0.119266055</v>
      </c>
      <c r="H4" s="15">
        <f>COUNTIFS('предлог_из'!A2:A1000, "Корпус говора деревни Пятиусово",'предлог_из'!R2:R1000, 1)</f>
        <v>2</v>
      </c>
      <c r="I4" s="28">
        <f t="shared" si="2"/>
        <v>0.04166666667</v>
      </c>
    </row>
    <row r="5">
      <c r="A5" s="29" t="s">
        <v>3931</v>
      </c>
      <c r="B5" s="15">
        <f t="shared" ref="B5:C5" si="3">SUM(B3:B4)</f>
        <v>157</v>
      </c>
      <c r="C5" s="28">
        <f t="shared" si="3"/>
        <v>0.3171717172</v>
      </c>
      <c r="E5" s="35" t="s">
        <v>18</v>
      </c>
      <c r="F5" s="15">
        <f>COUNTIFS('предлог_с'!A2:A1000, "Корпус говора деревни Пятиусово",'предлог_с'!S2:S1000, 1)</f>
        <v>2</v>
      </c>
      <c r="G5" s="28">
        <f t="shared" si="1"/>
        <v>0.01834862385</v>
      </c>
      <c r="H5" s="15">
        <f>COUNTIFS('предлог_из'!A2:A1000, "Корпус говора деревни Пятиусово",'предлог_из'!S2:S1000, 1)</f>
        <v>2</v>
      </c>
      <c r="I5" s="28">
        <f t="shared" si="2"/>
        <v>0.04166666667</v>
      </c>
    </row>
    <row r="6">
      <c r="E6" s="29" t="s">
        <v>3962</v>
      </c>
      <c r="F6" s="15">
        <f>COUNTIFS('предлог_с'!A2:A1000, "Корпус говора деревни Пятиусово",'предлог_с'!T2:T1000, 1)</f>
        <v>4</v>
      </c>
      <c r="G6" s="28">
        <f t="shared" si="1"/>
        <v>0.03669724771</v>
      </c>
      <c r="H6" s="15">
        <f>COUNTIFS('предлог_из'!A2:A1000, "Корпус говора деревни Пятиусово",'предлог_из'!T2:T1000, 1)</f>
        <v>1</v>
      </c>
      <c r="I6" s="28">
        <f t="shared" si="2"/>
        <v>0.02083333333</v>
      </c>
    </row>
    <row r="7">
      <c r="A7" s="33" t="s">
        <v>4040</v>
      </c>
      <c r="E7" s="29" t="s">
        <v>20</v>
      </c>
      <c r="F7" s="15">
        <f>COUNTIFS('предлог_с'!A2:A1000, "Корпус говора деревни Пятиусово",'предлог_с'!U2:U1000, 1)</f>
        <v>9</v>
      </c>
      <c r="G7" s="28">
        <f t="shared" si="1"/>
        <v>0.08256880734</v>
      </c>
      <c r="H7" s="15">
        <f>COUNTIFS('предлог_из'!A2:A1000, "Корпус говора деревни Пятиусово",'предлог_из'!U2:U1000, 1)</f>
        <v>1</v>
      </c>
      <c r="I7" s="28">
        <f t="shared" si="2"/>
        <v>0.02083333333</v>
      </c>
    </row>
    <row r="8">
      <c r="A8" s="29" t="s">
        <v>3951</v>
      </c>
      <c r="B8" s="29" t="s">
        <v>3952</v>
      </c>
      <c r="E8" s="29" t="s">
        <v>3964</v>
      </c>
      <c r="F8" s="15">
        <f>COUNTIFS('предлог_с'!A2:A1000, "Корпус говора деревни Пятиусово",'предлог_с'!X2:X1000, 1)</f>
        <v>9</v>
      </c>
      <c r="G8" s="28">
        <f t="shared" si="1"/>
        <v>0.08256880734</v>
      </c>
      <c r="H8" s="15">
        <f>COUNTIFS('предлог_из'!A2:A1000, "Корпус говора деревни Пятиусово",'предлог_из'!X2:X1000, 1)</f>
        <v>0</v>
      </c>
      <c r="I8" s="28">
        <f t="shared" si="2"/>
        <v>0</v>
      </c>
    </row>
    <row r="9">
      <c r="A9" s="28">
        <f>'статистика'!B11</f>
        <v>0.6942675159</v>
      </c>
      <c r="B9" s="28">
        <f>'статистика'!C11</f>
        <v>0.3057324841</v>
      </c>
      <c r="E9" s="29" t="s">
        <v>24</v>
      </c>
      <c r="F9" s="15">
        <f>COUNTIFS('предлог_с'!A2:A1000, "Корпус говора деревни Пятиусово",'предлог_с'!Y2:Y1000, 1)</f>
        <v>12</v>
      </c>
      <c r="G9" s="28">
        <f t="shared" si="1"/>
        <v>0.1100917431</v>
      </c>
      <c r="H9" s="15">
        <f>COUNTIFS('предлог_из'!A2:A1000, "Корпус говора деревни Пятиусово",'предлог_из'!Y2:Y1000, 1)</f>
        <v>20</v>
      </c>
      <c r="I9" s="28">
        <f t="shared" si="2"/>
        <v>0.4166666667</v>
      </c>
    </row>
    <row r="10">
      <c r="E10" s="29" t="s">
        <v>3966</v>
      </c>
      <c r="F10" s="15">
        <f>COUNTIFS('предлог_с'!A2:A1000, "Корпус говора деревни Пятиусово",'предлог_с'!Z2:Z1000, 1)</f>
        <v>5</v>
      </c>
      <c r="G10" s="28">
        <f t="shared" si="1"/>
        <v>0.04587155963</v>
      </c>
      <c r="H10" s="15">
        <f>COUNTIFS('предлог_из'!A2:A1000, "Корпус говора деревни Пятиусово",'предлог_из'!Z2:Z1000, 1)</f>
        <v>0</v>
      </c>
      <c r="I10" s="28">
        <f t="shared" si="2"/>
        <v>0</v>
      </c>
    </row>
    <row r="11">
      <c r="E11" s="29" t="s">
        <v>26</v>
      </c>
      <c r="F11" s="15">
        <f>COUNTIFS('предлог_с'!A2:A1000, "Корпус говора деревни Пятиусово",'предлог_с'!AA2:AA1000, 1)</f>
        <v>2</v>
      </c>
      <c r="G11" s="28">
        <f t="shared" si="1"/>
        <v>0.01834862385</v>
      </c>
      <c r="H11" s="15">
        <f>COUNTIFS('предлог_из'!A2:A1000, "Корпус говора деревни Пятиусово",'предлог_из'!AA2:AA1000, 1)</f>
        <v>12</v>
      </c>
      <c r="I11" s="28">
        <f t="shared" si="2"/>
        <v>0.25</v>
      </c>
    </row>
    <row r="12">
      <c r="E12" s="29" t="s">
        <v>3967</v>
      </c>
      <c r="F12" s="15">
        <f>COUNTIFS('предлог_с'!A2:A1000, "Корпус говора деревни Пятиусово",'предлог_с'!AB2:AB1000, 1)</f>
        <v>1</v>
      </c>
      <c r="G12" s="28">
        <f t="shared" si="1"/>
        <v>0.009174311927</v>
      </c>
      <c r="H12" s="15">
        <f>COUNTIFS('предлог_из'!A2:A1000, "Корпус говора деревни Пятиусово",'предлог_из'!AB2:AB1000, 1)</f>
        <v>0</v>
      </c>
      <c r="I12" s="28">
        <f t="shared" si="2"/>
        <v>0</v>
      </c>
    </row>
    <row r="13">
      <c r="A13" s="16" t="s">
        <v>28</v>
      </c>
      <c r="E13" s="41" t="s">
        <v>21</v>
      </c>
      <c r="F13" s="15">
        <f>COUNTIFS('предлог_с'!A2:A1000, "Корпус говора деревни Пятиусово",'предлог_с'!V2:V1000, 1)</f>
        <v>2</v>
      </c>
      <c r="G13" s="28">
        <f t="shared" si="1"/>
        <v>0.01834862385</v>
      </c>
      <c r="H13" s="15">
        <f>COUNTIFS('предлог_из'!A2:A1000, "Корпус говора деревни Пятиусово",'предлог_из'!V2:V1000, 1)</f>
        <v>2</v>
      </c>
      <c r="I13" s="28">
        <f t="shared" si="2"/>
        <v>0.04166666667</v>
      </c>
    </row>
    <row r="14">
      <c r="A14" s="35" t="s">
        <v>3969</v>
      </c>
      <c r="B14" s="15">
        <f>COUNTIFS('предлог_из'!A2:A1000, "Корпус говора деревни Пятиусово",'предлог_из'!AC2:AC1000, 1)</f>
        <v>2</v>
      </c>
      <c r="C14" s="28">
        <f t="shared" ref="C14:C16" si="4">B14/$B$16</f>
        <v>0.04166666667</v>
      </c>
      <c r="E14" s="36" t="s">
        <v>22</v>
      </c>
      <c r="F14" s="15">
        <f>COUNTIFS('предлог_с'!A2:A1000, "Корпус говора деревни Пятиусово",'предлог_с'!W2:W1000, 1)</f>
        <v>1</v>
      </c>
      <c r="G14" s="28">
        <f t="shared" si="1"/>
        <v>0.009174311927</v>
      </c>
      <c r="H14" s="15">
        <f>COUNTIFS('предлог_из'!A2:A1000, "Корпус говора деревни Пятиусово",'предлог_из'!W2:W1000, 1)</f>
        <v>3</v>
      </c>
      <c r="I14" s="28">
        <f t="shared" si="2"/>
        <v>0.0625</v>
      </c>
    </row>
    <row r="15">
      <c r="A15" s="35" t="s">
        <v>3971</v>
      </c>
      <c r="B15" s="15">
        <f>COUNTIFS('предлог_из'!A2:A1000, "Корпус говора деревни Пятиусово",'предлог_из'!AC2:AC1000, 0)</f>
        <v>46</v>
      </c>
      <c r="C15" s="28">
        <f t="shared" si="4"/>
        <v>0.9583333333</v>
      </c>
      <c r="E15" s="29" t="s">
        <v>3931</v>
      </c>
      <c r="F15" s="15">
        <f>SUM(F1:F14)</f>
        <v>109</v>
      </c>
      <c r="G15" s="28">
        <f t="shared" si="1"/>
        <v>1</v>
      </c>
      <c r="H15" s="15">
        <f>SUM(H1:H14)</f>
        <v>48</v>
      </c>
      <c r="I15" s="28">
        <f t="shared" si="2"/>
        <v>1</v>
      </c>
    </row>
    <row r="16">
      <c r="A16" s="35" t="s">
        <v>3973</v>
      </c>
      <c r="B16" s="15">
        <f>SUM(B14:B15)</f>
        <v>48</v>
      </c>
      <c r="C16" s="28">
        <f t="shared" si="4"/>
        <v>1</v>
      </c>
    </row>
    <row r="18">
      <c r="A18" s="16" t="s">
        <v>3976</v>
      </c>
      <c r="E18" s="33" t="s">
        <v>4041</v>
      </c>
    </row>
    <row r="19">
      <c r="A19" s="35" t="s">
        <v>3959</v>
      </c>
      <c r="B19" s="15">
        <f>COUNTIFS('предлог_из'!A2:A1000, "Корпус говора деревни Пятиусово",'предлог_из'!AC2:AC1000, 1, 'предлог_из'!Q2:Q1000, 1)</f>
        <v>1</v>
      </c>
      <c r="E19" s="29" t="s">
        <v>3970</v>
      </c>
      <c r="F19" s="29" t="s">
        <v>3955</v>
      </c>
      <c r="G19" s="29" t="s">
        <v>3956</v>
      </c>
      <c r="H19" s="29" t="s">
        <v>3957</v>
      </c>
      <c r="I19" s="29" t="s">
        <v>3958</v>
      </c>
    </row>
    <row r="20">
      <c r="A20" s="35" t="s">
        <v>24</v>
      </c>
      <c r="B20" s="15">
        <f>COUNTIFS('предлог_из'!A2:A1000, "Корпус говора деревни Пятиусово",'предлог_из'!AC2:AC1000, 1, 'предлог_из'!Y2:Y1000, 1)</f>
        <v>1</v>
      </c>
      <c r="E20" s="29" t="s">
        <v>3972</v>
      </c>
      <c r="F20" s="15">
        <f>COUNTIFS('предлог_с'!A2:A1000, "Корпус говора деревни Пятиусово",'предлог_с'!AD2:AD1000, "s")</f>
        <v>70</v>
      </c>
      <c r="G20" s="28">
        <f t="shared" ref="G20:G23" si="5">F20/$F$23</f>
        <v>0.6422018349</v>
      </c>
      <c r="H20" s="15">
        <f>COUNTIFS('предлог_из'!A2:A1000, "Корпус говора деревни Пятиусово",'предлог_из'!AD2:AD1000, "s")</f>
        <v>9</v>
      </c>
      <c r="I20" s="28">
        <f t="shared" ref="I20:I23" si="6">H20/$H$23</f>
        <v>0.1875</v>
      </c>
    </row>
    <row r="21">
      <c r="A21" s="58" t="s">
        <v>4042</v>
      </c>
      <c r="E21" s="29" t="s">
        <v>3974</v>
      </c>
      <c r="F21" s="15">
        <f>COUNTIFS('предлог_с'!A2:A1000, "Корпус говора деревни Пятиусово",'предлог_с'!AD2:AD1000, "o")</f>
        <v>13</v>
      </c>
      <c r="G21" s="28">
        <f t="shared" si="5"/>
        <v>0.119266055</v>
      </c>
      <c r="H21" s="15">
        <f>COUNTIFS('предлог_из'!A2:A1000, "Корпус говора деревни Пятиусово",'предлог_из'!AD2:AD1000, "o")</f>
        <v>26</v>
      </c>
      <c r="I21" s="28">
        <f t="shared" si="6"/>
        <v>0.5416666667</v>
      </c>
    </row>
    <row r="22">
      <c r="A22" s="58" t="s">
        <v>4043</v>
      </c>
      <c r="E22" s="29" t="s">
        <v>3975</v>
      </c>
      <c r="F22" s="15">
        <f>COUNTIFS('предлог_с'!A2:A1000, "Корпус говора деревни Пятиусово",'предлог_с'!AD2:AD1000, "a")</f>
        <v>26</v>
      </c>
      <c r="G22" s="28">
        <f t="shared" si="5"/>
        <v>0.2385321101</v>
      </c>
      <c r="H22" s="15">
        <f>COUNTIFS('предлог_из'!A2:A1000, "Корпус говора деревни Пятиусово",'предлог_из'!AD2:AD1000, "a")</f>
        <v>13</v>
      </c>
      <c r="I22" s="28">
        <f t="shared" si="6"/>
        <v>0.2708333333</v>
      </c>
    </row>
    <row r="23">
      <c r="E23" s="29" t="s">
        <v>3931</v>
      </c>
      <c r="F23" s="15">
        <f>SUM(F19:F22)</f>
        <v>109</v>
      </c>
      <c r="G23" s="28">
        <f t="shared" si="5"/>
        <v>1</v>
      </c>
      <c r="H23" s="15">
        <f>SUM(H20:H22)</f>
        <v>48</v>
      </c>
      <c r="I23" s="28">
        <f t="shared" si="6"/>
        <v>1</v>
      </c>
    </row>
    <row r="26">
      <c r="A26" s="19" t="s">
        <v>3977</v>
      </c>
      <c r="G26" s="16" t="s">
        <v>3978</v>
      </c>
    </row>
    <row r="27">
      <c r="A27" s="35"/>
      <c r="B27" s="35" t="s">
        <v>3855</v>
      </c>
      <c r="C27" s="35" t="s">
        <v>3979</v>
      </c>
      <c r="D27" s="35" t="s">
        <v>3980</v>
      </c>
      <c r="E27" s="35" t="s">
        <v>3981</v>
      </c>
      <c r="G27" s="35"/>
      <c r="H27" s="35" t="s">
        <v>3982</v>
      </c>
      <c r="I27" s="35" t="s">
        <v>3983</v>
      </c>
      <c r="J27" s="35" t="s">
        <v>3984</v>
      </c>
    </row>
    <row r="28">
      <c r="A28" s="35" t="s">
        <v>3985</v>
      </c>
      <c r="B28" s="15">
        <f>COUNTIFS('предлог_с'!A2:A1000,"Корпус говора деревни Пятиусово",'предлог_с'!AF2:AF1000, "y")</f>
        <v>3</v>
      </c>
      <c r="C28" s="28">
        <f t="shared" ref="C28:C30" si="7">B28/$B$30</f>
        <v>0.02752293578</v>
      </c>
      <c r="D28" s="15">
        <f>COUNTIFS('предлог_из'!A2:A1000, "Корпус говора деревни Пятиусово",'предлог_из'!AF2:AF1000, "y")</f>
        <v>46</v>
      </c>
      <c r="E28" s="28">
        <f t="shared" ref="E28:E30" si="8">D28/$D$30</f>
        <v>0.9583333333</v>
      </c>
      <c r="G28" s="35" t="s">
        <v>3986</v>
      </c>
      <c r="H28" s="15">
        <f>COUNTIFS('предлог_с'!A2:A1000, "Корпус говора деревни Пятиусово",'предлог_с'!AD2:AD1000, "s",'предлог_с'!AE2:AE1000, "n")</f>
        <v>0</v>
      </c>
      <c r="I28" s="15">
        <f>COUNTIFS('предлог_с'!A2:A1000, "Корпус говора деревни Пятиусово",'предлог_с'!AD2:AD1000, "o",'предлог_с'!AE2:AE1000, "n")</f>
        <v>0</v>
      </c>
      <c r="J28" s="15">
        <f>COUNTIFS('предлог_с'!A2:A1000, "Корпус говора деревни Пятиусово",'предлог_с'!AD2:AD1000, "a",'предлог_с'!AE2:AE1000, "n")</f>
        <v>26</v>
      </c>
    </row>
    <row r="29">
      <c r="A29" s="35" t="s">
        <v>3987</v>
      </c>
      <c r="B29" s="15">
        <f>COUNTIFS('предлог_с'!A2:A1000,"Корпус говора деревни Пятиусово",'предлог_с'!AF2:AF1000, "n")</f>
        <v>106</v>
      </c>
      <c r="C29" s="28">
        <f t="shared" si="7"/>
        <v>0.9724770642</v>
      </c>
      <c r="D29" s="15">
        <f>COUNTIFS('предлог_из'!A2:A1000, "Корпус говора деревни Пятиусово",'предлог_из'!AF2:AF1000, "n")</f>
        <v>2</v>
      </c>
      <c r="E29" s="28">
        <f t="shared" si="8"/>
        <v>0.04166666667</v>
      </c>
      <c r="G29" s="35" t="s">
        <v>3988</v>
      </c>
      <c r="H29" s="15">
        <f>COUNTIFS('предлог_с'!A2:A1000, "Корпус говора деревни Пятиусово",'предлог_с'!AD2:AD1000, "s",'предлог_с'!AE2:AE1000, "v")</f>
        <v>70</v>
      </c>
      <c r="I29" s="15">
        <f>COUNTIFS('предлог_с'!A2:A1000, "Корпус говора деревни Пятиусово",'предлог_с'!AD2:AD1000, "o",'предлог_с'!AE2:AE1000, "v")</f>
        <v>13</v>
      </c>
      <c r="J29" s="15">
        <f>COUNTIFS('предлог_с'!A2:A1000, "Корпус говора деревни Пятиусово",'предлог_с'!AD2:AD1000, "a",'предлог_с'!AE2:AE1000, "v")</f>
        <v>0</v>
      </c>
    </row>
    <row r="30">
      <c r="A30" s="35" t="s">
        <v>3931</v>
      </c>
      <c r="B30" s="15">
        <f>SUM(B28:B29)</f>
        <v>109</v>
      </c>
      <c r="C30" s="28">
        <f t="shared" si="7"/>
        <v>1</v>
      </c>
      <c r="D30" s="15">
        <f>SUM(D28:D29)</f>
        <v>48</v>
      </c>
      <c r="E30" s="28">
        <f t="shared" si="8"/>
        <v>1</v>
      </c>
    </row>
    <row r="31">
      <c r="G31" s="16" t="s">
        <v>3989</v>
      </c>
    </row>
    <row r="32">
      <c r="G32" s="35"/>
      <c r="H32" s="35" t="s">
        <v>3982</v>
      </c>
      <c r="I32" s="35" t="s">
        <v>3983</v>
      </c>
      <c r="J32" s="35" t="s">
        <v>3984</v>
      </c>
    </row>
    <row r="33">
      <c r="G33" s="35" t="s">
        <v>3986</v>
      </c>
      <c r="H33" s="15">
        <f>COUNTIFS('предлог_из'!A2:A1000, "Корпус говора деревни Пятиусово",'предлог_из'!AD2:AD1000, "s",'предлог_из'!AE2:AE1000, "n")</f>
        <v>0</v>
      </c>
      <c r="I33" s="15">
        <f>COUNTIFS('предлог_из'!A2:A1000, "Корпус говора деревни Пятиусово",'предлог_из'!AD2:AD1000, "o",'предлог_из'!AE2:AE1000, "n")</f>
        <v>4</v>
      </c>
      <c r="J33" s="15">
        <f>COUNTIFS('предлог_из'!A2:A1000, "Корпус говора деревни Пятиусово",'предлог_из'!AD2:AD1000, "a",'предлог_из'!AE2:AE1000, "n")</f>
        <v>13</v>
      </c>
    </row>
    <row r="34">
      <c r="G34" s="35" t="s">
        <v>3988</v>
      </c>
      <c r="H34" s="15">
        <f>COUNTIFS('предлог_из'!A2:A1000, "Корпус говора деревни Пятиусово",'предлог_из'!AD2:AD1000, "s",'предлог_из'!AE2:AE1000, "v")</f>
        <v>9</v>
      </c>
      <c r="I34" s="15">
        <f>COUNTIFS('предлог_из'!A2:A1000, "Корпус говора деревни Пятиусово",'предлог_из'!AD2:AD1000, "o",'предлог_из'!AE2:AE1000, "v")</f>
        <v>22</v>
      </c>
      <c r="J34" s="15">
        <f>COUNTIFS('предлог_из'!A2:A1000, "Корпус говора деревни Пятиусово",'предлог_из'!AD2:AD1000, "a",'предлог_из'!AE2:AE1000, "v")</f>
        <v>0</v>
      </c>
    </row>
    <row r="38">
      <c r="A38" s="16" t="s">
        <v>3990</v>
      </c>
      <c r="G38" s="16" t="s">
        <v>3990</v>
      </c>
    </row>
    <row r="39">
      <c r="A39" s="35"/>
      <c r="B39" s="35" t="s">
        <v>3972</v>
      </c>
      <c r="C39" s="35" t="s">
        <v>3983</v>
      </c>
      <c r="D39" s="35" t="s">
        <v>3984</v>
      </c>
      <c r="E39" s="35" t="s">
        <v>3931</v>
      </c>
      <c r="G39" s="35"/>
      <c r="H39" s="35" t="s">
        <v>3972</v>
      </c>
      <c r="I39" s="35" t="s">
        <v>3983</v>
      </c>
      <c r="J39" s="44" t="s">
        <v>3984</v>
      </c>
    </row>
    <row r="40">
      <c r="A40" s="35" t="s">
        <v>3959</v>
      </c>
      <c r="B40" s="15">
        <f>COUNTIFS('предлог_с'!A2:A1000, "Корпус говора деревни Пятиусово",'предлог_с'!AD2:AD1000, "s",'предлог_с'!Q2:Q1000, 1)</f>
        <v>33</v>
      </c>
      <c r="C40" s="15">
        <f>COUNTIFS('предлог_с'!A2:A1000, "Корпус говора деревни Пятиусово",'предлог_с'!AD2:AD1000, "o",'предлог_с'!Q2:Q1000, 1)</f>
        <v>0</v>
      </c>
      <c r="D40" s="15">
        <f>COUNTIFS('предлог_с'!A2:A1000, "Корпус говора деревни Пятиусово",'предлог_с'!AD2:AD1000, "a",'предлог_с'!Q2:Q1000, 1)</f>
        <v>16</v>
      </c>
      <c r="E40" s="15">
        <f t="shared" ref="E40:E51" si="9">SUM(B40:D40)</f>
        <v>49</v>
      </c>
      <c r="G40" s="35" t="s">
        <v>3959</v>
      </c>
      <c r="H40" s="28">
        <f t="shared" ref="H40:H52" si="10">B40/E40</f>
        <v>0.6734693878</v>
      </c>
      <c r="I40" s="28">
        <f t="shared" ref="I40:I52" si="11">C40/E40</f>
        <v>0</v>
      </c>
      <c r="J40" s="28">
        <f t="shared" ref="J40:J52" si="12">D40/E40</f>
        <v>0.3265306122</v>
      </c>
    </row>
    <row r="41">
      <c r="A41" s="35" t="s">
        <v>3960</v>
      </c>
      <c r="B41" s="15">
        <f>COUNTIFS('предлог_с'!A2:A1000, "Корпус говора деревни Пятиусово",'предлог_с'!AD2:AD1000, "s",'предлог_с'!R2:R1000, 1)</f>
        <v>6</v>
      </c>
      <c r="C41" s="15">
        <f>COUNTIFS('предлог_с'!A2:A1000, "Корпус говора деревни Пятиусово",'предлог_с'!AD2:AD1000, "o",'предлог_с'!R2:R1000, 1)</f>
        <v>0</v>
      </c>
      <c r="D41" s="15">
        <f>COUNTIFS('предлог_с'!A2:A1000, "Корпус говора деревни Пятиусово",'предлог_с'!AD2:AD1000, "a",'предлог_с'!R2:R1000, 1)</f>
        <v>7</v>
      </c>
      <c r="E41" s="15">
        <f t="shared" si="9"/>
        <v>13</v>
      </c>
      <c r="G41" s="35" t="s">
        <v>3960</v>
      </c>
      <c r="H41" s="28">
        <f t="shared" si="10"/>
        <v>0.4615384615</v>
      </c>
      <c r="I41" s="28">
        <f t="shared" si="11"/>
        <v>0</v>
      </c>
      <c r="J41" s="28">
        <f t="shared" si="12"/>
        <v>0.5384615385</v>
      </c>
    </row>
    <row r="42">
      <c r="A42" s="35" t="s">
        <v>18</v>
      </c>
      <c r="B42" s="15">
        <f>COUNTIFS('предлог_с'!A2:A1000, "Корпус говора деревни Пятиусово",'предлог_с'!AD2:AD1000, "s",'предлог_с'!S2:S1000, 1)</f>
        <v>2</v>
      </c>
      <c r="C42" s="15">
        <f>COUNTIFS('предлог_с'!A2:A1000, "Корпус говора деревни Пятиусово",'предлог_с'!AD2:AD1000, "o",'предлог_с'!S2:S1000, 1)</f>
        <v>0</v>
      </c>
      <c r="D42" s="15">
        <f>COUNTIFS('предлог_с'!A2:A1000, "Корпус говора деревни Пятиусово",'предлог_с'!AD2:AD1000, "a",'предлог_с'!S2:S1000, 1)</f>
        <v>0</v>
      </c>
      <c r="E42" s="15">
        <f t="shared" si="9"/>
        <v>2</v>
      </c>
      <c r="G42" s="35" t="s">
        <v>18</v>
      </c>
      <c r="H42" s="28">
        <f t="shared" si="10"/>
        <v>1</v>
      </c>
      <c r="I42" s="28">
        <f t="shared" si="11"/>
        <v>0</v>
      </c>
      <c r="J42" s="28">
        <f t="shared" si="12"/>
        <v>0</v>
      </c>
    </row>
    <row r="43">
      <c r="A43" s="35" t="s">
        <v>3962</v>
      </c>
      <c r="B43" s="15">
        <f>COUNTIFS('предлог_с'!A2:A1000, "Корпус говора деревни Пятиусово",'предлог_с'!AD2:AD1000, "s",'предлог_с'!T2:T1000, 1)</f>
        <v>4</v>
      </c>
      <c r="C43" s="15">
        <f>COUNTIFS('предлог_с'!A2:A1000, "Корпус говора деревни Пятиусово",'предлог_с'!AD2:AD1000, "o",'предлог_с'!T2:T1000, 1)</f>
        <v>0</v>
      </c>
      <c r="D43" s="15">
        <f>COUNTIFS('предлог_с'!A2:A1000, "Корпус говора деревни Пятиусово",'предлог_с'!AD2:AD1000, "a",'предлог_с'!T2:T1000, 1)</f>
        <v>0</v>
      </c>
      <c r="E43" s="15">
        <f t="shared" si="9"/>
        <v>4</v>
      </c>
      <c r="G43" s="35" t="s">
        <v>3962</v>
      </c>
      <c r="H43" s="28">
        <f t="shared" si="10"/>
        <v>1</v>
      </c>
      <c r="I43" s="28">
        <f t="shared" si="11"/>
        <v>0</v>
      </c>
      <c r="J43" s="28">
        <f t="shared" si="12"/>
        <v>0</v>
      </c>
    </row>
    <row r="44">
      <c r="A44" s="35" t="s">
        <v>20</v>
      </c>
      <c r="B44" s="15">
        <f>COUNTIFS('предлог_с'!A2:A1000, "Корпус говора деревни Пятиусово",'предлог_с'!AD2:AD1000, "s",'предлог_с'!U2:U1000, 1)</f>
        <v>9</v>
      </c>
      <c r="C44" s="15">
        <f>COUNTIFS('предлог_с'!A2:A1000, "Корпус говора деревни Пятиусово",'предлог_с'!AD2:AD1000, "o",'предлог_с'!U2:U1000, 1)</f>
        <v>0</v>
      </c>
      <c r="D44" s="15">
        <f>COUNTIFS('предлог_с'!A2:A1000, "Корпус говора деревни Пятиусово",'предлог_с'!AD2:AD1000, "a",'предлог_с'!U2:U1000, 1)</f>
        <v>0</v>
      </c>
      <c r="E44" s="15">
        <f t="shared" si="9"/>
        <v>9</v>
      </c>
      <c r="G44" s="35" t="s">
        <v>20</v>
      </c>
      <c r="H44" s="28">
        <f t="shared" si="10"/>
        <v>1</v>
      </c>
      <c r="I44" s="28">
        <f t="shared" si="11"/>
        <v>0</v>
      </c>
      <c r="J44" s="28">
        <f t="shared" si="12"/>
        <v>0</v>
      </c>
    </row>
    <row r="45">
      <c r="A45" s="35" t="s">
        <v>3964</v>
      </c>
      <c r="B45" s="15">
        <f>COUNTIFS('предлог_с'!A2:A1000, "Корпус говора деревни Пятиусово",'предлог_с'!AD2:AD1000, "s",'предлог_с'!X2:X1000, 1)</f>
        <v>9</v>
      </c>
      <c r="C45" s="15">
        <f>COUNTIFS('предлог_с'!A2:A1000, "Корпус говора деревни Пятиусово",'предлог_с'!AD2:AD1000, "o",'предлог_с'!X2:X1000, 1)</f>
        <v>0</v>
      </c>
      <c r="D45" s="15">
        <f>COUNTIFS('предлог_с'!A2:A1000, "Корпус говора деревни Пятиусово",'предлог_с'!AD2:AD1000, "a",'предлог_с'!X2:X1000, 1)</f>
        <v>0</v>
      </c>
      <c r="E45" s="15">
        <f t="shared" si="9"/>
        <v>9</v>
      </c>
      <c r="G45" s="35" t="s">
        <v>3964</v>
      </c>
      <c r="H45" s="28">
        <f t="shared" si="10"/>
        <v>1</v>
      </c>
      <c r="I45" s="28">
        <f t="shared" si="11"/>
        <v>0</v>
      </c>
      <c r="J45" s="28">
        <f t="shared" si="12"/>
        <v>0</v>
      </c>
    </row>
    <row r="46">
      <c r="A46" s="35" t="s">
        <v>24</v>
      </c>
      <c r="B46" s="15">
        <f>COUNTIFS('предлог_с'!A2:A1000, "Корпус говора деревни Пятиусово",'предлог_с'!AD2:AD1000, "s",'предлог_с'!Y2:Y1000, 1)</f>
        <v>0</v>
      </c>
      <c r="C46" s="15">
        <f>COUNTIFS('предлог_с'!A2:A1000, "Корпус говора деревни Пятиусово",'предлог_с'!AD2:AD1000, "o",'предлог_с'!Y2:Y1000, 1)</f>
        <v>12</v>
      </c>
      <c r="D46" s="15">
        <f>COUNTIFS('предлог_с'!A2:A1000, "Корпус говора деревни Пятиусово",'предлог_с'!AD2:AD1000, "a",'предлог_с'!Y2:Y1000, 1)</f>
        <v>0</v>
      </c>
      <c r="E46" s="15">
        <f t="shared" si="9"/>
        <v>12</v>
      </c>
      <c r="G46" s="35" t="s">
        <v>24</v>
      </c>
      <c r="H46" s="28">
        <f t="shared" si="10"/>
        <v>0</v>
      </c>
      <c r="I46" s="28">
        <f t="shared" si="11"/>
        <v>1</v>
      </c>
      <c r="J46" s="28">
        <f t="shared" si="12"/>
        <v>0</v>
      </c>
    </row>
    <row r="47">
      <c r="A47" s="35" t="s">
        <v>3966</v>
      </c>
      <c r="B47" s="15">
        <f>COUNTIFS('предлог_с'!A2:A1000, "Корпус говора деревни Пятиусово",'предлог_с'!AD2:AD1000, "s",'предлог_с'!Z2:Z1000, 1)</f>
        <v>3</v>
      </c>
      <c r="C47" s="15">
        <f>COUNTIFS('предлог_с'!A2:A1000, "Корпус говора деревни Пятиусово",'предлог_с'!AD2:AD1000, "o",'предлог_с'!Z2:Z1000, 1)</f>
        <v>0</v>
      </c>
      <c r="D47" s="15">
        <f>COUNTIFS('предлог_с'!A2:A1000, "Корпус говора деревни Пятиусово",'предлог_с'!AD2:AD1000, "a",'предлог_с'!Z2:Z1000, 1)</f>
        <v>2</v>
      </c>
      <c r="E47" s="15">
        <f t="shared" si="9"/>
        <v>5</v>
      </c>
      <c r="G47" s="35" t="s">
        <v>3966</v>
      </c>
      <c r="H47" s="28">
        <f t="shared" si="10"/>
        <v>0.6</v>
      </c>
      <c r="I47" s="28">
        <f t="shared" si="11"/>
        <v>0</v>
      </c>
      <c r="J47" s="28">
        <f t="shared" si="12"/>
        <v>0.4</v>
      </c>
    </row>
    <row r="48">
      <c r="A48" s="35" t="s">
        <v>26</v>
      </c>
      <c r="B48" s="15">
        <f>COUNTIFS('предлог_с'!A2:A1000, "Корпус говора деревни Пятиусово",'предлог_с'!AD2:AD1000, "s",'предлог_с'!AA2:AA1000, 1)</f>
        <v>1</v>
      </c>
      <c r="C48" s="15">
        <f>COUNTIFS('предлог_с'!A2:A1000, "Корпус говора деревни Пятиусово",'предлог_с'!AD2:AD1000, "o",'предлог_с'!AA2:AA1000, 1)</f>
        <v>0</v>
      </c>
      <c r="D48" s="15">
        <f>COUNTIFS('предлог_с'!A2:A1000, "Корпус говора деревни Пятиусово",'предлог_с'!AD2:AD1000, "a",'предлог_с'!AA2:AA1000, 1)</f>
        <v>1</v>
      </c>
      <c r="E48" s="15">
        <f t="shared" si="9"/>
        <v>2</v>
      </c>
      <c r="G48" s="35" t="s">
        <v>26</v>
      </c>
      <c r="H48" s="28">
        <f t="shared" si="10"/>
        <v>0.5</v>
      </c>
      <c r="I48" s="28">
        <f t="shared" si="11"/>
        <v>0</v>
      </c>
      <c r="J48" s="28">
        <f t="shared" si="12"/>
        <v>0.5</v>
      </c>
    </row>
    <row r="49">
      <c r="A49" s="35" t="s">
        <v>3967</v>
      </c>
      <c r="B49" s="15">
        <f>COUNTIFS('предлог_с'!A2:A1000, "Корпус говора деревни Пятиусово",'предлог_с'!AD2:AD1000, "s",'предлог_с'!AB2:AB1000, 1)</f>
        <v>0</v>
      </c>
      <c r="C49" s="15">
        <f>COUNTIFS('предлог_с'!A2:A1000, "Корпус говора деревни Пятиусово",'предлог_с'!AD2:AD1000, "o",'предлог_с'!AB2:AB1000, 1)</f>
        <v>1</v>
      </c>
      <c r="D49" s="15">
        <f>COUNTIFS('предлог_с'!A2:A1000, "Корпус говора деревни Пятиусово",'предлог_с'!AD2:AD1000, "a",'предлог_с'!AB2:AB1000, 1)</f>
        <v>0</v>
      </c>
      <c r="E49" s="15">
        <f t="shared" si="9"/>
        <v>1</v>
      </c>
      <c r="G49" s="35" t="s">
        <v>3967</v>
      </c>
      <c r="H49" s="28">
        <f t="shared" si="10"/>
        <v>0</v>
      </c>
      <c r="I49" s="28">
        <f t="shared" si="11"/>
        <v>1</v>
      </c>
      <c r="J49" s="28">
        <f t="shared" si="12"/>
        <v>0</v>
      </c>
    </row>
    <row r="50">
      <c r="A50" s="52" t="s">
        <v>21</v>
      </c>
      <c r="B50" s="15">
        <f>COUNTIFS('предлог_с'!A2:A1000, "Корпус говора деревни Пятиусово",'предлог_с'!AD2:AD1000, "s",'предлог_с'!V2:V1000, 1)</f>
        <v>2</v>
      </c>
      <c r="C50" s="15">
        <f>COUNTIFS('предлог_с'!A2:A1000, "Корпус говора деревни Пятиусово",'предлог_с'!AD2:AD1000, "o",'предлог_с'!V2:V1000, 1)</f>
        <v>0</v>
      </c>
      <c r="D50" s="15">
        <f>COUNTIFS('предлог_с'!A2:A1000, "Корпус говора деревни Пятиусово",'предлог_с'!AD2:AD1000, "a",'предлог_с'!V2:V1000, 1)</f>
        <v>0</v>
      </c>
      <c r="E50" s="15">
        <f t="shared" si="9"/>
        <v>2</v>
      </c>
      <c r="G50" s="52" t="s">
        <v>21</v>
      </c>
      <c r="H50" s="28">
        <f t="shared" si="10"/>
        <v>1</v>
      </c>
      <c r="I50" s="28">
        <f t="shared" si="11"/>
        <v>0</v>
      </c>
      <c r="J50" s="28">
        <f t="shared" si="12"/>
        <v>0</v>
      </c>
    </row>
    <row r="51">
      <c r="A51" s="35" t="s">
        <v>22</v>
      </c>
      <c r="B51" s="15">
        <f>COUNTIFS('предлог_с'!A2:A1000, "Корпус говора деревни Пятиусово",'предлог_с'!AD2:AD1000, "s",'предлог_с'!W2:W1000, 1)</f>
        <v>1</v>
      </c>
      <c r="C51" s="15">
        <f>COUNTIFS('предлог_с'!A2:A1000, "Корпус говора деревни Пятиусово",'предлог_с'!AD2:AD1000, "o",'предлог_с'!W2:W1000, 1)</f>
        <v>0</v>
      </c>
      <c r="D51" s="15">
        <f>COUNTIFS('предлог_с'!A2:A1000, "Корпус говора деревни Пятиусово",'предлог_с'!AD2:AD1000, "a",'предлог_с'!W2:W1000, 1)</f>
        <v>0</v>
      </c>
      <c r="E51" s="15">
        <f t="shared" si="9"/>
        <v>1</v>
      </c>
      <c r="G51" s="35" t="s">
        <v>22</v>
      </c>
      <c r="H51" s="28">
        <f t="shared" si="10"/>
        <v>1</v>
      </c>
      <c r="I51" s="28">
        <f t="shared" si="11"/>
        <v>0</v>
      </c>
      <c r="J51" s="28">
        <f t="shared" si="12"/>
        <v>0</v>
      </c>
    </row>
    <row r="52">
      <c r="A52" s="35" t="s">
        <v>3931</v>
      </c>
      <c r="B52" s="15">
        <f t="shared" ref="B52:E52" si="13">SUM(B39:B51)</f>
        <v>70</v>
      </c>
      <c r="C52" s="15">
        <f t="shared" si="13"/>
        <v>13</v>
      </c>
      <c r="D52" s="15">
        <f t="shared" si="13"/>
        <v>26</v>
      </c>
      <c r="E52" s="15">
        <f t="shared" si="13"/>
        <v>109</v>
      </c>
      <c r="G52" s="35" t="s">
        <v>3931</v>
      </c>
      <c r="H52" s="28">
        <f t="shared" si="10"/>
        <v>0.6422018349</v>
      </c>
      <c r="I52" s="28">
        <f t="shared" si="11"/>
        <v>0.119266055</v>
      </c>
      <c r="J52" s="28">
        <f t="shared" si="12"/>
        <v>0.2385321101</v>
      </c>
    </row>
    <row r="55">
      <c r="A55" s="16" t="s">
        <v>3991</v>
      </c>
      <c r="G55" s="16" t="s">
        <v>3991</v>
      </c>
    </row>
    <row r="56">
      <c r="A56" s="35"/>
      <c r="B56" s="35" t="s">
        <v>3972</v>
      </c>
      <c r="C56" s="35" t="s">
        <v>3983</v>
      </c>
      <c r="D56" s="35" t="s">
        <v>3984</v>
      </c>
      <c r="E56" s="35" t="s">
        <v>3931</v>
      </c>
      <c r="G56" s="35"/>
      <c r="H56" s="35" t="s">
        <v>3972</v>
      </c>
      <c r="I56" s="35" t="s">
        <v>3983</v>
      </c>
      <c r="J56" s="35" t="s">
        <v>3984</v>
      </c>
    </row>
    <row r="57">
      <c r="A57" s="35" t="s">
        <v>3959</v>
      </c>
      <c r="B57" s="15">
        <f>COUNTIFS('предлог_из'!A2:A1000, "Корпус говора деревни Пятиусово",'предлог_из'!AD2:AD1000, "s",'предлог_из'!Q2:Q1000, 1)</f>
        <v>3</v>
      </c>
      <c r="C57" s="15">
        <f>COUNTIFS('предлог_из'!A2:A1000, "Корпус говора деревни Пятиусово",'предлог_из'!AD2:AD1000, "o",'предлог_из'!Q2:Q1000, 1)</f>
        <v>0</v>
      </c>
      <c r="D57" s="15">
        <f>COUNTIFS('предлог_из'!A2:A1000, "Корпус говора деревни Пятиусово",'предлог_из'!AD2:AD1000, "a",'предлог_из'!Q2:Q1000, 1)</f>
        <v>2</v>
      </c>
      <c r="E57" s="15">
        <f t="shared" ref="E57:E68" si="14">SUM(B57:D57)</f>
        <v>5</v>
      </c>
      <c r="G57" s="35" t="s">
        <v>3959</v>
      </c>
      <c r="H57" s="28">
        <f t="shared" ref="H57:H61" si="15">B57/E57</f>
        <v>0.6</v>
      </c>
      <c r="I57" s="28">
        <f t="shared" ref="I57:I61" si="16">C57/E57</f>
        <v>0</v>
      </c>
      <c r="J57" s="28">
        <f t="shared" ref="J57:J61" si="17">D57/E57</f>
        <v>0.4</v>
      </c>
    </row>
    <row r="58">
      <c r="A58" s="35" t="s">
        <v>3960</v>
      </c>
      <c r="B58" s="15">
        <f>COUNTIFS('предлог_из'!A2:A1000, "Корпус говора деревни Пятиусово",'предлог_из'!AD2:AD1000, "s",'предлог_из'!R2:R1000, 1)</f>
        <v>0</v>
      </c>
      <c r="C58" s="15">
        <f>COUNTIFS('предлог_из'!A2:A1000, "Корпус говора деревни Пятиусово",'предлог_из'!AD2:AD1000, "o",'предлог_из'!R2:R1000, 1)</f>
        <v>2</v>
      </c>
      <c r="D58" s="15">
        <f>COUNTIFS('предлог_из'!A2:A1000, "Корпус говора деревни Пятиусово",'предлог_из'!AD2:AD1000, "a",'предлог_из'!R2:R1000, 1)</f>
        <v>0</v>
      </c>
      <c r="E58" s="15">
        <f t="shared" si="14"/>
        <v>2</v>
      </c>
      <c r="G58" s="35" t="s">
        <v>3960</v>
      </c>
      <c r="H58" s="28">
        <f t="shared" si="15"/>
        <v>0</v>
      </c>
      <c r="I58" s="28">
        <f t="shared" si="16"/>
        <v>1</v>
      </c>
      <c r="J58" s="28">
        <f t="shared" si="17"/>
        <v>0</v>
      </c>
    </row>
    <row r="59">
      <c r="A59" s="35" t="s">
        <v>18</v>
      </c>
      <c r="B59" s="15">
        <f>COUNTIFS('предлог_из'!A2:A1000, "Корпус говора деревни Пятиусово",'предлог_из'!AD2:AD1000, "s",'предлог_из'!S2:S1000, 1)</f>
        <v>2</v>
      </c>
      <c r="C59" s="15">
        <f>COUNTIFS('предлог_из'!A2:A1000, "Корпус говора деревни Пятиусово",'предлог_из'!AD2:AD1000, "o",'предлог_из'!S2:S1000, 1)</f>
        <v>0</v>
      </c>
      <c r="D59" s="15">
        <f>COUNTIFS('предлог_из'!A2:A1000, "Корпус говора деревни Пятиусово",'предлог_из'!AD2:AD1000, "a",'предлог_из'!S2:S1000, 1)</f>
        <v>0</v>
      </c>
      <c r="E59" s="15">
        <f t="shared" si="14"/>
        <v>2</v>
      </c>
      <c r="G59" s="35" t="s">
        <v>18</v>
      </c>
      <c r="H59" s="28">
        <f t="shared" si="15"/>
        <v>1</v>
      </c>
      <c r="I59" s="28">
        <f t="shared" si="16"/>
        <v>0</v>
      </c>
      <c r="J59" s="28">
        <f t="shared" si="17"/>
        <v>0</v>
      </c>
    </row>
    <row r="60">
      <c r="A60" s="35" t="s">
        <v>3962</v>
      </c>
      <c r="B60" s="15">
        <f>COUNTIFS('предлог_из'!A2:A1000, "Корпус говора деревни Пятиусово",'предлог_из'!AD2:AD1000, "s",'предлог_из'!T2:T1000, 1)</f>
        <v>1</v>
      </c>
      <c r="C60" s="15">
        <f>COUNTIFS('предлог_из'!A2:A1000, "Корпус говора деревни Пятиусово",'предлог_из'!AD2:AD1000, "o",'предлог_из'!T2:T1000, 1)</f>
        <v>0</v>
      </c>
      <c r="D60" s="15">
        <f>COUNTIFS('предлог_из'!A2:A1000, "Корпус говора деревни Пятиусово",'предлог_из'!AD2:AD1000, "a",'предлог_из'!T2:T1000, 1)</f>
        <v>0</v>
      </c>
      <c r="E60" s="15">
        <f t="shared" si="14"/>
        <v>1</v>
      </c>
      <c r="G60" s="35" t="s">
        <v>3962</v>
      </c>
      <c r="H60" s="28">
        <f t="shared" si="15"/>
        <v>1</v>
      </c>
      <c r="I60" s="28">
        <f t="shared" si="16"/>
        <v>0</v>
      </c>
      <c r="J60" s="28">
        <f t="shared" si="17"/>
        <v>0</v>
      </c>
    </row>
    <row r="61">
      <c r="A61" s="35" t="s">
        <v>20</v>
      </c>
      <c r="B61" s="15">
        <f>COUNTIFS('предлог_из'!A2:A1000, "Корпус говора деревни Пятиусово",'предлог_из'!AD2:AD1000, "s",'предлог_из'!U2:U1000, 1)</f>
        <v>1</v>
      </c>
      <c r="C61" s="15">
        <f>COUNTIFS('предлог_из'!A2:A1000, "Корпус говора деревни Пятиусово",'предлог_из'!AD2:AD1000, "o",'предлог_из'!U2:U1000, 1)</f>
        <v>0</v>
      </c>
      <c r="D61" s="15">
        <f>COUNTIFS('предлог_из'!A2:A1000, "Корпус говора деревни Пятиусово",'предлог_из'!AD2:AD1000, "a",'предлог_из'!U2:U1000, 1)</f>
        <v>0</v>
      </c>
      <c r="E61" s="15">
        <f t="shared" si="14"/>
        <v>1</v>
      </c>
      <c r="G61" s="35" t="s">
        <v>20</v>
      </c>
      <c r="H61" s="28">
        <f t="shared" si="15"/>
        <v>1</v>
      </c>
      <c r="I61" s="28">
        <f t="shared" si="16"/>
        <v>0</v>
      </c>
      <c r="J61" s="28">
        <f t="shared" si="17"/>
        <v>0</v>
      </c>
    </row>
    <row r="62">
      <c r="A62" s="35" t="s">
        <v>3964</v>
      </c>
      <c r="B62" s="15">
        <f>COUNTIFS('предлог_из'!A2:A1000, "Корпус говора деревни Пятиусово",'предлог_из'!AD2:AD1000, "s",'предлог_из'!X2:X1000, 1)</f>
        <v>0</v>
      </c>
      <c r="C62" s="15">
        <f>COUNTIFS('предлог_из'!A2:A1000, "Корпус говора деревни Пятиусово",'предлог_из'!AD2:AD1000, "o",'предлог_из'!X2:X1000, 1)</f>
        <v>0</v>
      </c>
      <c r="D62" s="15">
        <f>COUNTIFS('предлог_из'!A2:A1000, "Корпус говора деревни Пятиусово",'предлог_из'!AD2:AD1000, "a",'предлог_из'!X2:X1000, 1)</f>
        <v>0</v>
      </c>
      <c r="E62" s="15">
        <f t="shared" si="14"/>
        <v>0</v>
      </c>
      <c r="G62" s="35" t="s">
        <v>3964</v>
      </c>
      <c r="H62" s="42">
        <v>0.0</v>
      </c>
      <c r="I62" s="42">
        <v>0.0</v>
      </c>
      <c r="J62" s="42">
        <v>0.0</v>
      </c>
    </row>
    <row r="63">
      <c r="A63" s="35" t="s">
        <v>24</v>
      </c>
      <c r="B63" s="15">
        <f>COUNTIFS('предлог_из'!A2:A1000, "Корпус говора деревни Пятиусово",'предлог_из'!AD2:AD1000, "s",'предлог_из'!Y2:Y1000, 1)</f>
        <v>0</v>
      </c>
      <c r="C63" s="15">
        <f>COUNTIFS('предлог_из'!A2:A1000, "Корпус говора деревни Пятиусово",'предлог_из'!AD2:AD1000, "o",'предлог_из'!Y2:Y1000, 1)</f>
        <v>18</v>
      </c>
      <c r="D63" s="15">
        <f>COUNTIFS('предлог_из'!A2:A1000, "Корпус говора деревни Пятиусово",'предлог_из'!AD2:AD1000, "a",'предлог_из'!Y2:Y1000, 1)</f>
        <v>2</v>
      </c>
      <c r="E63" s="15">
        <f t="shared" si="14"/>
        <v>20</v>
      </c>
      <c r="G63" s="35" t="s">
        <v>24</v>
      </c>
      <c r="H63" s="28">
        <f>B63/E63</f>
        <v>0</v>
      </c>
      <c r="I63" s="28">
        <f>C63/E63</f>
        <v>0.9</v>
      </c>
      <c r="J63" s="28">
        <f>D63/E63</f>
        <v>0.1</v>
      </c>
    </row>
    <row r="64">
      <c r="A64" s="35" t="s">
        <v>3966</v>
      </c>
      <c r="B64" s="15">
        <f>COUNTIFS('предлог_из'!A2:A1000, "Корпус говора деревни Пятиусово",'предлог_из'!AD2:AD1000, "s",'предлог_из'!Z2:Z1000, 1)</f>
        <v>0</v>
      </c>
      <c r="C64" s="15">
        <f>COUNTIFS('предлог_из'!A2:A1000, "Корпус говора деревни Пятиусово",'предлог_из'!AD2:AD1000, "o",'предлог_из'!Z2:Z1000, 1)</f>
        <v>0</v>
      </c>
      <c r="D64" s="15">
        <f>COUNTIFS('предлог_из'!A2:A1000, "Корпус говора деревни Пятиусово",'предлог_из'!AD2:AD1000, "a",'предлог_из'!Z2:Z1000, 1)</f>
        <v>0</v>
      </c>
      <c r="E64" s="15">
        <f t="shared" si="14"/>
        <v>0</v>
      </c>
      <c r="G64" s="35" t="s">
        <v>3966</v>
      </c>
      <c r="H64" s="42">
        <v>0.0</v>
      </c>
      <c r="I64" s="42">
        <v>0.0</v>
      </c>
      <c r="J64" s="42">
        <v>0.0</v>
      </c>
    </row>
    <row r="65">
      <c r="A65" s="35" t="s">
        <v>26</v>
      </c>
      <c r="B65" s="15">
        <f>COUNTIFS('предлог_из'!A2:A1000, "Корпус говора деревни Пятиусово",'предлог_из'!AD2:AD1000, "s",'предлог_из'!AA2:AA1000, 1)</f>
        <v>0</v>
      </c>
      <c r="C65" s="15">
        <f>COUNTIFS('предлог_из'!A2:A1000, "Корпус говора деревни Пятиусово",'предлог_из'!AD2:AD1000, "o",'предлог_из'!AA2:AA1000, 1)</f>
        <v>5</v>
      </c>
      <c r="D65" s="15">
        <f>COUNTIFS('предлог_из'!A2:A1000, "Корпус говора деревни Пятиусово",'предлог_из'!AD2:AD1000, "a",'предлог_из'!AA2:AA1000, 1)</f>
        <v>7</v>
      </c>
      <c r="E65" s="15">
        <f t="shared" si="14"/>
        <v>12</v>
      </c>
      <c r="G65" s="35" t="s">
        <v>26</v>
      </c>
      <c r="H65" s="28">
        <f>B65/E65</f>
        <v>0</v>
      </c>
      <c r="I65" s="28">
        <f>C65/E65</f>
        <v>0.4166666667</v>
      </c>
      <c r="J65" s="28">
        <f>D65/E65</f>
        <v>0.5833333333</v>
      </c>
    </row>
    <row r="66">
      <c r="A66" s="35" t="s">
        <v>3967</v>
      </c>
      <c r="B66" s="15">
        <f>COUNTIFS('предлог_из'!A2:A1000, "Корпус говора деревни Пятиусово",'предлог_из'!AD2:AD1000, "s",'предлог_из'!AB2:AB1000, 1)</f>
        <v>0</v>
      </c>
      <c r="C66" s="15">
        <f>COUNTIFS('предлог_из'!A2:A1000, "Корпус говора деревни Пятиусово",'предлог_из'!AD2:AD1000, "o",'предлог_из'!AB2:AB1000, 1)</f>
        <v>0</v>
      </c>
      <c r="D66" s="15">
        <f>COUNTIFS('предлог_из'!A2:A1000, "Корпус говора деревни Пятиусово",'предлог_из'!AD2:AD1000, "a",'предлог_из'!AB2:AB1000, 1)</f>
        <v>0</v>
      </c>
      <c r="E66" s="15">
        <f t="shared" si="14"/>
        <v>0</v>
      </c>
      <c r="G66" s="35" t="s">
        <v>3967</v>
      </c>
      <c r="H66" s="42">
        <v>0.0</v>
      </c>
      <c r="I66" s="42">
        <v>0.0</v>
      </c>
      <c r="J66" s="42">
        <v>0.0</v>
      </c>
    </row>
    <row r="67">
      <c r="A67" s="52" t="s">
        <v>21</v>
      </c>
      <c r="B67" s="15">
        <f>COUNTIFS('предлог_из'!A2:A1000, "Корпус говора деревни Пятиусово",'предлог_из'!AD2:AD1000, "s",'предлог_из'!V2:V1000, 1)</f>
        <v>2</v>
      </c>
      <c r="C67" s="15">
        <f>COUNTIFS('предлог_из'!A2:A1000, "Корпус говора деревни Пятиусово",'предлог_из'!AD2:AD1000, "o",'предлог_из'!V2:V1000, 1)</f>
        <v>0</v>
      </c>
      <c r="D67" s="15">
        <f>COUNTIFS('предлог_из'!A2:A1000, "Корпус говора деревни Пятиусово",'предлог_из'!AD2:AD1000, "a",'предлог_из'!V2:V1000, 1)</f>
        <v>0</v>
      </c>
      <c r="E67" s="15">
        <f t="shared" si="14"/>
        <v>2</v>
      </c>
      <c r="G67" s="52" t="s">
        <v>21</v>
      </c>
      <c r="H67" s="28">
        <f t="shared" ref="H67:H69" si="18">B67/E67</f>
        <v>1</v>
      </c>
      <c r="I67" s="28">
        <f t="shared" ref="I67:I69" si="19">C67/E67</f>
        <v>0</v>
      </c>
      <c r="J67" s="28">
        <f t="shared" ref="J67:J69" si="20">D67/E67</f>
        <v>0</v>
      </c>
    </row>
    <row r="68">
      <c r="A68" s="35" t="s">
        <v>22</v>
      </c>
      <c r="B68" s="15">
        <f>COUNTIFS('предлог_из'!A2:A1000, "Корпус говора деревни Пятиусово",'предлог_из'!AD2:AD1000, "s",'предлог_из'!W2:W1000, 1)</f>
        <v>0</v>
      </c>
      <c r="C68" s="15">
        <f>COUNTIFS('предлог_из'!A2:A1000, "Корпус говора деревни Пятиусово",'предлог_из'!AD2:AD1000, "o",'предлог_из'!W2:W1000, 1)</f>
        <v>1</v>
      </c>
      <c r="D68" s="15">
        <f>COUNTIFS('предлог_из'!A2:A1000, "Корпус говора деревни Пятиусово",'предлог_из'!AD2:AD1000, "a",'предлог_из'!W2:W1000, 1)</f>
        <v>2</v>
      </c>
      <c r="E68" s="15">
        <f t="shared" si="14"/>
        <v>3</v>
      </c>
      <c r="G68" s="35" t="s">
        <v>22</v>
      </c>
      <c r="H68" s="28">
        <f t="shared" si="18"/>
        <v>0</v>
      </c>
      <c r="I68" s="28">
        <f t="shared" si="19"/>
        <v>0.3333333333</v>
      </c>
      <c r="J68" s="28">
        <f t="shared" si="20"/>
        <v>0.6666666667</v>
      </c>
    </row>
    <row r="69">
      <c r="A69" s="35" t="s">
        <v>3931</v>
      </c>
      <c r="B69" s="15">
        <f t="shared" ref="B69:D69" si="21">SUM(B55:B68)</f>
        <v>9</v>
      </c>
      <c r="C69" s="15">
        <f t="shared" si="21"/>
        <v>26</v>
      </c>
      <c r="D69" s="15">
        <f t="shared" si="21"/>
        <v>13</v>
      </c>
      <c r="E69" s="15">
        <f>SUM(E57:E68)</f>
        <v>48</v>
      </c>
      <c r="G69" s="35" t="s">
        <v>3931</v>
      </c>
      <c r="H69" s="28">
        <f t="shared" si="18"/>
        <v>0.1875</v>
      </c>
      <c r="I69" s="28">
        <f t="shared" si="19"/>
        <v>0.5416666667</v>
      </c>
      <c r="J69" s="28">
        <f t="shared" si="20"/>
        <v>0.2708333333</v>
      </c>
    </row>
  </sheetData>
  <mergeCells count="12">
    <mergeCell ref="G31:J31"/>
    <mergeCell ref="A38:E38"/>
    <mergeCell ref="G38:J38"/>
    <mergeCell ref="A55:E55"/>
    <mergeCell ref="G55:J55"/>
    <mergeCell ref="A1:C1"/>
    <mergeCell ref="E1:I1"/>
    <mergeCell ref="A7:B7"/>
    <mergeCell ref="A13:B13"/>
    <mergeCell ref="A18:B18"/>
    <mergeCell ref="E18:I18"/>
    <mergeCell ref="G26:J2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2.63"/>
    <col customWidth="1" min="3" max="3" width="24.88"/>
    <col customWidth="1" min="5" max="5" width="24.63"/>
    <col customWidth="1" min="6" max="6" width="25.63"/>
    <col customWidth="1" min="7" max="7" width="36.38"/>
    <col customWidth="1" min="8" max="8" width="17.75"/>
    <col customWidth="1" min="9" max="9" width="25.13"/>
  </cols>
  <sheetData>
    <row r="1">
      <c r="A1" s="16" t="s">
        <v>4035</v>
      </c>
      <c r="E1" s="16" t="s">
        <v>4036</v>
      </c>
    </row>
    <row r="2">
      <c r="A2" s="35" t="s">
        <v>4037</v>
      </c>
      <c r="B2" s="35" t="s">
        <v>4038</v>
      </c>
      <c r="C2" s="35" t="s">
        <v>4039</v>
      </c>
      <c r="E2" s="35" t="s">
        <v>3954</v>
      </c>
      <c r="F2" s="35" t="s">
        <v>3955</v>
      </c>
      <c r="G2" s="35" t="s">
        <v>3956</v>
      </c>
      <c r="H2" s="35" t="s">
        <v>3957</v>
      </c>
      <c r="I2" s="36" t="s">
        <v>3958</v>
      </c>
    </row>
    <row r="3">
      <c r="A3" s="35" t="s">
        <v>35</v>
      </c>
      <c r="B3" s="15">
        <f>'статистика'!B4</f>
        <v>184</v>
      </c>
      <c r="C3" s="28">
        <f>B3/'статистика'!D6</f>
        <v>0.3717171717</v>
      </c>
      <c r="E3" s="35" t="s">
        <v>3959</v>
      </c>
      <c r="F3" s="15">
        <f>COUNTIFS('предлог_с'!A2:A1000, "Корпус говора деревень Шетнево и Макеево",'предлог_с'!Q2:Q1000, 1)</f>
        <v>70</v>
      </c>
      <c r="G3" s="28">
        <f t="shared" ref="G3:G15" si="1">F3/$F$15</f>
        <v>0.3804347826</v>
      </c>
      <c r="H3" s="15">
        <f>COUNTIFS('предлог_из'!A2:A1000, "Корпус говора деревень Шетнево и Макеево",'предлог_из'!Q2:Q1000, 1)</f>
        <v>7</v>
      </c>
      <c r="I3" s="28">
        <f t="shared" ref="I3:I15" si="2">H3/$H$15</f>
        <v>0.3181818182</v>
      </c>
    </row>
    <row r="4">
      <c r="A4" s="35" t="s">
        <v>1110</v>
      </c>
      <c r="B4" s="15">
        <f>'статистика'!C4</f>
        <v>22</v>
      </c>
      <c r="C4" s="28">
        <f>B4/'статистика'!D6</f>
        <v>0.04444444444</v>
      </c>
      <c r="E4" s="35" t="s">
        <v>3960</v>
      </c>
      <c r="F4" s="15">
        <f>COUNTIFS('предлог_с'!A2:A1000, "Корпус говора деревень Шетнево и Макеево",'предлог_с'!R2:R1000, 1)</f>
        <v>17</v>
      </c>
      <c r="G4" s="28">
        <f t="shared" si="1"/>
        <v>0.09239130435</v>
      </c>
      <c r="H4" s="15">
        <f>COUNTIFS('предлог_из'!A2:A1000, "Корпус говора деревень Шетнево и Макеево",'предлог_из'!R2:R1000, 1)</f>
        <v>1</v>
      </c>
      <c r="I4" s="28">
        <f t="shared" si="2"/>
        <v>0.04545454545</v>
      </c>
    </row>
    <row r="5">
      <c r="A5" s="35" t="s">
        <v>3931</v>
      </c>
      <c r="B5" s="15">
        <f t="shared" ref="B5:C5" si="3">SUM(B3:B4)</f>
        <v>206</v>
      </c>
      <c r="C5" s="28">
        <f t="shared" si="3"/>
        <v>0.4161616162</v>
      </c>
      <c r="E5" s="35" t="s">
        <v>18</v>
      </c>
      <c r="F5" s="15">
        <f>COUNTIFS('предлог_с'!A2:A1000, "Корпус говора деревень Шетнево и Макеево",'предлог_с'!S2:S1000, 1)</f>
        <v>7</v>
      </c>
      <c r="G5" s="28">
        <f t="shared" si="1"/>
        <v>0.03804347826</v>
      </c>
      <c r="H5" s="15">
        <f>COUNTIFS('предлог_из'!A2:A1000, "Корпус говора деревень Шетнево и Макеево",'предлог_из'!S2:S1000, 1)</f>
        <v>2</v>
      </c>
      <c r="I5" s="28">
        <f t="shared" si="2"/>
        <v>0.09090909091</v>
      </c>
    </row>
    <row r="6">
      <c r="E6" s="35" t="s">
        <v>3962</v>
      </c>
      <c r="F6" s="15">
        <f>COUNTIFS('предлог_с'!A2:A1000, "Корпус говора деревень Шетнево и Макеево",'предлог_с'!T2:T1000, 1)</f>
        <v>5</v>
      </c>
      <c r="G6" s="28">
        <f t="shared" si="1"/>
        <v>0.02717391304</v>
      </c>
      <c r="H6" s="15">
        <f>COUNTIFS('предлог_из'!A2:A1000, "Корпус говора деревень Шетнево и Макеево",'предлог_из'!T2:T1000, 1)</f>
        <v>0</v>
      </c>
      <c r="I6" s="28">
        <f t="shared" si="2"/>
        <v>0</v>
      </c>
    </row>
    <row r="7">
      <c r="A7" s="16" t="s">
        <v>4040</v>
      </c>
      <c r="E7" s="35" t="s">
        <v>20</v>
      </c>
      <c r="F7" s="15">
        <f>COUNTIFS('предлог_с'!A2:A1000, "Корпус говора деревень Шетнево и Макеево",'предлог_с'!U2:U1000, 1)</f>
        <v>22</v>
      </c>
      <c r="G7" s="28">
        <f t="shared" si="1"/>
        <v>0.1195652174</v>
      </c>
      <c r="H7" s="15">
        <f>COUNTIFS('предлог_из'!A2:A1000, "Корпус говора деревень Шетнево и Макеево",'предлог_из'!U2:U1000, 1)</f>
        <v>4</v>
      </c>
      <c r="I7" s="28">
        <f t="shared" si="2"/>
        <v>0.1818181818</v>
      </c>
    </row>
    <row r="8">
      <c r="A8" s="35" t="s">
        <v>3951</v>
      </c>
      <c r="B8" s="35" t="s">
        <v>3952</v>
      </c>
      <c r="E8" s="35" t="s">
        <v>3964</v>
      </c>
      <c r="F8" s="15">
        <f>COUNTIFS('предлог_с'!A2:A1000, "Корпус говора деревень Шетнево и Макеево",'предлог_с'!X2:X1000, 1)</f>
        <v>14</v>
      </c>
      <c r="G8" s="28">
        <f t="shared" si="1"/>
        <v>0.07608695652</v>
      </c>
      <c r="H8" s="15">
        <f>COUNTIFS('предлог_из'!A2:A1000, "Корпус говора деревень Шетнево и Макеево",'предлог_из'!X2:X1000, 1)</f>
        <v>0</v>
      </c>
      <c r="I8" s="28">
        <f t="shared" si="2"/>
        <v>0</v>
      </c>
    </row>
    <row r="9">
      <c r="A9" s="28">
        <f>'статистика'!B12</f>
        <v>0.8932038835</v>
      </c>
      <c r="B9" s="28">
        <f>'статистика'!C12</f>
        <v>0.1067961165</v>
      </c>
      <c r="E9" s="35" t="s">
        <v>24</v>
      </c>
      <c r="F9" s="15">
        <f>COUNTIFS('предлог_с'!A2:A1000, "Корпус говора деревень Шетнево и Макеево",'предлог_с'!Y2:Y1000, 1)</f>
        <v>37</v>
      </c>
      <c r="G9" s="28">
        <f t="shared" si="1"/>
        <v>0.2010869565</v>
      </c>
      <c r="H9" s="15">
        <f>COUNTIFS('предлог_из'!A2:A1000, "Корпус говора деревень Шетнево и Макеево",'предлог_из'!Y2:Y1000, 1)</f>
        <v>8</v>
      </c>
      <c r="I9" s="28">
        <f t="shared" si="2"/>
        <v>0.3636363636</v>
      </c>
    </row>
    <row r="10">
      <c r="E10" s="35" t="s">
        <v>3966</v>
      </c>
      <c r="F10" s="15">
        <f>COUNTIFS('предлог_с'!A2:A1000, "Корпус говора деревень Шетнево и Макеево",'предлог_с'!Z2:Z1000, 1)</f>
        <v>8</v>
      </c>
      <c r="G10" s="28">
        <f t="shared" si="1"/>
        <v>0.04347826087</v>
      </c>
      <c r="H10" s="15">
        <f>COUNTIFS('предлог_из'!A2:A1000, "Корпус говора деревень Шетнево и Макеево",'предлог_из'!Z2:Z1000, 1)</f>
        <v>0</v>
      </c>
      <c r="I10" s="28">
        <f t="shared" si="2"/>
        <v>0</v>
      </c>
    </row>
    <row r="11">
      <c r="E11" s="35" t="s">
        <v>26</v>
      </c>
      <c r="F11" s="15">
        <f>COUNTIFS('предлог_с'!A2:A1000, "Корпус говора деревень Шетнево и Макеево",'предлог_с'!AA2:AA1000, 1)</f>
        <v>1</v>
      </c>
      <c r="G11" s="28">
        <f t="shared" si="1"/>
        <v>0.005434782609</v>
      </c>
      <c r="H11" s="15">
        <f>COUNTIFS('предлог_из'!A2:A1000, "Корпус говора деревень Шетнево и Макеево",'предлог_из'!AA2:AA1000, 1)</f>
        <v>0</v>
      </c>
      <c r="I11" s="28">
        <f t="shared" si="2"/>
        <v>0</v>
      </c>
    </row>
    <row r="12">
      <c r="E12" s="35" t="s">
        <v>3967</v>
      </c>
      <c r="F12" s="15">
        <f>COUNTIFS('предлог_с'!A2:A1000, "Корпус говора деревень Шетнево и Макеево",'предлог_с'!AB2:AB1000, 1)</f>
        <v>0</v>
      </c>
      <c r="G12" s="28">
        <f t="shared" si="1"/>
        <v>0</v>
      </c>
      <c r="H12" s="15">
        <f>COUNTIFS('предлог_из'!A2:A1000, "Корпус говора деревень Шетнево и Макеево",'предлог_из'!AB2:AB1000, 1)</f>
        <v>0</v>
      </c>
      <c r="I12" s="28">
        <f t="shared" si="2"/>
        <v>0</v>
      </c>
    </row>
    <row r="13">
      <c r="A13" s="16" t="s">
        <v>28</v>
      </c>
      <c r="E13" s="52" t="s">
        <v>21</v>
      </c>
      <c r="F13" s="15">
        <f>COUNTIFS('предлог_с'!A2:A1000, "Корпус говора деревень Шетнево и Макеево",'предлог_с'!V2:V1000, 1)</f>
        <v>3</v>
      </c>
      <c r="G13" s="28">
        <f t="shared" si="1"/>
        <v>0.01630434783</v>
      </c>
      <c r="H13" s="15">
        <f>COUNTIFS('предлог_из'!A2:A1000, "Корпус говора деревень Шетнево и Макеево",'предлог_из'!V2:V1000, 1)</f>
        <v>0</v>
      </c>
      <c r="I13" s="28">
        <f t="shared" si="2"/>
        <v>0</v>
      </c>
    </row>
    <row r="14">
      <c r="A14" s="35" t="s">
        <v>3969</v>
      </c>
      <c r="B14" s="15">
        <f>COUNTIFS('предлог_из'!A2:A1000, "Корпус говора деревень Шетнево и Макеево",'предлог_из'!AC2:AC1000, 1)</f>
        <v>6</v>
      </c>
      <c r="C14" s="28">
        <f t="shared" ref="C14:C16" si="4">B14/$B$16</f>
        <v>0.2727272727</v>
      </c>
      <c r="E14" s="35" t="s">
        <v>22</v>
      </c>
      <c r="F14" s="15">
        <f>COUNTIFS('предлог_с'!A2:A1000, "Корпус говора деревень Шетнево и Макеево",'предлог_с'!W2:W1000, 1)</f>
        <v>0</v>
      </c>
      <c r="G14" s="28">
        <f t="shared" si="1"/>
        <v>0</v>
      </c>
      <c r="H14" s="15">
        <f>COUNTIFS('предлог_из'!A2:A1000, "Корпус говора деревень Шетнево и Макеево",'предлог_из'!W2:W1000, 1)</f>
        <v>0</v>
      </c>
      <c r="I14" s="28">
        <f t="shared" si="2"/>
        <v>0</v>
      </c>
    </row>
    <row r="15">
      <c r="A15" s="35" t="s">
        <v>3971</v>
      </c>
      <c r="B15" s="15">
        <f>COUNTIFS('предлог_из'!A2:A1000, "Корпус говора деревень Шетнево и Макеево",'предлог_из'!AC2:AC1000, 0)</f>
        <v>16</v>
      </c>
      <c r="C15" s="28">
        <f t="shared" si="4"/>
        <v>0.7272727273</v>
      </c>
      <c r="E15" s="35" t="s">
        <v>3931</v>
      </c>
      <c r="F15" s="15">
        <f>SUM(F1:F14)</f>
        <v>184</v>
      </c>
      <c r="G15" s="28">
        <f t="shared" si="1"/>
        <v>1</v>
      </c>
      <c r="H15" s="15">
        <f>SUM(H1:H14)</f>
        <v>22</v>
      </c>
      <c r="I15" s="28">
        <f t="shared" si="2"/>
        <v>1</v>
      </c>
    </row>
    <row r="16">
      <c r="A16" s="35" t="s">
        <v>3973</v>
      </c>
      <c r="B16" s="15">
        <f>SUM(B14:B15)</f>
        <v>22</v>
      </c>
      <c r="C16" s="28">
        <f t="shared" si="4"/>
        <v>1</v>
      </c>
    </row>
    <row r="18">
      <c r="A18" s="16" t="s">
        <v>3976</v>
      </c>
      <c r="E18" s="16" t="s">
        <v>4041</v>
      </c>
    </row>
    <row r="19">
      <c r="A19" s="35" t="s">
        <v>3959</v>
      </c>
      <c r="B19" s="15">
        <f>COUNTIFS('предлог_из'!A2:A1000, "Корпус говора деревень Шетнево и Макеево",'предлог_из'!AC2:AC1000, 1, 'предлог_из'!Q2:Q1000, 1)</f>
        <v>3</v>
      </c>
      <c r="E19" s="35" t="s">
        <v>3970</v>
      </c>
      <c r="F19" s="35" t="s">
        <v>3955</v>
      </c>
      <c r="G19" s="35" t="s">
        <v>3956</v>
      </c>
      <c r="H19" s="35" t="s">
        <v>3957</v>
      </c>
      <c r="I19" s="35" t="s">
        <v>3958</v>
      </c>
    </row>
    <row r="20">
      <c r="A20" s="35" t="s">
        <v>24</v>
      </c>
      <c r="B20" s="15">
        <f>COUNTIFS('предлог_из'!A2:A1000, "Корпус говора деревень Шетнево и Макеево",'предлог_из'!AC2:AC1000, 1, 'предлог_из'!Y2:Y1000, 1)</f>
        <v>3</v>
      </c>
      <c r="E20" s="35" t="s">
        <v>3972</v>
      </c>
      <c r="F20" s="15">
        <f>COUNTIFS('предлог_с'!A2:A1000, "Корпус говора деревень Шетнево и Макеево",'предлог_с'!AD2:AD1000, "s")</f>
        <v>107</v>
      </c>
      <c r="G20" s="28">
        <f t="shared" ref="G20:G23" si="5">F20/$F$23</f>
        <v>0.5815217391</v>
      </c>
      <c r="H20" s="15">
        <f>COUNTIFS('предлог_из'!A2:A1000, "Корпус говора деревень Шетнево и Макеево",'предлог_из'!AD2:AD1000, "s")</f>
        <v>9</v>
      </c>
      <c r="I20" s="28">
        <f t="shared" ref="I20:I23" si="6">H20/$H$23</f>
        <v>0.4090909091</v>
      </c>
    </row>
    <row r="21">
      <c r="E21" s="35" t="s">
        <v>3974</v>
      </c>
      <c r="F21" s="15">
        <f>COUNTIFS('предлог_с'!A2:A1000, "Корпус говора деревень Шетнево и Макеево",'предлог_с'!AD2:AD1000, "o")</f>
        <v>27</v>
      </c>
      <c r="G21" s="28">
        <f t="shared" si="5"/>
        <v>0.1467391304</v>
      </c>
      <c r="H21" s="15">
        <f>COUNTIFS('предлог_из'!A2:A1000, "Корпус говора деревень Шетнево и Макеево",'предлог_из'!AD2:AD1000, "o")</f>
        <v>4</v>
      </c>
      <c r="I21" s="28">
        <f t="shared" si="6"/>
        <v>0.1818181818</v>
      </c>
    </row>
    <row r="22">
      <c r="E22" s="35" t="s">
        <v>3975</v>
      </c>
      <c r="F22" s="15">
        <f>COUNTIFS('предлог_с'!A2:A1000, "Корпус говора деревень Шетнево и Макеево",'предлог_с'!AD2:AD1000, "a")</f>
        <v>50</v>
      </c>
      <c r="G22" s="28">
        <f t="shared" si="5"/>
        <v>0.2717391304</v>
      </c>
      <c r="H22" s="15">
        <f>COUNTIFS('предлог_из'!A2:A1000, "Корпус говора деревень Шетнево и Макеево",'предлог_из'!AD2:AD1000, "a")</f>
        <v>9</v>
      </c>
      <c r="I22" s="28">
        <f t="shared" si="6"/>
        <v>0.4090909091</v>
      </c>
    </row>
    <row r="23">
      <c r="E23" s="35" t="s">
        <v>3931</v>
      </c>
      <c r="F23" s="15">
        <f>SUM(F19:F22)</f>
        <v>184</v>
      </c>
      <c r="G23" s="28">
        <f t="shared" si="5"/>
        <v>1</v>
      </c>
      <c r="H23" s="15">
        <f>SUM(H20:H22)</f>
        <v>22</v>
      </c>
      <c r="I23" s="28">
        <f t="shared" si="6"/>
        <v>1</v>
      </c>
    </row>
    <row r="26">
      <c r="A26" s="2" t="s">
        <v>3977</v>
      </c>
      <c r="B26" s="2"/>
      <c r="C26" s="2"/>
      <c r="D26" s="2"/>
      <c r="E26" s="2"/>
      <c r="G26" s="16" t="s">
        <v>3978</v>
      </c>
    </row>
    <row r="27">
      <c r="A27" s="35"/>
      <c r="B27" s="35" t="s">
        <v>3855</v>
      </c>
      <c r="C27" s="35" t="s">
        <v>3979</v>
      </c>
      <c r="D27" s="35" t="s">
        <v>3980</v>
      </c>
      <c r="E27" s="35" t="s">
        <v>3981</v>
      </c>
      <c r="G27" s="35"/>
      <c r="H27" s="35" t="s">
        <v>3982</v>
      </c>
      <c r="I27" s="35" t="s">
        <v>3983</v>
      </c>
      <c r="J27" s="35" t="s">
        <v>3984</v>
      </c>
    </row>
    <row r="28">
      <c r="A28" s="35" t="s">
        <v>3985</v>
      </c>
      <c r="B28" s="15">
        <f>COUNTIFS('предлог_с'!A2:A1000,"Корпус говора деревень Шетнево и Макеево",'предлог_с'!AF2:AF1000, "y")</f>
        <v>6</v>
      </c>
      <c r="C28" s="28">
        <f t="shared" ref="C28:C30" si="7">B28/$B$30</f>
        <v>0.03260869565</v>
      </c>
      <c r="D28" s="15">
        <f>COUNTIFS('предлог_из'!A2:A1000, "Корпус говора деревень Шетнево и Макеево",'предлог_из'!AF2:AF1000, "y")</f>
        <v>21</v>
      </c>
      <c r="E28" s="28">
        <f t="shared" ref="E28:E30" si="8">D28/$D$30</f>
        <v>1</v>
      </c>
      <c r="G28" s="35" t="s">
        <v>3986</v>
      </c>
      <c r="H28" s="15">
        <f>COUNTIFS('предлог_с'!A2:A1000, "Корпус говора деревень Шетнево и Макеево",'предлог_с'!AD2:AD1000, "s",'предлог_с'!AE2:AE1000, "n")</f>
        <v>0</v>
      </c>
      <c r="I28" s="15">
        <f>COUNTIFS('предлог_с'!A2:A1000, "Корпус говора деревень Шетнево и Макеево",'предлог_с'!AD2:AD1000, "o",'предлог_с'!AE2:AE1000, "n")</f>
        <v>0</v>
      </c>
      <c r="J28" s="15">
        <f>COUNTIFS('предлог_с'!A2:A1000, "Корпус говора деревень Шетнево и Макеево",'предлог_с'!AD2:AD1000, "a",'предлог_с'!AE2:AE1000, "n")</f>
        <v>50</v>
      </c>
    </row>
    <row r="29">
      <c r="A29" s="35" t="s">
        <v>3987</v>
      </c>
      <c r="B29" s="15">
        <f>COUNTIFS('предлог_с'!A2:A1000,"Корпус говора деревень Шетнево и Макеево",'предлог_с'!AF2:AF1000, "n")</f>
        <v>178</v>
      </c>
      <c r="C29" s="28">
        <f t="shared" si="7"/>
        <v>0.9673913043</v>
      </c>
      <c r="D29" s="15">
        <f>COUNTIFS('предлог_из'!A2:A1000, "Корпус говора деревень Шетнево и Макеево",'предлог_из'!AF2:AF1000, "т")</f>
        <v>0</v>
      </c>
      <c r="E29" s="28">
        <f t="shared" si="8"/>
        <v>0</v>
      </c>
      <c r="G29" s="35" t="s">
        <v>3988</v>
      </c>
      <c r="H29" s="15">
        <f>COUNTIFS('предлог_с'!A2:A1000, "Корпус говора деревень Шетнево и Макеево",'предлог_с'!AD2:AD1000, "s",'предлог_с'!AE2:AE1000, "v")</f>
        <v>107</v>
      </c>
      <c r="I29" s="15">
        <f>COUNTIFS('предлог_с'!A2:A1000, "Корпус говора деревень Шетнево и Макеево",'предлог_с'!AD2:AD1000, "o",'предлог_с'!AE2:AE1000, "v")</f>
        <v>27</v>
      </c>
      <c r="J29" s="15">
        <f>COUNTIFS('предлог_с'!A2:A1000, "Корпус говора деревень Шетнево и Макеево",'предлог_с'!AD2:AD1000, "o",'предлог_с'!AE2:AE1000, "v")</f>
        <v>27</v>
      </c>
    </row>
    <row r="30">
      <c r="A30" s="35" t="s">
        <v>3931</v>
      </c>
      <c r="B30" s="15">
        <f>SUM(B28:B29)</f>
        <v>184</v>
      </c>
      <c r="C30" s="28">
        <f t="shared" si="7"/>
        <v>1</v>
      </c>
      <c r="D30" s="15">
        <f>SUM(D28:D29)</f>
        <v>21</v>
      </c>
      <c r="E30" s="28">
        <f t="shared" si="8"/>
        <v>1</v>
      </c>
    </row>
    <row r="31">
      <c r="G31" s="16" t="s">
        <v>3989</v>
      </c>
    </row>
    <row r="32">
      <c r="G32" s="35"/>
      <c r="H32" s="35" t="s">
        <v>3982</v>
      </c>
      <c r="I32" s="35" t="s">
        <v>3983</v>
      </c>
      <c r="J32" s="35" t="s">
        <v>3984</v>
      </c>
    </row>
    <row r="33">
      <c r="G33" s="35" t="s">
        <v>3986</v>
      </c>
      <c r="H33" s="15">
        <f>COUNTIFS('предлог_из'!A2:A1000, "Корпус говора деревень Шетнево и Макеево",'предлог_из'!AD2:AD1000, "s",'предлог_из'!AE2:AE1000, "n")</f>
        <v>0</v>
      </c>
      <c r="I33" s="15">
        <f>COUNTIFS('предлог_из'!A2:A1000, "Корпус говора деревень Шетнево и Макеево",'предлог_из'!AD2:AD1000, "o",'предлог_из'!AE2:AE1000, "n")</f>
        <v>0</v>
      </c>
      <c r="J33" s="15">
        <f>COUNTIFS('предлог_из'!A2:A1000, "Корпус говора деревень Шетнево и Макеево",'предлог_из'!AD2:AD1000, "a",'предлог_из'!AE2:AE1000, "n")</f>
        <v>9</v>
      </c>
    </row>
    <row r="34">
      <c r="G34" s="35" t="s">
        <v>3988</v>
      </c>
      <c r="H34" s="15">
        <f>COUNTIFS('предлог_из'!A2:A1000, "Корпус говора деревень Шетнево и Макеево",'предлог_из'!AD2:AD1000, "s",'предлог_из'!AE2:AE1000, "v")</f>
        <v>9</v>
      </c>
      <c r="I34" s="15">
        <f>COUNTIFS('предлог_из'!A2:A1000, "Корпус говора деревень Шетнево и Макеево",'предлог_из'!AD2:AD1000, "o",'предлог_из'!AE2:AE1000, "v")</f>
        <v>4</v>
      </c>
      <c r="J34" s="15">
        <f>COUNTIFS('предлог_из'!A2:A1000, "Корпус говора деревень Шетнево и Макеево",'предлог_из'!AD2:AD1000, "o",'предлог_из'!AE2:AE1000, "v")</f>
        <v>4</v>
      </c>
    </row>
    <row r="38">
      <c r="A38" s="16" t="s">
        <v>3990</v>
      </c>
      <c r="G38" s="16" t="s">
        <v>3990</v>
      </c>
    </row>
    <row r="39">
      <c r="A39" s="35"/>
      <c r="B39" s="35" t="s">
        <v>3972</v>
      </c>
      <c r="C39" s="35" t="s">
        <v>3983</v>
      </c>
      <c r="D39" s="35" t="s">
        <v>3984</v>
      </c>
      <c r="E39" s="35" t="s">
        <v>3931</v>
      </c>
      <c r="G39" s="35"/>
      <c r="H39" s="35" t="s">
        <v>3972</v>
      </c>
      <c r="I39" s="35" t="s">
        <v>3983</v>
      </c>
      <c r="J39" s="44" t="s">
        <v>3984</v>
      </c>
    </row>
    <row r="40">
      <c r="A40" s="35" t="s">
        <v>3959</v>
      </c>
      <c r="B40" s="15">
        <f>COUNTIFS('предлог_с'!A2:A1000, "Корпус говора деревень Шетнево и Макеево",'предлог_с'!AD2:AD1000, "s",'предлог_с'!Q2:Q1000, 1)</f>
        <v>45</v>
      </c>
      <c r="C40" s="15">
        <f>COUNTIFS('предлог_с'!A2:A1000, "Корпус говора деревень Шетнево и Макеево",'предлог_с'!AD2:AD1000, "o",'предлог_с'!Q2:Q1000, 1)</f>
        <v>0</v>
      </c>
      <c r="D40" s="15">
        <f>COUNTIFS('предлог_с'!A2:A1000, "Корпус говора деревень Шетнево и Макеево",'предлог_с'!AD2:AD1000, "a",'предлог_с'!Q2:Q1000, 1)</f>
        <v>25</v>
      </c>
      <c r="E40" s="15">
        <f t="shared" ref="E40:E51" si="9">SUM(B40:D40)</f>
        <v>70</v>
      </c>
      <c r="G40" s="35" t="s">
        <v>3959</v>
      </c>
      <c r="H40" s="28">
        <f t="shared" ref="H40:H48" si="10">B40/E40</f>
        <v>0.6428571429</v>
      </c>
      <c r="I40" s="28">
        <f t="shared" ref="I40:I48" si="11">C40/E40</f>
        <v>0</v>
      </c>
      <c r="J40" s="28">
        <f t="shared" ref="J40:J48" si="12">D40/E40</f>
        <v>0.3571428571</v>
      </c>
    </row>
    <row r="41">
      <c r="A41" s="35" t="s">
        <v>3960</v>
      </c>
      <c r="B41" s="15">
        <f>COUNTIFS('предлог_с'!A2:A1000, "Корпус говора деревень Шетнево и Макеево",'предлог_с'!AD2:AD1000, "s",'предлог_с'!R2:R1000, 1)</f>
        <v>8</v>
      </c>
      <c r="C41" s="15">
        <f>COUNTIFS('предлог_с'!A2:A1000, "Корпус говора деревень Шетнево и Макеево",'предлог_с'!AD2:AD1000, "o",'предлог_с'!R2:R1000, 1)</f>
        <v>0</v>
      </c>
      <c r="D41" s="15">
        <f>COUNTIFS('предлог_с'!A2:A1000, "Корпус говора деревень Шетнево и Макеево",'предлог_с'!AD2:AD1000, "a",'предлог_с'!R2:R1000, 1)</f>
        <v>9</v>
      </c>
      <c r="E41" s="15">
        <f t="shared" si="9"/>
        <v>17</v>
      </c>
      <c r="G41" s="35" t="s">
        <v>3960</v>
      </c>
      <c r="H41" s="28">
        <f t="shared" si="10"/>
        <v>0.4705882353</v>
      </c>
      <c r="I41" s="28">
        <f t="shared" si="11"/>
        <v>0</v>
      </c>
      <c r="J41" s="28">
        <f t="shared" si="12"/>
        <v>0.5294117647</v>
      </c>
    </row>
    <row r="42">
      <c r="A42" s="35" t="s">
        <v>18</v>
      </c>
      <c r="B42" s="15">
        <f>COUNTIFS('предлог_с'!A2:A1000, "Корпус говора деревень Шетнево и Макеево",'предлог_с'!AD2:AD1000, "s",'предлог_с'!S2:S1000, 1)</f>
        <v>7</v>
      </c>
      <c r="C42" s="15">
        <f>COUNTIFS('предлог_с'!A2:A1000, "Корпус говора деревень Шетнево и Макеево",'предлог_с'!AD2:AD1000, "o",'предлог_с'!S2:S1000, 1)</f>
        <v>0</v>
      </c>
      <c r="D42" s="15">
        <f>COUNTIFS('предлог_с'!A2:A1000, "Корпус говора деревень Шетнево и Макеево",'предлог_с'!AD2:AD1000, "a",'предлог_с'!S2:S1000, 1)</f>
        <v>0</v>
      </c>
      <c r="E42" s="15">
        <f t="shared" si="9"/>
        <v>7</v>
      </c>
      <c r="G42" s="35" t="s">
        <v>18</v>
      </c>
      <c r="H42" s="28">
        <f t="shared" si="10"/>
        <v>1</v>
      </c>
      <c r="I42" s="28">
        <f t="shared" si="11"/>
        <v>0</v>
      </c>
      <c r="J42" s="28">
        <f t="shared" si="12"/>
        <v>0</v>
      </c>
    </row>
    <row r="43">
      <c r="A43" s="35" t="s">
        <v>3962</v>
      </c>
      <c r="B43" s="15">
        <f>COUNTIFS('предлог_с'!A2:A1000, "Корпус говора деревень Шетнево и Макеево",'предлог_с'!AD2:AD1000, "s",'предлог_с'!T2:T1000, 1)</f>
        <v>5</v>
      </c>
      <c r="C43" s="15">
        <f>COUNTIFS('предлог_с'!A2:A1000, "Корпус говора деревень Шетнево и Макеево",'предлог_с'!AD2:AD1000, "o",'предлог_с'!T2:T1000, 1)</f>
        <v>0</v>
      </c>
      <c r="D43" s="15">
        <f>COUNTIFS('предлог_с'!A2:A1000, "Корпус говора деревень Шетнево и Макеево",'предлог_с'!AD2:AD1000, "a",'предлог_с'!T2:T1000, 1)</f>
        <v>0</v>
      </c>
      <c r="E43" s="15">
        <f t="shared" si="9"/>
        <v>5</v>
      </c>
      <c r="G43" s="35" t="s">
        <v>3962</v>
      </c>
      <c r="H43" s="28">
        <f t="shared" si="10"/>
        <v>1</v>
      </c>
      <c r="I43" s="28">
        <f t="shared" si="11"/>
        <v>0</v>
      </c>
      <c r="J43" s="28">
        <f t="shared" si="12"/>
        <v>0</v>
      </c>
    </row>
    <row r="44">
      <c r="A44" s="35" t="s">
        <v>20</v>
      </c>
      <c r="B44" s="15">
        <f>COUNTIFS('предлог_с'!A2:A1000, "Корпус говора деревень Шетнево и Макеево",'предлог_с'!AD2:AD1000, "s",'предлог_с'!U2:U1000, 1)</f>
        <v>21</v>
      </c>
      <c r="C44" s="15">
        <f>COUNTIFS('предлог_с'!A2:A1000, "Корпус говора деревень Шетнево и Макеево",'предлог_с'!AD2:AD1000, "o",'предлог_с'!U2:U1000, 1)</f>
        <v>0</v>
      </c>
      <c r="D44" s="15">
        <f>COUNTIFS('предлог_с'!A2:A1000, "Корпус говора деревень Шетнево и Макеево",'предлог_с'!AD2:AD1000, "a",'предлог_с'!U2:U1000, 1)</f>
        <v>1</v>
      </c>
      <c r="E44" s="15">
        <f t="shared" si="9"/>
        <v>22</v>
      </c>
      <c r="G44" s="35" t="s">
        <v>20</v>
      </c>
      <c r="H44" s="28">
        <f t="shared" si="10"/>
        <v>0.9545454545</v>
      </c>
      <c r="I44" s="28">
        <f t="shared" si="11"/>
        <v>0</v>
      </c>
      <c r="J44" s="28">
        <f t="shared" si="12"/>
        <v>0.04545454545</v>
      </c>
    </row>
    <row r="45">
      <c r="A45" s="35" t="s">
        <v>3964</v>
      </c>
      <c r="B45" s="15">
        <f>COUNTIFS('предлог_с'!A2:A1000, "Корпус говора деревень Шетнево и Макеево",'предлог_с'!AD2:AD1000, "s",'предлог_с'!X2:X1000, 1)</f>
        <v>11</v>
      </c>
      <c r="C45" s="15">
        <f>COUNTIFS('предлог_с'!A2:A1000, "Корпус говора деревень Шетнево и Макеево",'предлог_с'!AD2:AD1000, "o",'предлог_с'!X2:X1000, 1)</f>
        <v>2</v>
      </c>
      <c r="D45" s="15">
        <f>COUNTIFS('предлог_с'!A2:A1000, "Корпус говора деревень Шетнево и Макеево",'предлог_с'!AD2:AD1000, "a",'предлог_с'!X2:X1000, 1)</f>
        <v>1</v>
      </c>
      <c r="E45" s="15">
        <f t="shared" si="9"/>
        <v>14</v>
      </c>
      <c r="G45" s="35" t="s">
        <v>3964</v>
      </c>
      <c r="H45" s="28">
        <f t="shared" si="10"/>
        <v>0.7857142857</v>
      </c>
      <c r="I45" s="28">
        <f t="shared" si="11"/>
        <v>0.1428571429</v>
      </c>
      <c r="J45" s="28">
        <f t="shared" si="12"/>
        <v>0.07142857143</v>
      </c>
    </row>
    <row r="46">
      <c r="A46" s="35" t="s">
        <v>24</v>
      </c>
      <c r="B46" s="15">
        <f>COUNTIFS('предлог_с'!A2:A1000, "Корпус говора деревень Шетнево и Макеево",'предлог_с'!AD2:AD1000, "s",'предлог_с'!Y2:Y1000, 1)</f>
        <v>0</v>
      </c>
      <c r="C46" s="15">
        <f>COUNTIFS('предлог_с'!A2:A1000, "Корпус говора деревень Шетнево и Макеево",'предлог_с'!AD2:AD1000, "o",'предлог_с'!Y2:Y1000, 1)</f>
        <v>25</v>
      </c>
      <c r="D46" s="15">
        <f>COUNTIFS('предлог_с'!A2:A1000, "Корпус говора деревень Шетнево и Макеево",'предлог_с'!AD2:AD1000, "a",'предлог_с'!Y2:Y1000, 1)</f>
        <v>12</v>
      </c>
      <c r="E46" s="15">
        <f t="shared" si="9"/>
        <v>37</v>
      </c>
      <c r="G46" s="35" t="s">
        <v>24</v>
      </c>
      <c r="H46" s="28">
        <f t="shared" si="10"/>
        <v>0</v>
      </c>
      <c r="I46" s="28">
        <f t="shared" si="11"/>
        <v>0.6756756757</v>
      </c>
      <c r="J46" s="28">
        <f t="shared" si="12"/>
        <v>0.3243243243</v>
      </c>
    </row>
    <row r="47">
      <c r="A47" s="35" t="s">
        <v>3966</v>
      </c>
      <c r="B47" s="15">
        <f>COUNTIFS('предлог_с'!A2:A1000, "Корпус говора деревень Шетнево и Макеево",'предлог_с'!AD2:AD1000, "s",'предлог_с'!Z2:Z1000, 1)</f>
        <v>7</v>
      </c>
      <c r="C47" s="15">
        <f>COUNTIFS('предлог_с'!A2:A1000, "Корпус говора деревень Шетнево и Макеево",'предлог_с'!AD2:AD1000, "o",'предлог_с'!Z2:Z1000, 1)</f>
        <v>0</v>
      </c>
      <c r="D47" s="15">
        <f>COUNTIFS('предлог_с'!A2:A1000, "Корпус говора деревень Шетнево и Макеево",'предлог_с'!AD2:AD1000, "a",'предлог_с'!Z2:Z1000, 1)</f>
        <v>1</v>
      </c>
      <c r="E47" s="15">
        <f t="shared" si="9"/>
        <v>8</v>
      </c>
      <c r="G47" s="35" t="s">
        <v>3966</v>
      </c>
      <c r="H47" s="28">
        <f t="shared" si="10"/>
        <v>0.875</v>
      </c>
      <c r="I47" s="28">
        <f t="shared" si="11"/>
        <v>0</v>
      </c>
      <c r="J47" s="28">
        <f t="shared" si="12"/>
        <v>0.125</v>
      </c>
    </row>
    <row r="48">
      <c r="A48" s="35" t="s">
        <v>26</v>
      </c>
      <c r="B48" s="15">
        <f>COUNTIFS('предлог_с'!A2:A1000, "Корпус говора деревень Шетнево и Макеево",'предлог_с'!AD2:AD1000, "s",'предлог_с'!AA2:AA1000, 1)</f>
        <v>1</v>
      </c>
      <c r="C48" s="15">
        <f>COUNTIFS('предлог_с'!A2:A1000, "Корпус говора деревень Шетнево и Макеево",'предлог_с'!AD2:AD1000, "o",'предлог_с'!AA2:AA1000, 1)</f>
        <v>0</v>
      </c>
      <c r="D48" s="15">
        <f>COUNTIFS('предлог_с'!A2:A1000, "Корпус говора деревень Шетнево и Макеево",'предлог_с'!AD2:AD1000, "a",'предлог_с'!AA2:AA1000, 1)</f>
        <v>0</v>
      </c>
      <c r="E48" s="15">
        <f t="shared" si="9"/>
        <v>1</v>
      </c>
      <c r="G48" s="35" t="s">
        <v>26</v>
      </c>
      <c r="H48" s="28">
        <f t="shared" si="10"/>
        <v>1</v>
      </c>
      <c r="I48" s="28">
        <f t="shared" si="11"/>
        <v>0</v>
      </c>
      <c r="J48" s="28">
        <f t="shared" si="12"/>
        <v>0</v>
      </c>
    </row>
    <row r="49">
      <c r="A49" s="35" t="s">
        <v>3967</v>
      </c>
      <c r="B49" s="15">
        <f>COUNTIFS('предлог_с'!A2:A1000, "Корпус говора деревень Макеево и Шетнево",'предлог_с'!AD2:AD1000, "s",'предлог_с'!AB2:AB1000, 1)</f>
        <v>0</v>
      </c>
      <c r="C49" s="15">
        <f>COUNTIFS('предлог_с'!A2:A1000, "Корпус говора деревень Шетнево и Макеево",'предлог_с'!AD2:AD1000, "o",'предлог_с'!AB2:AB1000, 1)</f>
        <v>0</v>
      </c>
      <c r="D49" s="15">
        <f>COUNTIFS('предлог_с'!A2:A1000, "Корпус говора деревень Шетнево и Макеево",'предлог_с'!AD2:AD1000, "a",'предлог_с'!AB2:AB1000, 1)</f>
        <v>0</v>
      </c>
      <c r="E49" s="15">
        <f t="shared" si="9"/>
        <v>0</v>
      </c>
      <c r="G49" s="35" t="s">
        <v>3967</v>
      </c>
      <c r="H49" s="42">
        <v>0.0</v>
      </c>
      <c r="I49" s="42">
        <v>0.0</v>
      </c>
      <c r="J49" s="42">
        <v>0.0</v>
      </c>
    </row>
    <row r="50">
      <c r="A50" s="52" t="s">
        <v>21</v>
      </c>
      <c r="B50" s="15">
        <f>COUNTIFS('предлог_с'!A2:A1000, "Корпус говора деревень Шетнево и Макеево",'предлог_с'!AD2:AD1000, "s",'предлог_с'!V2:V1000, 1)</f>
        <v>2</v>
      </c>
      <c r="C50" s="15">
        <f>COUNTIFS('предлог_с'!A2:A1000, "Корпус говора деревень Макеево и Шетнево",'предлог_с'!AD2:AD1000, "o",'предлог_с'!V2:V1000, 1)</f>
        <v>0</v>
      </c>
      <c r="D50" s="15">
        <f>COUNTIFS('предлог_с'!A2:A1000, "Корпус говора деревень Шетнево и Макеево",'предлог_с'!AD2:AD1000, "a",'предлог_с'!V2:V1000, 1)</f>
        <v>1</v>
      </c>
      <c r="E50" s="15">
        <f t="shared" si="9"/>
        <v>3</v>
      </c>
      <c r="G50" s="52" t="s">
        <v>21</v>
      </c>
      <c r="H50" s="28">
        <f>B50/E50</f>
        <v>0.6666666667</v>
      </c>
      <c r="I50" s="28">
        <f>C50/E50</f>
        <v>0</v>
      </c>
      <c r="J50" s="28">
        <f>D50/E50</f>
        <v>0.3333333333</v>
      </c>
    </row>
    <row r="51">
      <c r="A51" s="35" t="s">
        <v>22</v>
      </c>
      <c r="B51" s="15">
        <f>COUNTIFS('предлог_с'!A2:A1000, "Корпус говора деревень Шетнево и Макеево",'предлог_с'!AD2:AD1000, "s",'предлог_с'!W2:W1000, 1)</f>
        <v>0</v>
      </c>
      <c r="C51" s="15">
        <f>COUNTIFS('предлог_с'!A2:A1000, "Корпус говора деревень Шетнево и Макеево",'предлог_с'!AD2:AD1000, "o",'предлог_с'!W2:W1000, 1)</f>
        <v>0</v>
      </c>
      <c r="D51" s="15">
        <f>COUNTIFS('предлог_с'!A2:A1000, "Корпус говора деревень Шетнево и Макеево",'предлог_с'!AD2:AD1000, "a",'предлог_с'!W2:W1000, 1)</f>
        <v>0</v>
      </c>
      <c r="E51" s="15">
        <f t="shared" si="9"/>
        <v>0</v>
      </c>
      <c r="G51" s="35" t="s">
        <v>22</v>
      </c>
      <c r="H51" s="42">
        <v>0.0</v>
      </c>
      <c r="I51" s="42">
        <v>0.0</v>
      </c>
      <c r="J51" s="42">
        <v>0.0</v>
      </c>
    </row>
    <row r="52">
      <c r="A52" s="35" t="s">
        <v>3931</v>
      </c>
      <c r="B52" s="15">
        <f t="shared" ref="B52:E52" si="13">SUM(B39:B51)</f>
        <v>107</v>
      </c>
      <c r="C52" s="15">
        <f t="shared" si="13"/>
        <v>27</v>
      </c>
      <c r="D52" s="15">
        <f t="shared" si="13"/>
        <v>50</v>
      </c>
      <c r="E52" s="15">
        <f t="shared" si="13"/>
        <v>184</v>
      </c>
      <c r="G52" s="35" t="s">
        <v>3931</v>
      </c>
      <c r="H52" s="28">
        <f>B52/E52</f>
        <v>0.5815217391</v>
      </c>
      <c r="I52" s="28">
        <f>C52/E52</f>
        <v>0.1467391304</v>
      </c>
      <c r="J52" s="28">
        <f>D52/E52</f>
        <v>0.2717391304</v>
      </c>
    </row>
    <row r="55">
      <c r="A55" s="16" t="s">
        <v>3991</v>
      </c>
      <c r="G55" s="16" t="s">
        <v>3991</v>
      </c>
    </row>
    <row r="56">
      <c r="A56" s="35"/>
      <c r="B56" s="35" t="s">
        <v>3972</v>
      </c>
      <c r="C56" s="35" t="s">
        <v>3983</v>
      </c>
      <c r="D56" s="35" t="s">
        <v>3984</v>
      </c>
      <c r="E56" s="35" t="s">
        <v>3931</v>
      </c>
      <c r="G56" s="35"/>
      <c r="H56" s="35" t="s">
        <v>3972</v>
      </c>
      <c r="I56" s="35" t="s">
        <v>3983</v>
      </c>
      <c r="J56" s="35" t="s">
        <v>3984</v>
      </c>
    </row>
    <row r="57">
      <c r="A57" s="35" t="s">
        <v>3959</v>
      </c>
      <c r="B57" s="47">
        <f>COUNTIFS('предлог_из'!A2:A1000, "Корпус говора деревень Шетнево и Макеево",'предлог_из'!AD2:AD1000, "s",'предлог_из'!Q2:Q1000, 1)</f>
        <v>3</v>
      </c>
      <c r="C57" s="47">
        <f>COUNTIFS('предлог_из'!A2:A1000, "Корпус говора деревень Шетнево и Макеево",'предлог_из'!AD2:AD1000, "o",'предлог_из'!Q2:Q1000, 1)</f>
        <v>0</v>
      </c>
      <c r="D57" s="47">
        <f>COUNTIFS('предлог_из'!A2:A1000, "Корпус говора деревень Шетнево и Макеево",'предлог_из'!AD2:AD1000, "a",'предлог_из'!Q2:Q1000, 1)</f>
        <v>4</v>
      </c>
      <c r="E57" s="47">
        <f t="shared" ref="E57:E68" si="15">SUM(B57:D57)</f>
        <v>7</v>
      </c>
      <c r="G57" s="35" t="s">
        <v>3959</v>
      </c>
      <c r="H57" s="46">
        <f t="shared" ref="H57:I57" si="14">B57/$E$57</f>
        <v>0.4285714286</v>
      </c>
      <c r="I57" s="46">
        <f t="shared" si="14"/>
        <v>0</v>
      </c>
      <c r="J57" s="46">
        <f>D57/E57</f>
        <v>0.5714285714</v>
      </c>
    </row>
    <row r="58">
      <c r="A58" s="35" t="s">
        <v>3960</v>
      </c>
      <c r="B58" s="47">
        <f>COUNTIFS('предлог_из'!A2:A1000, "Корпус говора деревень Шетнево и Макеево",'предлог_из'!AD2:AD1000, "s",'предлог_из'!R2:R1000, 1)</f>
        <v>0</v>
      </c>
      <c r="C58" s="47">
        <f>COUNTIFS('предлог_из'!A2:A1000, "Корпус говора деревень Шетнево и Макеево",'предлог_из'!AD2:AD1000, "o",'предлог_из'!R2:R1000, 1)</f>
        <v>0</v>
      </c>
      <c r="D58" s="47">
        <f>COUNTIFS('предлог_из'!A2:A1000, "Корпус говора деревень Шетнево и Макеево",'предлог_из'!AD2:AD1000, "a",'предлог_из'!R2:R1000, 1)</f>
        <v>1</v>
      </c>
      <c r="E58" s="47">
        <f t="shared" si="15"/>
        <v>1</v>
      </c>
      <c r="G58" s="35" t="s">
        <v>3960</v>
      </c>
      <c r="H58" s="46">
        <f t="shared" ref="H58:J58" si="16">B58/$E$58</f>
        <v>0</v>
      </c>
      <c r="I58" s="46">
        <f t="shared" si="16"/>
        <v>0</v>
      </c>
      <c r="J58" s="46">
        <f t="shared" si="16"/>
        <v>1</v>
      </c>
    </row>
    <row r="59">
      <c r="A59" s="35" t="s">
        <v>18</v>
      </c>
      <c r="B59" s="47">
        <f>COUNTIFS('предлог_из'!A2:A1000, "Корпус говора деревень Шетнево и Макеево",'предлог_из'!AD2:AD1000, "s",'предлог_из'!S2:S1000, 1)</f>
        <v>2</v>
      </c>
      <c r="C59" s="47">
        <f>COUNTIFS('предлог_из'!A2:A1000, "Корпус говора деревень Шетнево и Макеево",'предлог_из'!AD2:AD1000, "o",'предлог_из'!S2:S1000, 1)</f>
        <v>0</v>
      </c>
      <c r="D59" s="47">
        <f>COUNTIFS('предлог_из'!A2:A1000, "Корпус говора деревень Шетнево и Макеево",'предлог_из'!AD2:AD1000, "a",'предлог_из'!S2:S1000, 1)</f>
        <v>0</v>
      </c>
      <c r="E59" s="47">
        <f t="shared" si="15"/>
        <v>2</v>
      </c>
      <c r="G59" s="35" t="s">
        <v>18</v>
      </c>
      <c r="H59" s="46">
        <f t="shared" ref="H59:J59" si="17">B59/$E$59</f>
        <v>1</v>
      </c>
      <c r="I59" s="46">
        <f t="shared" si="17"/>
        <v>0</v>
      </c>
      <c r="J59" s="46">
        <f t="shared" si="17"/>
        <v>0</v>
      </c>
    </row>
    <row r="60">
      <c r="A60" s="35" t="s">
        <v>3962</v>
      </c>
      <c r="B60" s="47">
        <f>COUNTIFS('предлог_из'!A2:A1000, "Корпус говора деревень Шетнево и Макеево",'предлог_из'!AD2:AD1000, "s",'предлог_из'!T2:T1000, 1)</f>
        <v>0</v>
      </c>
      <c r="C60" s="47">
        <f>COUNTIFS('предлог_из'!A2:A1000, "Корпус говора деревень Шетнево и Макеево",'предлог_из'!AD2:AD1000, "o",'предлог_из'!T2:T1000, 1)</f>
        <v>0</v>
      </c>
      <c r="D60" s="47">
        <f>COUNTIFS('предлог_из'!A2:A1000, "Корпус говора деревень Шетнево и Макеево",'предлог_из'!AD2:AD1000, "a",'предлог_из'!T2:T1000, 1)</f>
        <v>0</v>
      </c>
      <c r="E60" s="47">
        <f t="shared" si="15"/>
        <v>0</v>
      </c>
      <c r="G60" s="35" t="s">
        <v>3962</v>
      </c>
      <c r="H60" s="57">
        <v>0.0</v>
      </c>
      <c r="I60" s="57">
        <v>0.0</v>
      </c>
      <c r="J60" s="57">
        <v>0.0</v>
      </c>
    </row>
    <row r="61">
      <c r="A61" s="35" t="s">
        <v>20</v>
      </c>
      <c r="B61" s="47">
        <f>COUNTIFS('предлог_из'!A2:A1000, "Корпус говора деревень Шетнево и Макеево",'предлог_из'!AD2:AD1000, "s",'предлог_из'!U2:U1000, 1)</f>
        <v>4</v>
      </c>
      <c r="C61" s="47">
        <f>COUNTIFS('предлог_из'!A2:A1000, "Корпус говора деревень Шетнево и Макеево",'предлог_из'!AD2:AD1000, "o",'предлог_из'!U2:U1000, 1)</f>
        <v>0</v>
      </c>
      <c r="D61" s="47">
        <f>COUNTIFS('предлог_из'!A2:A1000, "Корпус говора деревень Шетнево и Макеево",'предлог_из'!AD2:AD1000, "a",'предлог_из'!U2:U1000, 1)</f>
        <v>0</v>
      </c>
      <c r="E61" s="47">
        <f t="shared" si="15"/>
        <v>4</v>
      </c>
      <c r="G61" s="35" t="s">
        <v>20</v>
      </c>
      <c r="H61" s="46">
        <f t="shared" ref="H61:J61" si="18">B61/$E$61</f>
        <v>1</v>
      </c>
      <c r="I61" s="46">
        <f t="shared" si="18"/>
        <v>0</v>
      </c>
      <c r="J61" s="46">
        <f t="shared" si="18"/>
        <v>0</v>
      </c>
    </row>
    <row r="62">
      <c r="A62" s="35" t="s">
        <v>3964</v>
      </c>
      <c r="B62" s="47">
        <f>COUNTIFS('предлог_из'!A2:A1000, "Корпус говора деревень Шетнево и Макеево",'предлог_из'!AD2:AD1000, "s",'предлог_из'!X2:X1000, 1)</f>
        <v>0</v>
      </c>
      <c r="C62" s="47">
        <f>COUNTIFS('предлог_из'!A2:A1000, "Корпус говора деревень Шетнево и Макеево",'предлог_из'!AD2:AD1000, "o",'предлог_из'!X2:X1000, 1)</f>
        <v>0</v>
      </c>
      <c r="D62" s="47">
        <f>COUNTIFS('предлог_из'!A2:A1000, "Корпус говора деревень Шетнево и Макеево",'предлог_из'!AD2:AD1000, "a",'предлог_из'!X2:X1000, 1)</f>
        <v>0</v>
      </c>
      <c r="E62" s="47">
        <f t="shared" si="15"/>
        <v>0</v>
      </c>
      <c r="G62" s="35" t="s">
        <v>3964</v>
      </c>
      <c r="H62" s="57">
        <v>0.0</v>
      </c>
      <c r="I62" s="57">
        <v>0.0</v>
      </c>
      <c r="J62" s="57">
        <v>0.0</v>
      </c>
    </row>
    <row r="63">
      <c r="A63" s="35" t="s">
        <v>24</v>
      </c>
      <c r="B63" s="47">
        <f>COUNTIFS('предлог_из'!A2:A1000, "Корпус говора деревень Шетнево и Макеево",'предлог_из'!AD2:AD1000, "s",'предлог_из'!Y2:Y1000, 1)</f>
        <v>0</v>
      </c>
      <c r="C63" s="47">
        <f>COUNTIFS('предлог_из'!A2:A1000, "Корпус говора деревень Шетнево и Макеево",'предлог_из'!AD2:AD1000, "o",'предлог_из'!Y2:Y1000, 1)</f>
        <v>4</v>
      </c>
      <c r="D63" s="47">
        <f>COUNTIFS('предлог_из'!A2:A1000, "Корпус говора деревень Шетнево и Макеево",'предлог_из'!AD2:AD1000, "a",'предлог_из'!Y2:Y1000, 1)</f>
        <v>4</v>
      </c>
      <c r="E63" s="47">
        <f t="shared" si="15"/>
        <v>8</v>
      </c>
      <c r="G63" s="35" t="s">
        <v>24</v>
      </c>
      <c r="H63" s="46">
        <f t="shared" ref="H63:J63" si="19">B63/$E$63</f>
        <v>0</v>
      </c>
      <c r="I63" s="46">
        <f t="shared" si="19"/>
        <v>0.5</v>
      </c>
      <c r="J63" s="46">
        <f t="shared" si="19"/>
        <v>0.5</v>
      </c>
    </row>
    <row r="64">
      <c r="A64" s="35" t="s">
        <v>3966</v>
      </c>
      <c r="B64" s="47">
        <f>COUNTIFS('предлог_из'!A2:A1000, "Корпус говора деревень Шетнево и Макеево",'предлог_из'!AD2:AD1000, "s",'предлог_из'!Z2:Z1000, 1)</f>
        <v>0</v>
      </c>
      <c r="C64" s="47">
        <f>COUNTIFS('предлог_из'!A2:A1000, "Корпус говора деревень Шетнево и Макеево",'предлог_из'!AD2:AD1000, "o",'предлог_из'!Z2:Z1000, 1)</f>
        <v>0</v>
      </c>
      <c r="D64" s="47">
        <f>COUNTIFS('предлог_из'!A2:A1000, "Корпус говора деревень Шетнево и Макеево",'предлог_из'!AD2:AD1000, "a",'предлог_из'!Z2:Z1000, 1)</f>
        <v>0</v>
      </c>
      <c r="E64" s="47">
        <f t="shared" si="15"/>
        <v>0</v>
      </c>
      <c r="G64" s="35" t="s">
        <v>3966</v>
      </c>
      <c r="H64" s="57">
        <v>0.0</v>
      </c>
      <c r="I64" s="57">
        <v>0.0</v>
      </c>
      <c r="J64" s="57">
        <v>0.0</v>
      </c>
    </row>
    <row r="65">
      <c r="A65" s="35" t="s">
        <v>26</v>
      </c>
      <c r="B65" s="47">
        <f>COUNTIFS('предлог_из'!A2:A1000, "Корпус говора деревень Шетнево и Макеево",'предлог_из'!AD2:AD1000, "s",'предлог_из'!AA2:AA1000, 1)</f>
        <v>0</v>
      </c>
      <c r="C65" s="47">
        <f>COUNTIFS('предлог_из'!A2:A1000, "Корпус говора деревень Шетнево и Макеево",'предлог_из'!AD2:AD1000, "o",'предлог_из'!AA2:AA1000, 1)</f>
        <v>0</v>
      </c>
      <c r="D65" s="47">
        <f>COUNTIFS('предлог_из'!A2:A1000, "Корпус говора деревень Шетнево и Макеево",'предлог_из'!AD2:AD1000, "a",'предлог_из'!AA2:AA1000, 1)</f>
        <v>0</v>
      </c>
      <c r="E65" s="47">
        <f t="shared" si="15"/>
        <v>0</v>
      </c>
      <c r="G65" s="35" t="s">
        <v>26</v>
      </c>
      <c r="H65" s="57">
        <v>0.0</v>
      </c>
      <c r="I65" s="57">
        <v>0.0</v>
      </c>
      <c r="J65" s="57">
        <v>0.0</v>
      </c>
    </row>
    <row r="66">
      <c r="A66" s="35" t="s">
        <v>3967</v>
      </c>
      <c r="B66" s="47">
        <f>COUNTIFS('предлог_из'!A2:A1000, "Корпус говора деревень Шетнево и Макеево",'предлог_из'!AD2:AD1000, "s",'предлог_из'!AB2:AB1000, 1)</f>
        <v>0</v>
      </c>
      <c r="C66" s="47">
        <f>COUNTIFS('предлог_из'!A2:A1000, "Корпус говора деревень Шетнево и Макеево",'предлог_из'!AD2:AD1000, "o",'предлог_из'!AB2:AB1000, 1)</f>
        <v>0</v>
      </c>
      <c r="D66" s="47">
        <f>COUNTIFS('предлог_из'!A2:A1000, "Корпус говора деревень Шетнево и Макеево",'предлог_из'!AD2:AD1000, "a",'предлог_из'!AB2:AB1000, 1)</f>
        <v>0</v>
      </c>
      <c r="E66" s="47">
        <f t="shared" si="15"/>
        <v>0</v>
      </c>
      <c r="G66" s="35" t="s">
        <v>3967</v>
      </c>
      <c r="H66" s="57">
        <v>0.0</v>
      </c>
      <c r="I66" s="57">
        <v>0.0</v>
      </c>
      <c r="J66" s="57">
        <v>0.0</v>
      </c>
    </row>
    <row r="67">
      <c r="A67" s="52" t="s">
        <v>21</v>
      </c>
      <c r="B67" s="47">
        <f>COUNTIFS('предлог_из'!A2:A1000, "Корпус говора деревень Шетнево и Макеево",'предлог_из'!AD2:AD1000, "s",'предлог_из'!V2:V1000, 1)</f>
        <v>0</v>
      </c>
      <c r="C67" s="47">
        <f>COUNTIFS('предлог_из'!A2:A1000, "Корпус говора деревень Шетнево и Макеево",'предлог_из'!AD2:AD1000, "o",'предлог_из'!V2:V1000, 1)</f>
        <v>0</v>
      </c>
      <c r="D67" s="47">
        <f>COUNTIFS('предлог_из'!A2:A1000, "Корпус говора деревень Шетнево и Макеево",'предлог_из'!AD2:AD1000, "a",'предлог_из'!V2:V1000, 1)</f>
        <v>0</v>
      </c>
      <c r="E67" s="47">
        <f t="shared" si="15"/>
        <v>0</v>
      </c>
      <c r="G67" s="52" t="s">
        <v>21</v>
      </c>
      <c r="H67" s="57">
        <v>0.0</v>
      </c>
      <c r="I67" s="57">
        <v>0.0</v>
      </c>
      <c r="J67" s="57">
        <v>0.0</v>
      </c>
    </row>
    <row r="68">
      <c r="A68" s="35" t="s">
        <v>22</v>
      </c>
      <c r="B68" s="47">
        <f>COUNTIFS('предлог_из'!A2:A1000, "Корпус говора деревень Шетнево и Макеево",'предлог_из'!AD2:AD1000, "s",'предлог_из'!W2:W1000, 1)</f>
        <v>0</v>
      </c>
      <c r="C68" s="47">
        <f>COUNTIFS('предлог_из'!A2:A1000, "Корпус говора деревень Шетнево и Макеево",'предлог_из'!AD2:AD1000, "o",'предлог_из'!W2:W1000, 1)</f>
        <v>0</v>
      </c>
      <c r="D68" s="47">
        <f>COUNTIFS('предлог_из'!A2:A1000, "Корпус говора деревень Шетнево и Макеево",'предлог_из'!AD2:AD1000, "a",'предлог_из'!W2:W1000, 1)</f>
        <v>0</v>
      </c>
      <c r="E68" s="47">
        <f t="shared" si="15"/>
        <v>0</v>
      </c>
      <c r="G68" s="35" t="s">
        <v>22</v>
      </c>
      <c r="H68" s="57">
        <v>0.0</v>
      </c>
      <c r="I68" s="57">
        <v>0.0</v>
      </c>
      <c r="J68" s="57">
        <v>0.0</v>
      </c>
    </row>
    <row r="69">
      <c r="A69" s="35" t="s">
        <v>3931</v>
      </c>
      <c r="B69" s="47">
        <f t="shared" ref="B69:D69" si="20">SUM(B55:B68)</f>
        <v>9</v>
      </c>
      <c r="C69" s="47">
        <f t="shared" si="20"/>
        <v>4</v>
      </c>
      <c r="D69" s="47">
        <f t="shared" si="20"/>
        <v>9</v>
      </c>
      <c r="E69" s="47">
        <f>SUM(E57:E68)</f>
        <v>22</v>
      </c>
      <c r="G69" s="35" t="s">
        <v>3931</v>
      </c>
      <c r="H69" s="46">
        <f>B69/E69</f>
        <v>0.4090909091</v>
      </c>
      <c r="I69" s="46">
        <f>C69/E69</f>
        <v>0.1818181818</v>
      </c>
      <c r="J69" s="46">
        <f>D69/E69</f>
        <v>0.4090909091</v>
      </c>
    </row>
  </sheetData>
  <mergeCells count="12">
    <mergeCell ref="G31:J31"/>
    <mergeCell ref="A38:E38"/>
    <mergeCell ref="G38:J38"/>
    <mergeCell ref="A55:E55"/>
    <mergeCell ref="G55:J55"/>
    <mergeCell ref="A1:C1"/>
    <mergeCell ref="E1:I1"/>
    <mergeCell ref="A7:B7"/>
    <mergeCell ref="A13:B13"/>
    <mergeCell ref="A18:B18"/>
    <mergeCell ref="E18:I18"/>
    <mergeCell ref="G26:J2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18.88"/>
    <col customWidth="1" min="3" max="3" width="23.0"/>
    <col customWidth="1" min="5" max="5" width="23.88"/>
    <col customWidth="1" min="6" max="6" width="23.38"/>
    <col customWidth="1" min="7" max="7" width="26.63"/>
    <col customWidth="1" min="8" max="8" width="25.25"/>
    <col customWidth="1" min="9" max="9" width="27.63"/>
  </cols>
  <sheetData>
    <row r="1">
      <c r="A1" s="16" t="s">
        <v>4035</v>
      </c>
      <c r="E1" s="16" t="s">
        <v>4036</v>
      </c>
    </row>
    <row r="2">
      <c r="A2" s="35" t="s">
        <v>4037</v>
      </c>
      <c r="B2" s="35" t="s">
        <v>4038</v>
      </c>
      <c r="C2" s="35" t="s">
        <v>4039</v>
      </c>
      <c r="E2" s="35" t="s">
        <v>3954</v>
      </c>
      <c r="F2" s="35" t="s">
        <v>3955</v>
      </c>
      <c r="G2" s="35" t="s">
        <v>3956</v>
      </c>
      <c r="H2" s="35" t="s">
        <v>3957</v>
      </c>
      <c r="I2" s="36" t="s">
        <v>3958</v>
      </c>
    </row>
    <row r="3">
      <c r="A3" s="35" t="s">
        <v>35</v>
      </c>
      <c r="B3" s="15">
        <f>'статистика'!B5</f>
        <v>120</v>
      </c>
      <c r="C3" s="28">
        <f>B3/'статистика'!D6</f>
        <v>0.2424242424</v>
      </c>
      <c r="E3" s="35" t="s">
        <v>3959</v>
      </c>
      <c r="F3" s="15">
        <f>COUNTIFS('предлог_с'!A2:A1000, "Корпус Опочецких говоров",'предлог_с'!Q2:Q1000, 1)</f>
        <v>54</v>
      </c>
      <c r="G3" s="28">
        <f t="shared" ref="G3:G15" si="1">F3/$F$15</f>
        <v>0.45</v>
      </c>
      <c r="H3" s="15">
        <f>COUNTIFS('предлог_из'!A2:A1000, "Корпус Опочецких говоров",'предлог_из'!Q2:Q1000, 1)</f>
        <v>4</v>
      </c>
      <c r="I3" s="28">
        <f t="shared" ref="I3:I15" si="2">H3/$H$15</f>
        <v>0.3333333333</v>
      </c>
    </row>
    <row r="4">
      <c r="A4" s="35" t="s">
        <v>1110</v>
      </c>
      <c r="B4" s="15">
        <f>'статистика'!C5</f>
        <v>12</v>
      </c>
      <c r="C4" s="28">
        <f>B4/'статистика'!D6</f>
        <v>0.02424242424</v>
      </c>
      <c r="E4" s="35" t="s">
        <v>3960</v>
      </c>
      <c r="F4" s="15">
        <f>COUNTIFS('предлог_с'!A2:A1000, "Корпус Опочецких говоров",'предлог_с'!R2:R1000, 1)</f>
        <v>17</v>
      </c>
      <c r="G4" s="28">
        <f t="shared" si="1"/>
        <v>0.1416666667</v>
      </c>
      <c r="H4" s="15">
        <f>COUNTIFS('предлог_из'!A2:A1000, "Корпус Опочецких говоров",'предлог_из'!R2:R1000, 1)</f>
        <v>0</v>
      </c>
      <c r="I4" s="28">
        <f t="shared" si="2"/>
        <v>0</v>
      </c>
    </row>
    <row r="5">
      <c r="A5" s="35" t="s">
        <v>3931</v>
      </c>
      <c r="B5" s="15">
        <f t="shared" ref="B5:C5" si="3">SUM(B3:B4)</f>
        <v>132</v>
      </c>
      <c r="C5" s="28">
        <f t="shared" si="3"/>
        <v>0.2666666667</v>
      </c>
      <c r="E5" s="35" t="s">
        <v>18</v>
      </c>
      <c r="F5" s="15">
        <f>COUNTIFS('предлог_с'!A2:A1000, "Корпус Опочецких говоров",'предлог_с'!S2:S1000, 1)</f>
        <v>4</v>
      </c>
      <c r="G5" s="28">
        <f t="shared" si="1"/>
        <v>0.03333333333</v>
      </c>
      <c r="H5" s="15">
        <f>COUNTIFS('предлог_из'!A2:A1000, "Корпус Опочецких говоров",'предлог_из'!S2:S1000, 1)</f>
        <v>0</v>
      </c>
      <c r="I5" s="28">
        <f t="shared" si="2"/>
        <v>0</v>
      </c>
    </row>
    <row r="6">
      <c r="E6" s="35" t="s">
        <v>3962</v>
      </c>
      <c r="F6" s="15">
        <f>COUNTIFS('предлог_с'!A2:A1000, "Корпус Опочецких говоров",'предлог_с'!T2:T1000, 1)</f>
        <v>4</v>
      </c>
      <c r="G6" s="28">
        <f t="shared" si="1"/>
        <v>0.03333333333</v>
      </c>
      <c r="H6" s="15">
        <f>COUNTIFS('предлог_из'!A2:A1000, "Корпус Опочецких говоров",'предлог_из'!T2:T1000, 1)</f>
        <v>0</v>
      </c>
      <c r="I6" s="28">
        <f t="shared" si="2"/>
        <v>0</v>
      </c>
    </row>
    <row r="7">
      <c r="A7" s="16" t="s">
        <v>4040</v>
      </c>
      <c r="E7" s="35" t="s">
        <v>20</v>
      </c>
      <c r="F7" s="15">
        <f>COUNTIFS('предлог_с'!A2:A1000, "Корпус Опочецких говоров",'предлог_с'!U2:U1000, 1)</f>
        <v>8</v>
      </c>
      <c r="G7" s="28">
        <f t="shared" si="1"/>
        <v>0.06666666667</v>
      </c>
      <c r="H7" s="15">
        <f>COUNTIFS('предлог_из'!A2:A1000, "Корпус Опочецких говоров",'предлог_из'!U2:U1000, 1)</f>
        <v>4</v>
      </c>
      <c r="I7" s="28">
        <f t="shared" si="2"/>
        <v>0.3333333333</v>
      </c>
    </row>
    <row r="8">
      <c r="A8" s="35" t="s">
        <v>3951</v>
      </c>
      <c r="B8" s="35" t="s">
        <v>3952</v>
      </c>
      <c r="E8" s="35" t="s">
        <v>3964</v>
      </c>
      <c r="F8" s="15">
        <f>COUNTIFS('предлог_с'!A2:A1000, "Корпус Опочецких говоров",'предлог_с'!X2:X1000, 1)</f>
        <v>11</v>
      </c>
      <c r="G8" s="28">
        <f t="shared" si="1"/>
        <v>0.09166666667</v>
      </c>
      <c r="H8" s="15">
        <f>COUNTIFS('предлог_из'!A2:A1000, "Корпус Опочецких говоров",'предлог_из'!X2:X1000, 1)</f>
        <v>1</v>
      </c>
      <c r="I8" s="28">
        <f t="shared" si="2"/>
        <v>0.08333333333</v>
      </c>
    </row>
    <row r="9">
      <c r="A9" s="28">
        <f>'статистика'!B13</f>
        <v>0.9090909091</v>
      </c>
      <c r="B9" s="28">
        <f>'статистика'!C13</f>
        <v>0.09090909091</v>
      </c>
      <c r="E9" s="35" t="s">
        <v>24</v>
      </c>
      <c r="F9" s="15">
        <f>COUNTIFS('предлог_с'!A2:A1000, "Корпус Опочецких говоров",'предлог_с'!Y2:Y1000, 1)</f>
        <v>9</v>
      </c>
      <c r="G9" s="28">
        <f t="shared" si="1"/>
        <v>0.075</v>
      </c>
      <c r="H9" s="15">
        <f>COUNTIFS('предлог_из'!A2:A1000, "Корпус Опочецких говоров",'предлог_из'!Y2:Y1000, 1)</f>
        <v>2</v>
      </c>
      <c r="I9" s="28">
        <f t="shared" si="2"/>
        <v>0.1666666667</v>
      </c>
    </row>
    <row r="10">
      <c r="E10" s="35" t="s">
        <v>3966</v>
      </c>
      <c r="F10" s="15">
        <f>COUNTIFS('предлог_с'!A2:A1000, "Корпус Опочецких говоров",'предлог_с'!Z2:Z1000, 1)</f>
        <v>6</v>
      </c>
      <c r="G10" s="28">
        <f t="shared" si="1"/>
        <v>0.05</v>
      </c>
      <c r="H10" s="15">
        <f>COUNTIFS('предлог_из'!A2:A1000, "Корпус Опочецких говоров",'предлог_из'!Z2:Z1000, 1)</f>
        <v>0</v>
      </c>
      <c r="I10" s="28">
        <f t="shared" si="2"/>
        <v>0</v>
      </c>
    </row>
    <row r="11">
      <c r="E11" s="35" t="s">
        <v>26</v>
      </c>
      <c r="F11" s="15">
        <f>COUNTIFS('предлог_с'!A2:A1000, "Корпус Опочецких говоров",'предлог_с'!AA2:AA1000, 1)</f>
        <v>3</v>
      </c>
      <c r="G11" s="28">
        <f t="shared" si="1"/>
        <v>0.025</v>
      </c>
      <c r="H11" s="15">
        <f>COUNTIFS('предлог_из'!A2:A1000, "Корпус Опочецких говоров",'предлог_из'!AA2:AA1000, 1)</f>
        <v>1</v>
      </c>
      <c r="I11" s="28">
        <f t="shared" si="2"/>
        <v>0.08333333333</v>
      </c>
    </row>
    <row r="12">
      <c r="E12" s="35" t="s">
        <v>3967</v>
      </c>
      <c r="F12" s="15">
        <f>COUNTIFS('предлог_с'!A2:A1000, "Корпус Опочецких говоров",'предлог_с'!AB2:AB1000, 1)</f>
        <v>0</v>
      </c>
      <c r="G12" s="28">
        <f t="shared" si="1"/>
        <v>0</v>
      </c>
      <c r="H12" s="15">
        <f>COUNTIFS('предлог_из'!A2:A1000, "Корпус Опочецких говоров",'предлог_из'!AB2:AB1000, 1)</f>
        <v>0</v>
      </c>
      <c r="I12" s="28">
        <f t="shared" si="2"/>
        <v>0</v>
      </c>
    </row>
    <row r="13">
      <c r="A13" s="16" t="s">
        <v>28</v>
      </c>
      <c r="E13" s="52" t="s">
        <v>21</v>
      </c>
      <c r="F13" s="15">
        <f>COUNTIFS('предлог_с'!A2:A1000, "Корпус Опочецких говоров",'предлог_с'!V2:V1000, 1)</f>
        <v>0</v>
      </c>
      <c r="G13" s="28">
        <f t="shared" si="1"/>
        <v>0</v>
      </c>
      <c r="H13" s="15">
        <f>COUNTIFS('предлог_из'!A2:A1000, "Корпус Опочецких говоров",'предлог_из'!V2:V1000, 1)</f>
        <v>0</v>
      </c>
      <c r="I13" s="28">
        <f t="shared" si="2"/>
        <v>0</v>
      </c>
    </row>
    <row r="14">
      <c r="A14" s="35" t="s">
        <v>3969</v>
      </c>
      <c r="B14" s="47">
        <f>COUNTIFS('предлог_из'!A2:A1000, "Корпус Опочецких говоров",'предлог_из'!AC2:AC1000, 1)</f>
        <v>0</v>
      </c>
      <c r="C14" s="46">
        <f t="shared" ref="C14:C16" si="4">B14/$B$16</f>
        <v>0</v>
      </c>
      <c r="E14" s="35" t="s">
        <v>22</v>
      </c>
      <c r="F14" s="15">
        <f>COUNTIFS('предлог_с'!A2:A1000, "Корпус Опочецких говоров",'предлог_с'!W2:W1000, 1)</f>
        <v>4</v>
      </c>
      <c r="G14" s="28">
        <f t="shared" si="1"/>
        <v>0.03333333333</v>
      </c>
      <c r="H14" s="15">
        <f>COUNTIFS('предлог_из'!A2:A1000, "Корпус Опочецких говоров",'предлог_из'!W2:W1000, 1)</f>
        <v>0</v>
      </c>
      <c r="I14" s="28">
        <f t="shared" si="2"/>
        <v>0</v>
      </c>
    </row>
    <row r="15">
      <c r="A15" s="35" t="s">
        <v>3971</v>
      </c>
      <c r="B15" s="47">
        <f>COUNTIFS('предлог_из'!A2:A1000, "Корпус Опочецких говоров",'предлог_из'!AC2:AC1000, 0)</f>
        <v>12</v>
      </c>
      <c r="C15" s="46">
        <f t="shared" si="4"/>
        <v>1</v>
      </c>
      <c r="E15" s="35" t="s">
        <v>3931</v>
      </c>
      <c r="F15" s="15">
        <f>SUM(F1:F14)</f>
        <v>120</v>
      </c>
      <c r="G15" s="28">
        <f t="shared" si="1"/>
        <v>1</v>
      </c>
      <c r="H15" s="15">
        <f>SUM(H1:H14)</f>
        <v>12</v>
      </c>
      <c r="I15" s="28">
        <f t="shared" si="2"/>
        <v>1</v>
      </c>
    </row>
    <row r="16">
      <c r="A16" s="35" t="s">
        <v>3973</v>
      </c>
      <c r="B16" s="47">
        <f>SUM(B14:B15)</f>
        <v>12</v>
      </c>
      <c r="C16" s="46">
        <f t="shared" si="4"/>
        <v>1</v>
      </c>
    </row>
    <row r="18">
      <c r="A18" s="16" t="s">
        <v>3976</v>
      </c>
      <c r="E18" s="16" t="s">
        <v>4041</v>
      </c>
    </row>
    <row r="19">
      <c r="A19" s="35" t="s">
        <v>3959</v>
      </c>
      <c r="B19" s="47">
        <f>COUNTIFS('предлог_из'!A2:A1000, "Корпус Опочецких говоров",'предлог_из'!AC2:AC1000, 1, 'предлог_из'!Q2:Q1000, 1)</f>
        <v>0</v>
      </c>
      <c r="E19" s="35" t="s">
        <v>3970</v>
      </c>
      <c r="F19" s="35" t="s">
        <v>3955</v>
      </c>
      <c r="G19" s="35" t="s">
        <v>3956</v>
      </c>
      <c r="H19" s="35" t="s">
        <v>3957</v>
      </c>
      <c r="I19" s="35" t="s">
        <v>3958</v>
      </c>
    </row>
    <row r="20">
      <c r="A20" s="35" t="s">
        <v>24</v>
      </c>
      <c r="B20" s="47">
        <f>COUNTIFS('предлог_из'!A2:A1000, "Корпус Опочецких говоров",'предлог_из'!AC2:AC1000, 1, 'предлог_из'!Y2:Y1000, 1)</f>
        <v>0</v>
      </c>
      <c r="E20" s="35" t="s">
        <v>3972</v>
      </c>
      <c r="F20" s="15">
        <f>COUNTIFS('предлог_с'!A2:A1000, "Корпус Опочецких говоров",'предлог_с'!AD2:AD1000, "s")</f>
        <v>73</v>
      </c>
      <c r="G20" s="28">
        <f t="shared" ref="G20:G23" si="5">F20/$F$23</f>
        <v>0.6083333333</v>
      </c>
      <c r="H20" s="15">
        <f>COUNTIFS('предлог_из'!A2:A1000, "Корпус Опочецких говоров",'предлог_из'!AD2:AD1000, "s")</f>
        <v>7</v>
      </c>
      <c r="I20" s="28">
        <f t="shared" ref="I20:I23" si="6">H20/$H$23</f>
        <v>0.5833333333</v>
      </c>
    </row>
    <row r="21">
      <c r="E21" s="35" t="s">
        <v>3974</v>
      </c>
      <c r="F21" s="15">
        <f>COUNTIFS('предлог_с'!A2:A1000, "Корпус Опочецких говоров",'предлог_с'!AD2:AD1000, "o")</f>
        <v>9</v>
      </c>
      <c r="G21" s="28">
        <f t="shared" si="5"/>
        <v>0.075</v>
      </c>
      <c r="H21" s="15">
        <f>COUNTIFS('предлог_из'!A2:A1000, "Корпус Опочецких говоров",'предлог_из'!AD2:AD1000, "o")</f>
        <v>3</v>
      </c>
      <c r="I21" s="28">
        <f t="shared" si="6"/>
        <v>0.25</v>
      </c>
    </row>
    <row r="22">
      <c r="E22" s="35" t="s">
        <v>3975</v>
      </c>
      <c r="F22" s="15">
        <f>COUNTIFS('предлог_с'!A2:A1000, "Корпус Опочецких говоров",'предлог_с'!AD2:AD1000, "a")</f>
        <v>38</v>
      </c>
      <c r="G22" s="28">
        <f t="shared" si="5"/>
        <v>0.3166666667</v>
      </c>
      <c r="H22" s="15">
        <f>COUNTIFS('предлог_из'!A2:A1000, "Корпус Опочецких говоров",'предлог_из'!AD2:AD1000, "a")</f>
        <v>2</v>
      </c>
      <c r="I22" s="28">
        <f t="shared" si="6"/>
        <v>0.1666666667</v>
      </c>
    </row>
    <row r="23">
      <c r="E23" s="35" t="s">
        <v>3931</v>
      </c>
      <c r="F23" s="15">
        <f>SUM(F19:F22)</f>
        <v>120</v>
      </c>
      <c r="G23" s="28">
        <f t="shared" si="5"/>
        <v>1</v>
      </c>
      <c r="H23" s="15">
        <f>SUM(H20:H22)</f>
        <v>12</v>
      </c>
      <c r="I23" s="28">
        <f t="shared" si="6"/>
        <v>1</v>
      </c>
    </row>
    <row r="26">
      <c r="A26" s="2" t="s">
        <v>3977</v>
      </c>
      <c r="B26" s="2"/>
      <c r="C26" s="2"/>
      <c r="D26" s="2"/>
      <c r="E26" s="2"/>
      <c r="G26" s="16" t="s">
        <v>3978</v>
      </c>
    </row>
    <row r="27">
      <c r="A27" s="35"/>
      <c r="B27" s="35" t="s">
        <v>3855</v>
      </c>
      <c r="C27" s="35" t="s">
        <v>3979</v>
      </c>
      <c r="D27" s="35" t="s">
        <v>3980</v>
      </c>
      <c r="E27" s="35" t="s">
        <v>3981</v>
      </c>
      <c r="G27" s="35"/>
      <c r="H27" s="35" t="s">
        <v>3982</v>
      </c>
      <c r="I27" s="35" t="s">
        <v>3983</v>
      </c>
      <c r="J27" s="35" t="s">
        <v>3984</v>
      </c>
    </row>
    <row r="28">
      <c r="A28" s="35" t="s">
        <v>3985</v>
      </c>
      <c r="B28" s="47">
        <f>COUNTIFS('предлог_с'!A2:A1000,"Корпус Опочецких говоров",'предлог_с'!AF2:AF1000, "y")</f>
        <v>0</v>
      </c>
      <c r="C28" s="46">
        <f t="shared" ref="C28:C30" si="7">B28/$B$30</f>
        <v>0</v>
      </c>
      <c r="D28" s="47">
        <f>COUNTIFS('предлог_из'!A2:A1000, "Корпус Опочецких говоров",'предлог_из'!AF2:AF1000, "y")</f>
        <v>12</v>
      </c>
      <c r="E28" s="46">
        <f t="shared" ref="E28:E30" si="8">D28/$D$30</f>
        <v>1</v>
      </c>
      <c r="G28" s="35" t="s">
        <v>3986</v>
      </c>
      <c r="H28" s="47">
        <f>COUNTIFS('предлог_с'!A2:A1000, "Корпус Опочецких говоров",'предлог_с'!AD2:AD1000, "s",'предлог_с'!AE2:AE1000, "n")</f>
        <v>0</v>
      </c>
      <c r="I28" s="47">
        <f>COUNTIFS('предлог_с'!A2:A1000, "Корпус Опочецких говоров",'предлог_с'!AD2:AD1000, "o",'предлог_с'!AE2:AE1000, "n")</f>
        <v>0</v>
      </c>
      <c r="J28" s="47">
        <f>COUNTIFS('предлог_с'!A2:A1000, "Корпус Опочецких говоров",'предлог_с'!AD2:AD1000, "a",'предлог_с'!AE2:AE1000, "n")</f>
        <v>38</v>
      </c>
    </row>
    <row r="29">
      <c r="A29" s="35" t="s">
        <v>3987</v>
      </c>
      <c r="B29" s="47">
        <f>COUNTIFS('предлог_с'!A2:A1000,"Корпус Опочецких говоров",'предлог_с'!AF2:AF1000, "n")</f>
        <v>120</v>
      </c>
      <c r="C29" s="46">
        <f t="shared" si="7"/>
        <v>1</v>
      </c>
      <c r="D29" s="47">
        <f>COUNTIFS('предлог_из'!A2:A1000, "Корпус Опочецких говоров",'предлог_из'!AF2:AF1000, "n")</f>
        <v>0</v>
      </c>
      <c r="E29" s="46">
        <f t="shared" si="8"/>
        <v>0</v>
      </c>
      <c r="G29" s="35" t="s">
        <v>3988</v>
      </c>
      <c r="H29" s="47">
        <f>COUNTIFS('предлог_с'!A2:A1000, "Корпус Опочецких говоров",'предлог_с'!AD2:AD1000, "s",'предлог_с'!AE2:AE1000, "v")</f>
        <v>73</v>
      </c>
      <c r="I29" s="47">
        <f>COUNTIFS('предлог_с'!A2:A1000, "Корпус Опочецких говоров",'предлог_с'!AD2:AD1000, "o",'предлог_с'!AE2:AE1000, "v")</f>
        <v>9</v>
      </c>
      <c r="J29" s="47">
        <f>COUNTIFS('предлог_с'!A2:A1000, "Корпус Опочецких говоров",'предлог_с'!AD2:AD1000, "a",'предлог_с'!AE2:AE1000, "v")</f>
        <v>0</v>
      </c>
    </row>
    <row r="30">
      <c r="A30" s="35" t="s">
        <v>3931</v>
      </c>
      <c r="B30" s="47">
        <f>SUM(B28:B29)</f>
        <v>120</v>
      </c>
      <c r="C30" s="46">
        <f t="shared" si="7"/>
        <v>1</v>
      </c>
      <c r="D30" s="47">
        <f>SUM(D28:D29)</f>
        <v>12</v>
      </c>
      <c r="E30" s="46">
        <f t="shared" si="8"/>
        <v>1</v>
      </c>
      <c r="G30" s="2"/>
      <c r="H30" s="2"/>
      <c r="I30" s="2"/>
      <c r="J30" s="2"/>
    </row>
    <row r="31">
      <c r="G31" s="16" t="s">
        <v>3989</v>
      </c>
    </row>
    <row r="32">
      <c r="G32" s="35"/>
      <c r="H32" s="35" t="s">
        <v>3982</v>
      </c>
      <c r="I32" s="35" t="s">
        <v>3983</v>
      </c>
      <c r="J32" s="35" t="s">
        <v>3984</v>
      </c>
    </row>
    <row r="33">
      <c r="G33" s="35" t="s">
        <v>3986</v>
      </c>
      <c r="H33" s="47">
        <f>COUNTIFS('предлог_из'!A2:A1000, "Корпус Опочецких говоров",'предлог_из'!AD2:AD1000, "s",'предлог_из'!AE2:AE1000, "n")</f>
        <v>0</v>
      </c>
      <c r="I33" s="47">
        <f>COUNTIFS('предлог_из'!A2:A1000, "Корпус Опочецких говоров",'предлог_из'!AD2:AD1000, "o",'предлог_из'!AE2:AE1000, "n")</f>
        <v>0</v>
      </c>
      <c r="J33" s="47">
        <f>COUNTIFS('предлог_из'!A2:A1000, "Корпус Опочецких говоров",'предлог_из'!AD2:AD1000, "a",'предлог_из'!AE2:AE1000, "n")</f>
        <v>2</v>
      </c>
    </row>
    <row r="34">
      <c r="G34" s="35" t="s">
        <v>3988</v>
      </c>
      <c r="H34" s="47">
        <f>COUNTIFS('предлог_из'!A2:A1000, "Корпус Опочецких говоров",'предлог_из'!AD2:AD1000, "s",'предлог_из'!AE2:AE1000, "v")</f>
        <v>7</v>
      </c>
      <c r="I34" s="47">
        <f>COUNTIFS('предлог_из'!A2:A1000, "Корпус Опочецких говоров",'предлог_из'!AD2:AD1000, "o",'предлог_из'!AE2:AE1000, "v")</f>
        <v>3</v>
      </c>
      <c r="J34" s="47">
        <f>COUNTIFS('предлог_из'!A2:A1000, "Корпус Опочецких говоров",'предлог_из'!AD2:AD1000, "a",'предлог_из'!AE2:AE1000, "v")</f>
        <v>0</v>
      </c>
    </row>
    <row r="38">
      <c r="A38" s="16" t="s">
        <v>3990</v>
      </c>
      <c r="F38" s="2"/>
      <c r="G38" s="16" t="s">
        <v>3990</v>
      </c>
    </row>
    <row r="39">
      <c r="A39" s="35"/>
      <c r="B39" s="35" t="s">
        <v>3972</v>
      </c>
      <c r="C39" s="35" t="s">
        <v>3983</v>
      </c>
      <c r="D39" s="35" t="s">
        <v>3984</v>
      </c>
      <c r="E39" s="35" t="s">
        <v>3931</v>
      </c>
      <c r="F39" s="2"/>
      <c r="G39" s="35"/>
      <c r="H39" s="35" t="s">
        <v>3972</v>
      </c>
      <c r="I39" s="35" t="s">
        <v>3983</v>
      </c>
      <c r="J39" s="44" t="s">
        <v>3984</v>
      </c>
    </row>
    <row r="40">
      <c r="A40" s="35" t="s">
        <v>3959</v>
      </c>
      <c r="B40" s="47">
        <f>COUNTIFS('предлог_с'!A2:A1000, "Корпус Опочецких говоров",'предлог_с'!AD2:AD1000, "s",'предлог_с'!Q2:Q1000, 1)</f>
        <v>33</v>
      </c>
      <c r="C40" s="47">
        <f>COUNTIFS('предлог_с'!A2:A1000, "Корпус Опочецких говоров",'предлог_с'!AD2:AD1000, "o",'предлог_с'!Q2:Q1000, 1)</f>
        <v>0</v>
      </c>
      <c r="D40" s="47">
        <f>COUNTIFS('предлог_с'!A2:A1000, "Корпус Опочецких говоров",'предлог_с'!AD2:AD1000, "a",'предлог_с'!Q2:Q1000, 1)</f>
        <v>21</v>
      </c>
      <c r="E40" s="47">
        <f t="shared" ref="E40:E51" si="9">SUM(B40:D40)</f>
        <v>54</v>
      </c>
      <c r="F40" s="2"/>
      <c r="G40" s="35" t="s">
        <v>3959</v>
      </c>
      <c r="H40" s="46">
        <f t="shared" ref="H40:H48" si="10">B40/E40</f>
        <v>0.6111111111</v>
      </c>
      <c r="I40" s="46">
        <f t="shared" ref="I40:I48" si="11">C40/E40</f>
        <v>0</v>
      </c>
      <c r="J40" s="46">
        <f t="shared" ref="J40:J48" si="12">D40/E40</f>
        <v>0.3888888889</v>
      </c>
    </row>
    <row r="41">
      <c r="A41" s="35" t="s">
        <v>3960</v>
      </c>
      <c r="B41" s="47">
        <f>COUNTIFS('предлог_с'!A2:A1000, "Корпус Опочецких говоров",'предлог_с'!AD2:AD1000, "s",'предлог_с'!R2:R1000, 1)</f>
        <v>11</v>
      </c>
      <c r="C41" s="47">
        <f>COUNTIFS('предлог_с'!A2:A1000, "Корпус Опочецких говоров",'предлог_с'!AD2:AD1000, "o",'предлог_с'!R2:R1000, 1)</f>
        <v>0</v>
      </c>
      <c r="D41" s="47">
        <f>COUNTIFS('предлог_с'!A2:A1000, "Корпус Опочецких говоров",'предлог_с'!AD2:AD1000, "a",'предлог_с'!R2:R1000, 1)</f>
        <v>6</v>
      </c>
      <c r="E41" s="47">
        <f t="shared" si="9"/>
        <v>17</v>
      </c>
      <c r="F41" s="2"/>
      <c r="G41" s="35" t="s">
        <v>3960</v>
      </c>
      <c r="H41" s="46">
        <f t="shared" si="10"/>
        <v>0.6470588235</v>
      </c>
      <c r="I41" s="46">
        <f t="shared" si="11"/>
        <v>0</v>
      </c>
      <c r="J41" s="46">
        <f t="shared" si="12"/>
        <v>0.3529411765</v>
      </c>
    </row>
    <row r="42">
      <c r="A42" s="35" t="s">
        <v>18</v>
      </c>
      <c r="B42" s="47">
        <f>COUNTIFS('предлог_с'!A2:A1000, "Корпус Опочецких говоров",'предлог_с'!AD2:AD1000, "s",'предлог_с'!S2:S1000, 1)</f>
        <v>4</v>
      </c>
      <c r="C42" s="47">
        <f>COUNTIFS('предлог_с'!A2:A1000, "Корпус Опочецких говоров",'предлог_с'!AD2:AD1000, "o",'предлог_с'!S2:S1000, 1)</f>
        <v>0</v>
      </c>
      <c r="D42" s="47">
        <f>COUNTIFS('предлог_с'!A2:A1000, "Корпус Опочецких говоров",'предлог_с'!AD2:AD1000, "a",'предлог_с'!S2:S1000, 1)</f>
        <v>0</v>
      </c>
      <c r="E42" s="47">
        <f t="shared" si="9"/>
        <v>4</v>
      </c>
      <c r="F42" s="2"/>
      <c r="G42" s="35" t="s">
        <v>18</v>
      </c>
      <c r="H42" s="46">
        <f t="shared" si="10"/>
        <v>1</v>
      </c>
      <c r="I42" s="46">
        <f t="shared" si="11"/>
        <v>0</v>
      </c>
      <c r="J42" s="46">
        <f t="shared" si="12"/>
        <v>0</v>
      </c>
    </row>
    <row r="43">
      <c r="A43" s="35" t="s">
        <v>3962</v>
      </c>
      <c r="B43" s="47">
        <f>COUNTIFS('предлог_с'!A2:A1000, "Корпус Опочецких говоров",'предлог_с'!AD2:AD1000, "s",'предлог_с'!T2:T1000, 1)</f>
        <v>4</v>
      </c>
      <c r="C43" s="47">
        <f>COUNTIFS('предлог_с'!A2:A1000, "Корпус Опочецких говоров",'предлог_с'!AD2:AD1000, "o",'предлог_с'!T2:T1000, 1)</f>
        <v>0</v>
      </c>
      <c r="D43" s="47">
        <f>COUNTIFS('предлог_с'!A2:A1000, "Корпус Опочецких говоров",'предлог_с'!AD2:AD1000, "a",'предлог_с'!T2:T1000, 1)</f>
        <v>0</v>
      </c>
      <c r="E43" s="47">
        <f t="shared" si="9"/>
        <v>4</v>
      </c>
      <c r="F43" s="2"/>
      <c r="G43" s="35" t="s">
        <v>3962</v>
      </c>
      <c r="H43" s="46">
        <f t="shared" si="10"/>
        <v>1</v>
      </c>
      <c r="I43" s="46">
        <f t="shared" si="11"/>
        <v>0</v>
      </c>
      <c r="J43" s="46">
        <f t="shared" si="12"/>
        <v>0</v>
      </c>
    </row>
    <row r="44">
      <c r="A44" s="35" t="s">
        <v>20</v>
      </c>
      <c r="B44" s="47">
        <f>COUNTIFS('предлог_с'!A2:A1000, "Корпус Опочецких говоров",'предлог_с'!AD2:AD1000, "s",'предлог_с'!U2:U1000, 1)</f>
        <v>5</v>
      </c>
      <c r="C44" s="47">
        <f>COUNTIFS('предлог_с'!A2:A1000, "Корпус Опочецких говоров",'предлог_с'!AD2:AD1000, "o",'предлог_с'!U2:U1000, 1)</f>
        <v>0</v>
      </c>
      <c r="D44" s="47">
        <f>COUNTIFS('предлог_с'!A2:A1000, "Корпус Опочецких говоров",'предлог_с'!AD2:AD1000, "a",'предлог_с'!U2:U1000, 1)</f>
        <v>3</v>
      </c>
      <c r="E44" s="47">
        <f t="shared" si="9"/>
        <v>8</v>
      </c>
      <c r="F44" s="2"/>
      <c r="G44" s="35" t="s">
        <v>20</v>
      </c>
      <c r="H44" s="46">
        <f t="shared" si="10"/>
        <v>0.625</v>
      </c>
      <c r="I44" s="46">
        <f t="shared" si="11"/>
        <v>0</v>
      </c>
      <c r="J44" s="46">
        <f t="shared" si="12"/>
        <v>0.375</v>
      </c>
    </row>
    <row r="45">
      <c r="A45" s="35" t="s">
        <v>3964</v>
      </c>
      <c r="B45" s="47">
        <f>COUNTIFS('предлог_с'!A2:A1000, "Корпус Опочецких говоров",'предлог_с'!AD2:AD1000, "s",'предлог_с'!X2:X1000, 1)</f>
        <v>9</v>
      </c>
      <c r="C45" s="47">
        <f>COUNTIFS('предлог_с'!A2:A1000, "Корпус Опочецких говоров",'предлог_с'!AD2:AD1000, "o",'предлог_с'!X2:X1000, 1)</f>
        <v>0</v>
      </c>
      <c r="D45" s="47">
        <f>COUNTIFS('предлог_с'!A2:A1000, "Корпус Опочецких говоров",'предлог_с'!AD2:AD1000, "a",'предлог_с'!X2:X1000, 1)</f>
        <v>2</v>
      </c>
      <c r="E45" s="47">
        <f t="shared" si="9"/>
        <v>11</v>
      </c>
      <c r="F45" s="2"/>
      <c r="G45" s="35" t="s">
        <v>3964</v>
      </c>
      <c r="H45" s="46">
        <f t="shared" si="10"/>
        <v>0.8181818182</v>
      </c>
      <c r="I45" s="46">
        <f t="shared" si="11"/>
        <v>0</v>
      </c>
      <c r="J45" s="46">
        <f t="shared" si="12"/>
        <v>0.1818181818</v>
      </c>
    </row>
    <row r="46">
      <c r="A46" s="35" t="s">
        <v>24</v>
      </c>
      <c r="B46" s="47">
        <f>COUNTIFS('предлог_с'!A2:A1000, "Корпус Опочецких говоров",'предлог_с'!AD2:AD1000, "s",'предлог_с'!Y2:Y1000, 1)</f>
        <v>0</v>
      </c>
      <c r="C46" s="47">
        <f>COUNTIFS('предлог_с'!A2:A1000, "Корпус Опочецких говоров",'предлог_с'!AD2:AD1000, "o",'предлог_с'!Y2:Y1000, 1)</f>
        <v>8</v>
      </c>
      <c r="D46" s="47">
        <f>COUNTIFS('предлог_с'!A2:A1000, "Корпус Опочецких говоров",'предлог_с'!AD2:AD1000, "a",'предлог_с'!Y2:Y1000, 1)</f>
        <v>1</v>
      </c>
      <c r="E46" s="47">
        <f t="shared" si="9"/>
        <v>9</v>
      </c>
      <c r="F46" s="2"/>
      <c r="G46" s="35" t="s">
        <v>24</v>
      </c>
      <c r="H46" s="46">
        <f t="shared" si="10"/>
        <v>0</v>
      </c>
      <c r="I46" s="46">
        <f t="shared" si="11"/>
        <v>0.8888888889</v>
      </c>
      <c r="J46" s="46">
        <f t="shared" si="12"/>
        <v>0.1111111111</v>
      </c>
    </row>
    <row r="47">
      <c r="A47" s="35" t="s">
        <v>3966</v>
      </c>
      <c r="B47" s="47">
        <f>COUNTIFS('предлог_с'!A2:A1000, "Корпус Опочецких говоров",'предлог_с'!AD2:AD1000, "s",'предлог_с'!Z2:Z1000, 1)</f>
        <v>4</v>
      </c>
      <c r="C47" s="47">
        <f>COUNTIFS('предлог_с'!A2:A1000, "Корпус Опочецких говоров",'предлог_с'!AD2:AD1000, "o",'предлог_с'!Z2:Z1000, 1)</f>
        <v>0</v>
      </c>
      <c r="D47" s="47">
        <f>COUNTIFS('предлог_с'!A2:A1000, "Корпус Опочецких говоров",'предлог_с'!AD2:AD1000, "a",'предлог_с'!Z2:Z1000, 1)</f>
        <v>2</v>
      </c>
      <c r="E47" s="47">
        <f t="shared" si="9"/>
        <v>6</v>
      </c>
      <c r="F47" s="2"/>
      <c r="G47" s="35" t="s">
        <v>3966</v>
      </c>
      <c r="H47" s="46">
        <f t="shared" si="10"/>
        <v>0.6666666667</v>
      </c>
      <c r="I47" s="46">
        <f t="shared" si="11"/>
        <v>0</v>
      </c>
      <c r="J47" s="46">
        <f t="shared" si="12"/>
        <v>0.3333333333</v>
      </c>
    </row>
    <row r="48">
      <c r="A48" s="35" t="s">
        <v>26</v>
      </c>
      <c r="B48" s="47">
        <f>COUNTIFS('предлог_с'!A2:A1000, "Корпус Опочецких говоров",'предлог_с'!AD2:AD1000, "s",'предлог_с'!AA2:AA1000, 1)</f>
        <v>0</v>
      </c>
      <c r="C48" s="47">
        <f>COUNTIFS('предлог_с'!A2:A1000, "Корпус Опочецких говоров",'предлог_с'!AD2:AD1000, "o",'предлог_с'!AA2:AA1000, 1)</f>
        <v>0</v>
      </c>
      <c r="D48" s="47">
        <f>COUNTIFS('предлог_с'!A2:A1000, "Корпус Опочецких говоров",'предлог_с'!AD2:AD1000, "a",'предлог_с'!AA2:AA1000, 1)</f>
        <v>3</v>
      </c>
      <c r="E48" s="47">
        <f t="shared" si="9"/>
        <v>3</v>
      </c>
      <c r="F48" s="2"/>
      <c r="G48" s="35" t="s">
        <v>26</v>
      </c>
      <c r="H48" s="46">
        <f t="shared" si="10"/>
        <v>0</v>
      </c>
      <c r="I48" s="46">
        <f t="shared" si="11"/>
        <v>0</v>
      </c>
      <c r="J48" s="46">
        <f t="shared" si="12"/>
        <v>1</v>
      </c>
    </row>
    <row r="49">
      <c r="A49" s="35" t="s">
        <v>3967</v>
      </c>
      <c r="B49" s="47">
        <f>COUNTIFS('предлог_с'!A2:A1000, "Корпус Опочецких говоров",'предлог_с'!AD2:AD1000, "s",'предлог_с'!AB2:AB1000, 1)</f>
        <v>0</v>
      </c>
      <c r="C49" s="47">
        <f>COUNTIFS('предлог_с'!A2:A1000, "Корпус Опочецких говоров",'предлог_с'!AD2:AD1000, "o",'предлог_с'!AB2:AB1000, 1)</f>
        <v>0</v>
      </c>
      <c r="D49" s="47">
        <f>COUNTIFS('предлог_с'!A2:A1000, "Корпус Опочецких говоров",'предлог_с'!AD2:AD1000, "a",'предлог_с'!AB2:AB1000, 1)</f>
        <v>0</v>
      </c>
      <c r="E49" s="47">
        <f t="shared" si="9"/>
        <v>0</v>
      </c>
      <c r="F49" s="2"/>
      <c r="G49" s="35" t="s">
        <v>3967</v>
      </c>
      <c r="H49" s="57">
        <v>0.0</v>
      </c>
      <c r="I49" s="57">
        <v>0.0</v>
      </c>
      <c r="J49" s="57">
        <v>0.0</v>
      </c>
    </row>
    <row r="50">
      <c r="A50" s="52" t="s">
        <v>21</v>
      </c>
      <c r="B50" s="47">
        <f>COUNTIFS('предлог_с'!A2:A1000, "Корпус Опочецких говоров",'предлог_с'!AD2:AD1000, "s",'предлог_с'!V2:V1000, 1)</f>
        <v>0</v>
      </c>
      <c r="C50" s="47">
        <f>COUNTIFS('предлог_с'!A2:A1000, "Корпус Опочецких говоров",'предлог_с'!AD2:AD1000, "o",'предлог_с'!V2:V1000, 1)</f>
        <v>0</v>
      </c>
      <c r="D50" s="47">
        <f>COUNTIFS('предлог_с'!A2:A1000, "Корпус Опочецких говоров",'предлог_с'!AD2:AD1000, "a",'предлог_с'!V2:V1000, 1)</f>
        <v>0</v>
      </c>
      <c r="E50" s="47">
        <f t="shared" si="9"/>
        <v>0</v>
      </c>
      <c r="F50" s="2"/>
      <c r="G50" s="52" t="s">
        <v>21</v>
      </c>
      <c r="H50" s="57">
        <v>0.0</v>
      </c>
      <c r="I50" s="57">
        <v>0.0</v>
      </c>
      <c r="J50" s="57">
        <v>0.0</v>
      </c>
    </row>
    <row r="51">
      <c r="A51" s="35" t="s">
        <v>22</v>
      </c>
      <c r="B51" s="47">
        <f>COUNTIFS('предлог_с'!A2:A1000, "Корпус Опочецких говоров",'предлог_с'!AD2:AD1000, "s",'предлог_с'!W2:W1000, 1)</f>
        <v>3</v>
      </c>
      <c r="C51" s="47">
        <f>COUNTIFS('предлог_с'!A2:A1000, "Корпус Опочецких говоров",'предлог_с'!AD2:AD1000, "o",'предлог_с'!W2:W1000, 1)</f>
        <v>1</v>
      </c>
      <c r="D51" s="47">
        <f>COUNTIFS('предлог_с'!A2:A1000, "Корпус Опочецких говоров",'предлог_с'!AD2:AD1000, "a",'предлог_с'!W2:W1000, 1)</f>
        <v>0</v>
      </c>
      <c r="E51" s="47">
        <f t="shared" si="9"/>
        <v>4</v>
      </c>
      <c r="F51" s="2"/>
      <c r="G51" s="35" t="s">
        <v>22</v>
      </c>
      <c r="H51" s="46">
        <f t="shared" ref="H51:H52" si="14">B51/E51</f>
        <v>0.75</v>
      </c>
      <c r="I51" s="46">
        <f t="shared" ref="I51:I52" si="15">C51/E51</f>
        <v>0.25</v>
      </c>
      <c r="J51" s="46">
        <f t="shared" ref="J51:J52" si="16">D51/E51</f>
        <v>0</v>
      </c>
    </row>
    <row r="52">
      <c r="A52" s="35" t="s">
        <v>3931</v>
      </c>
      <c r="B52" s="47">
        <f t="shared" ref="B52:E52" si="13">SUM(B39:B51)</f>
        <v>73</v>
      </c>
      <c r="C52" s="47">
        <f t="shared" si="13"/>
        <v>9</v>
      </c>
      <c r="D52" s="47">
        <f t="shared" si="13"/>
        <v>38</v>
      </c>
      <c r="E52" s="47">
        <f t="shared" si="13"/>
        <v>120</v>
      </c>
      <c r="F52" s="2"/>
      <c r="G52" s="35" t="s">
        <v>3931</v>
      </c>
      <c r="H52" s="46">
        <f t="shared" si="14"/>
        <v>0.6083333333</v>
      </c>
      <c r="I52" s="46">
        <f t="shared" si="15"/>
        <v>0.075</v>
      </c>
      <c r="J52" s="46">
        <f t="shared" si="16"/>
        <v>0.3166666667</v>
      </c>
    </row>
    <row r="53">
      <c r="A53" s="2"/>
      <c r="B53" s="2"/>
      <c r="C53" s="2"/>
      <c r="D53" s="2"/>
      <c r="E53" s="2"/>
      <c r="F53" s="2"/>
      <c r="G53" s="2"/>
      <c r="H53" s="2"/>
      <c r="I53" s="2"/>
      <c r="J53" s="2"/>
    </row>
    <row r="54">
      <c r="A54" s="2"/>
      <c r="B54" s="2"/>
      <c r="C54" s="2"/>
      <c r="D54" s="2"/>
      <c r="E54" s="2"/>
      <c r="F54" s="2"/>
      <c r="G54" s="2"/>
      <c r="H54" s="2"/>
      <c r="I54" s="2"/>
      <c r="J54" s="2"/>
    </row>
    <row r="55">
      <c r="A55" s="16" t="s">
        <v>3991</v>
      </c>
      <c r="F55" s="2"/>
      <c r="G55" s="16" t="s">
        <v>3991</v>
      </c>
    </row>
    <row r="56">
      <c r="A56" s="35"/>
      <c r="B56" s="35" t="s">
        <v>3972</v>
      </c>
      <c r="C56" s="35" t="s">
        <v>3983</v>
      </c>
      <c r="D56" s="35" t="s">
        <v>3984</v>
      </c>
      <c r="E56" s="35" t="s">
        <v>3931</v>
      </c>
      <c r="F56" s="2"/>
      <c r="G56" s="35"/>
      <c r="H56" s="35" t="s">
        <v>3972</v>
      </c>
      <c r="I56" s="35" t="s">
        <v>3983</v>
      </c>
      <c r="J56" s="35" t="s">
        <v>3984</v>
      </c>
    </row>
    <row r="57">
      <c r="A57" s="35" t="s">
        <v>3959</v>
      </c>
      <c r="B57" s="47">
        <f>COUNTIFS('предлог_из'!A2:A1000, "Корпус Опочецких говоров",'предлог_из'!AD2:AD1000, "s",'предлог_из'!Q2:Q1000, 1)</f>
        <v>2</v>
      </c>
      <c r="C57" s="47">
        <f>COUNTIFS('предлог_из'!A2:A1000, "Корпус Опочецких говоров",'предлог_из'!AD2:AD1000, "o",'предлог_из'!Q2:Q1000, 1)</f>
        <v>0</v>
      </c>
      <c r="D57" s="47">
        <f>COUNTIFS('предлог_из'!A2:A1000, "Корпус Опочецких говоров",'предлог_из'!AD2:AD1000, "a",'предлог_из'!Q2:Q1000, 1)</f>
        <v>2</v>
      </c>
      <c r="E57" s="47">
        <f t="shared" ref="E57:E68" si="18">SUM(B57:D57)</f>
        <v>4</v>
      </c>
      <c r="F57" s="2"/>
      <c r="G57" s="35" t="s">
        <v>3959</v>
      </c>
      <c r="H57" s="46">
        <f t="shared" ref="H57:J57" si="17">B57/$E$57</f>
        <v>0.5</v>
      </c>
      <c r="I57" s="46">
        <f t="shared" si="17"/>
        <v>0</v>
      </c>
      <c r="J57" s="46">
        <f t="shared" si="17"/>
        <v>0.5</v>
      </c>
    </row>
    <row r="58">
      <c r="A58" s="35" t="s">
        <v>3960</v>
      </c>
      <c r="B58" s="47">
        <f>COUNTIFS('предлог_из'!A2:A1000, "Корпус Опочецких говоров",'предлог_из'!AD2:AD1000, "s",'предлог_из'!R2:R1000, 1)</f>
        <v>0</v>
      </c>
      <c r="C58" s="47">
        <f>COUNTIFS('предлог_из'!A2:A1000, "Корпус Опочецких говоров",'предлог_из'!AD2:AD1000, "o",'предлог_из'!R2:R1000, 1)</f>
        <v>0</v>
      </c>
      <c r="D58" s="47">
        <f>COUNTIFS('предлог_из'!A2:A1000, "Корпус Опочецких говоров",'предлог_из'!AD2:AD1000, "a",'предлог_из'!R2:R1000, 1)</f>
        <v>0</v>
      </c>
      <c r="E58" s="47">
        <f t="shared" si="18"/>
        <v>0</v>
      </c>
      <c r="F58" s="2"/>
      <c r="G58" s="35" t="s">
        <v>3960</v>
      </c>
      <c r="H58" s="57">
        <v>0.0</v>
      </c>
      <c r="I58" s="57">
        <v>0.0</v>
      </c>
      <c r="J58" s="57">
        <v>0.0</v>
      </c>
    </row>
    <row r="59">
      <c r="A59" s="35" t="s">
        <v>18</v>
      </c>
      <c r="B59" s="47">
        <f>COUNTIFS('предлог_из'!A2:A1000, "Корпус Опочецких говоров",'предлог_из'!AD2:AD1000, "s",'предлог_из'!S2:S1000, 1)</f>
        <v>0</v>
      </c>
      <c r="C59" s="47">
        <f>COUNTIFS('предлог_из'!A2:A1000, "Корпус Опочецких говоров",'предлог_из'!AD2:AD1000, "o",'предлог_из'!S2:S1000, 1)</f>
        <v>0</v>
      </c>
      <c r="D59" s="47">
        <f>COUNTIFS('предлог_из'!A2:A1000, "Корпус Опочецких говоров",'предлог_из'!AD2:AD1000, "a",'предлог_из'!S2:S1000, 1)</f>
        <v>0</v>
      </c>
      <c r="E59" s="47">
        <f t="shared" si="18"/>
        <v>0</v>
      </c>
      <c r="F59" s="2"/>
      <c r="G59" s="35" t="s">
        <v>18</v>
      </c>
      <c r="H59" s="57">
        <v>0.0</v>
      </c>
      <c r="I59" s="57">
        <v>0.0</v>
      </c>
      <c r="J59" s="57">
        <v>0.0</v>
      </c>
    </row>
    <row r="60">
      <c r="A60" s="35" t="s">
        <v>3962</v>
      </c>
      <c r="B60" s="47">
        <f>COUNTIFS('предлог_из'!A2:A1000, "Корпус Опочецких говоров",'предлог_из'!AD2:AD1000, "s",'предлог_из'!T2:T1000, 1)</f>
        <v>0</v>
      </c>
      <c r="C60" s="47">
        <f>COUNTIFS('предлог_из'!A2:A1000, "Корпус Опочецких говоров",'предлог_из'!AD2:AD1000, "o",'предлог_из'!T2:T1000, 1)</f>
        <v>0</v>
      </c>
      <c r="D60" s="47">
        <f>COUNTIFS('предлог_из'!A2:A1000, "Корпус Опочецких говоров",'предлог_из'!AD2:AD1000, "a",'предлог_из'!T2:T1000, 1)</f>
        <v>0</v>
      </c>
      <c r="E60" s="47">
        <f t="shared" si="18"/>
        <v>0</v>
      </c>
      <c r="F60" s="2"/>
      <c r="G60" s="35" t="s">
        <v>3962</v>
      </c>
      <c r="H60" s="57">
        <v>0.0</v>
      </c>
      <c r="I60" s="57">
        <v>0.0</v>
      </c>
      <c r="J60" s="57">
        <v>0.0</v>
      </c>
    </row>
    <row r="61">
      <c r="A61" s="35" t="s">
        <v>20</v>
      </c>
      <c r="B61" s="47">
        <f>COUNTIFS('предлог_из'!A2:A1000, "Корпус Опочецких говоров",'предлог_из'!AD2:AD1000, "s",'предлог_из'!U2:U1000, 1)</f>
        <v>4</v>
      </c>
      <c r="C61" s="47">
        <f>COUNTIFS('предлог_из'!A2:A1000, "Корпус Опочецких говоров",'предлог_из'!AD2:AD1000, "o",'предлог_из'!U2:U1000, 1)</f>
        <v>0</v>
      </c>
      <c r="D61" s="47">
        <f>COUNTIFS('предлог_из'!A2:A1000, "Корпус Опочецких говоров",'предлог_из'!AD2:AD1000, "a",'предлог_из'!U2:U1000, 1)</f>
        <v>0</v>
      </c>
      <c r="E61" s="47">
        <f t="shared" si="18"/>
        <v>4</v>
      </c>
      <c r="F61" s="2"/>
      <c r="G61" s="35" t="s">
        <v>20</v>
      </c>
      <c r="H61" s="46">
        <f t="shared" ref="H61:J61" si="19">B61/$E$61</f>
        <v>1</v>
      </c>
      <c r="I61" s="46">
        <f t="shared" si="19"/>
        <v>0</v>
      </c>
      <c r="J61" s="46">
        <f t="shared" si="19"/>
        <v>0</v>
      </c>
    </row>
    <row r="62">
      <c r="A62" s="35" t="s">
        <v>3964</v>
      </c>
      <c r="B62" s="47">
        <f>COUNTIFS('предлог_из'!A2:A1000, "Корпус Опочецких говоров",'предлог_из'!AD2:AD1000, "s",'предлог_из'!X2:X1000, 1)</f>
        <v>1</v>
      </c>
      <c r="C62" s="47">
        <f>COUNTIFS('предлог_из'!A2:A1000, "Корпус Опочецких говоров",'предлог_из'!AD2:AD1000, "o",'предлог_из'!X2:X1000, 1)</f>
        <v>0</v>
      </c>
      <c r="D62" s="47">
        <f>COUNTIFS('предлог_из'!A2:A1000, "Корпус Опочецких говоров",'предлог_из'!AD2:AD1000, "a",'предлог_из'!X2:X1000, 1)</f>
        <v>0</v>
      </c>
      <c r="E62" s="47">
        <f t="shared" si="18"/>
        <v>1</v>
      </c>
      <c r="F62" s="2"/>
      <c r="G62" s="35" t="s">
        <v>3964</v>
      </c>
      <c r="H62" s="46">
        <f t="shared" ref="H62:J62" si="20">B62/$E$62</f>
        <v>1</v>
      </c>
      <c r="I62" s="46">
        <f t="shared" si="20"/>
        <v>0</v>
      </c>
      <c r="J62" s="46">
        <f t="shared" si="20"/>
        <v>0</v>
      </c>
    </row>
    <row r="63">
      <c r="A63" s="35" t="s">
        <v>24</v>
      </c>
      <c r="B63" s="47">
        <f>COUNTIFS('предлог_из'!A2:A1000, "Корпус Опочецких говоров",'предлог_из'!AD2:AD1000, "s",'предлог_из'!Y2:Y1000, 1)</f>
        <v>0</v>
      </c>
      <c r="C63" s="47">
        <f>COUNTIFS('предлог_из'!A2:A1000, "Корпус Опочецких говоров",'предлог_из'!AD2:AD1000, "o",'предлог_из'!Y2:Y1000, 1)</f>
        <v>2</v>
      </c>
      <c r="D63" s="47">
        <f>COUNTIFS('предлог_из'!A2:A1000, "Корпус Опочецких говоров",'предлог_из'!AD2:AD1000, "a",'предлог_из'!Y2:Y1000, 1)</f>
        <v>0</v>
      </c>
      <c r="E63" s="47">
        <f t="shared" si="18"/>
        <v>2</v>
      </c>
      <c r="F63" s="2"/>
      <c r="G63" s="35" t="s">
        <v>24</v>
      </c>
      <c r="H63" s="46">
        <f t="shared" ref="H63:J63" si="21">B63/$E$63</f>
        <v>0</v>
      </c>
      <c r="I63" s="46">
        <f t="shared" si="21"/>
        <v>1</v>
      </c>
      <c r="J63" s="46">
        <f t="shared" si="21"/>
        <v>0</v>
      </c>
    </row>
    <row r="64">
      <c r="A64" s="35" t="s">
        <v>3966</v>
      </c>
      <c r="B64" s="47">
        <f>COUNTIFS('предлог_из'!A2:A1000, "Корпус Опочецких говоров",'предлог_из'!AD2:AD1000, "s",'предлог_из'!Z2:Z1000, 1)</f>
        <v>0</v>
      </c>
      <c r="C64" s="47">
        <f>COUNTIFS('предлог_из'!A2:A1000, "Корпус Опочецких говоров",'предлог_из'!AD2:AD1000, "o",'предлог_из'!Z2:Z1000, 1)</f>
        <v>0</v>
      </c>
      <c r="D64" s="47">
        <f>COUNTIFS('предлог_из'!A2:A1000, "Корпус Опочецких говоров",'предлог_из'!AD2:AD1000, "a",'предлог_из'!Z2:Z1000, 1)</f>
        <v>0</v>
      </c>
      <c r="E64" s="47">
        <f t="shared" si="18"/>
        <v>0</v>
      </c>
      <c r="F64" s="2"/>
      <c r="G64" s="35" t="s">
        <v>3966</v>
      </c>
      <c r="H64" s="57">
        <v>0.0</v>
      </c>
      <c r="I64" s="57">
        <v>0.0</v>
      </c>
      <c r="J64" s="57">
        <v>0.0</v>
      </c>
    </row>
    <row r="65">
      <c r="A65" s="35" t="s">
        <v>26</v>
      </c>
      <c r="B65" s="47">
        <f>COUNTIFS('предлог_из'!A2:A1000, "Корпус Опочецких говоров",'предлог_из'!AD2:AD1000, "s",'предлог_из'!AA2:AA1000, 1)</f>
        <v>0</v>
      </c>
      <c r="C65" s="47">
        <f>COUNTIFS('предлог_из'!A2:A1000, "Корпус Опочецких говоров",'предлог_из'!AD2:AD1000, "o",'предлог_из'!AA2:AA1000, 1)</f>
        <v>1</v>
      </c>
      <c r="D65" s="47">
        <f>COUNTIFS('предлог_из'!A2:A1000, "Корпус Опочецких говоров",'предлог_из'!AD2:AD1000, "a",'предлог_из'!AA2:AA1000, 1)</f>
        <v>0</v>
      </c>
      <c r="E65" s="47">
        <f t="shared" si="18"/>
        <v>1</v>
      </c>
      <c r="F65" s="2"/>
      <c r="G65" s="35" t="s">
        <v>26</v>
      </c>
      <c r="H65" s="46">
        <f t="shared" ref="H65:J65" si="22">B65/$E$65</f>
        <v>0</v>
      </c>
      <c r="I65" s="46">
        <f t="shared" si="22"/>
        <v>1</v>
      </c>
      <c r="J65" s="46">
        <f t="shared" si="22"/>
        <v>0</v>
      </c>
    </row>
    <row r="66">
      <c r="A66" s="35" t="s">
        <v>3967</v>
      </c>
      <c r="B66" s="47">
        <f>COUNTIFS('предлог_из'!A2:A1000, "Корпус Опочецких говоров",'предлог_из'!AD2:AD1000, "s",'предлог_из'!AB2:AB1000, 1)</f>
        <v>0</v>
      </c>
      <c r="C66" s="47">
        <f>COUNTIFS('предлог_из'!A2:A1000, "Корпус Опочецких говоров",'предлог_из'!AD2:AD1000, "o",'предлог_из'!AB2:AB1000, 1)</f>
        <v>0</v>
      </c>
      <c r="D66" s="47">
        <f>COUNTIFS('предлог_из'!A2:A1000, "Корпус Опочецких говоров",'предлог_из'!AD2:AD1000, "a",'предлог_из'!AB2:AB1000, 1)</f>
        <v>0</v>
      </c>
      <c r="E66" s="47">
        <f t="shared" si="18"/>
        <v>0</v>
      </c>
      <c r="F66" s="2"/>
      <c r="G66" s="35" t="s">
        <v>3967</v>
      </c>
      <c r="H66" s="57">
        <v>0.0</v>
      </c>
      <c r="I66" s="57">
        <v>0.0</v>
      </c>
      <c r="J66" s="57">
        <v>0.0</v>
      </c>
    </row>
    <row r="67">
      <c r="A67" s="52" t="s">
        <v>21</v>
      </c>
      <c r="B67" s="47">
        <f>COUNTIFS('предлог_из'!A2:A1000, "Корпус Опочецких говоров",'предлог_из'!AD2:AD1000, "s",'предлог_из'!V2:V1000, 1)</f>
        <v>0</v>
      </c>
      <c r="C67" s="47">
        <f>COUNTIFS('предлог_из'!A2:A1000, "Корпус Опочецких говоров",'предлог_из'!AD2:AD1000, "o",'предлог_из'!V2:V1000, 1)</f>
        <v>0</v>
      </c>
      <c r="D67" s="47">
        <f>COUNTIFS('предлог_из'!A2:A1000, "Корпус Опочецких говоров",'предлог_из'!AD2:AD1000, "a",'предлог_из'!V2:V1000, 1)</f>
        <v>0</v>
      </c>
      <c r="E67" s="47">
        <f t="shared" si="18"/>
        <v>0</v>
      </c>
      <c r="F67" s="2"/>
      <c r="G67" s="52" t="s">
        <v>21</v>
      </c>
      <c r="H67" s="57">
        <v>0.0</v>
      </c>
      <c r="I67" s="57">
        <v>0.0</v>
      </c>
      <c r="J67" s="57">
        <v>0.0</v>
      </c>
    </row>
    <row r="68">
      <c r="A68" s="35" t="s">
        <v>22</v>
      </c>
      <c r="B68" s="47">
        <f>COUNTIFS('предлог_из'!A2:A1000, "Корпус Опочецких говоров",'предлог_из'!AD2:AD1000, "s",'предлог_из'!W2:W1000, 1)</f>
        <v>0</v>
      </c>
      <c r="C68" s="47">
        <f>COUNTIFS('предлог_из'!A2:A1000, "Корпус Опочецких говоров",'предлог_из'!AD2:AD1000, "o",'предлог_из'!W2:W1000, 1)</f>
        <v>0</v>
      </c>
      <c r="D68" s="47">
        <f>COUNTIFS('предлог_из'!A2:A1000, "Корпус Опочецких говоров",'предлог_из'!AD2:AD1000, "a",'предлог_из'!W2:W1000, 1)</f>
        <v>0</v>
      </c>
      <c r="E68" s="47">
        <f t="shared" si="18"/>
        <v>0</v>
      </c>
      <c r="F68" s="2"/>
      <c r="G68" s="35" t="s">
        <v>22</v>
      </c>
      <c r="H68" s="57">
        <v>0.0</v>
      </c>
      <c r="I68" s="57">
        <v>0.0</v>
      </c>
      <c r="J68" s="57">
        <v>0.0</v>
      </c>
    </row>
    <row r="69">
      <c r="A69" s="35" t="s">
        <v>3931</v>
      </c>
      <c r="B69" s="47">
        <f t="shared" ref="B69:D69" si="23">SUM(B55:B68)</f>
        <v>7</v>
      </c>
      <c r="C69" s="47">
        <f t="shared" si="23"/>
        <v>3</v>
      </c>
      <c r="D69" s="47">
        <f t="shared" si="23"/>
        <v>2</v>
      </c>
      <c r="E69" s="47">
        <f>SUM(E57:E68)</f>
        <v>12</v>
      </c>
      <c r="F69" s="2"/>
      <c r="G69" s="35" t="s">
        <v>3931</v>
      </c>
      <c r="H69" s="46">
        <f>B69/E69</f>
        <v>0.5833333333</v>
      </c>
      <c r="I69" s="46">
        <f>C69/E69</f>
        <v>0.25</v>
      </c>
      <c r="J69" s="46">
        <f>D69/E69</f>
        <v>0.1666666667</v>
      </c>
    </row>
  </sheetData>
  <mergeCells count="12">
    <mergeCell ref="G31:J31"/>
    <mergeCell ref="A38:E38"/>
    <mergeCell ref="G38:J38"/>
    <mergeCell ref="A55:E55"/>
    <mergeCell ref="G55:J55"/>
    <mergeCell ref="A1:C1"/>
    <mergeCell ref="E1:I1"/>
    <mergeCell ref="A7:B7"/>
    <mergeCell ref="A13:B13"/>
    <mergeCell ref="A18:B18"/>
    <mergeCell ref="E18:I18"/>
    <mergeCell ref="G26:J26"/>
  </mergeCells>
  <drawing r:id="rId1"/>
</worksheet>
</file>